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Delayed Shipments" sheetId="3" state="visible" r:id="rId3"/>
    <sheet xmlns:r="http://schemas.openxmlformats.org/officeDocument/2006/relationships" name="Inventory Status" sheetId="4" state="visible" r:id="rId4"/>
    <sheet xmlns:r="http://schemas.openxmlformats.org/officeDocument/2006/relationships" name="Supplier Performance" sheetId="5" state="visible" r:id="rId5"/>
    <sheet xmlns:r="http://schemas.openxmlformats.org/officeDocument/2006/relationships" name="Recommendations" sheetId="6" state="visible" r:id="rId6"/>
    <sheet xmlns:r="http://schemas.openxmlformats.org/officeDocument/2006/relationships" name="Cleaning Log" sheetId="7" state="visible" r:id="rId7"/>
    <sheet xmlns:r="http://schemas.openxmlformats.org/officeDocument/2006/relationships" name="Raw Data" sheetId="8" state="visible" r:id="rId8"/>
  </sheets>
  <definedNames>
    <definedName name="_xlnm.Print_Area" localSheetId="1">'Dashboard'!$A$1:$N$50</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0.00\%"/>
    <numFmt numFmtId="166" formatCode="0.0"/>
    <numFmt numFmtId="167" formatCode="\$#,##0.00"/>
    <numFmt numFmtId="168" formatCode="\$#,##0"/>
  </numFmts>
  <fonts count="31">
    <font>
      <name val="Calibri"/>
      <charset val="1"/>
      <family val="2"/>
      <color theme="1"/>
      <sz val="11"/>
    </font>
    <font>
      <name val="Arial"/>
      <family val="0"/>
      <sz val="10"/>
    </font>
    <font>
      <name val="Arial"/>
      <family val="0"/>
      <sz val="10"/>
    </font>
    <font>
      <name val="Arial"/>
      <family val="0"/>
      <sz val="10"/>
    </font>
    <font>
      <name val="Arial"/>
      <charset val="1"/>
      <family val="0"/>
      <b val="1"/>
      <color rgb="FF0B1F4B"/>
      <sz val="22"/>
    </font>
    <font>
      <name val="Arial"/>
      <charset val="1"/>
      <family val="0"/>
      <i val="1"/>
      <color rgb="FF888888"/>
      <sz val="11"/>
    </font>
    <font>
      <name val="Arial"/>
      <charset val="1"/>
      <family val="0"/>
      <b val="1"/>
      <color rgb="FF1A1A2E"/>
      <sz val="10"/>
    </font>
    <font>
      <name val="Arial"/>
      <charset val="1"/>
      <family val="0"/>
      <color rgb="FF1A1A2E"/>
      <sz val="10"/>
    </font>
    <font>
      <name val="Arial"/>
      <charset val="1"/>
      <family val="0"/>
      <b val="1"/>
      <color rgb="FF0B1F4B"/>
      <sz val="13"/>
    </font>
    <font>
      <name val="Arial"/>
      <charset val="1"/>
      <family val="0"/>
      <b val="1"/>
      <color rgb="FFFFFFFF"/>
      <sz val="22"/>
    </font>
    <font>
      <name val="Arial"/>
      <charset val="1"/>
      <family val="0"/>
      <i val="1"/>
      <color rgb="FFD9D9D9"/>
      <sz val="11"/>
    </font>
    <font>
      <name val="Arial"/>
      <charset val="1"/>
      <family val="0"/>
      <color rgb="FFFFFFFF"/>
      <sz val="9"/>
    </font>
    <font>
      <name val="Arial"/>
      <charset val="1"/>
      <family val="0"/>
      <b val="1"/>
      <color rgb="FFC9A84C"/>
      <sz val="22"/>
    </font>
    <font>
      <name val="Arial"/>
      <charset val="1"/>
      <family val="0"/>
      <b val="1"/>
      <color rgb="FF888888"/>
      <sz val="9"/>
    </font>
    <font>
      <name val="Arial"/>
      <charset val="1"/>
      <family val="0"/>
      <b val="1"/>
      <color rgb="FFB5443A"/>
      <sz val="13"/>
    </font>
    <font>
      <name val="Arial"/>
      <charset val="1"/>
      <family val="0"/>
      <b val="1"/>
      <color rgb="FF1F7A4D"/>
      <sz val="13"/>
    </font>
    <font>
      <name val="Arial"/>
      <charset val="1"/>
      <family val="0"/>
      <b val="1"/>
      <color rgb="FFB5443A"/>
      <sz val="12"/>
    </font>
    <font>
      <name val="Arial"/>
      <charset val="1"/>
      <family val="0"/>
      <b val="1"/>
      <color rgb="FF0B1F4B"/>
      <sz val="10"/>
    </font>
    <font>
      <name val="Arial"/>
      <charset val="1"/>
      <family val="0"/>
      <b val="1"/>
      <color rgb="FF0B1F4B"/>
      <sz val="11"/>
    </font>
    <font>
      <name val="Arial"/>
      <charset val="1"/>
      <family val="0"/>
      <b val="1"/>
      <color rgb="FFB5443A"/>
      <sz val="11"/>
    </font>
    <font>
      <name val="Arial"/>
      <charset val="1"/>
      <family val="0"/>
      <i val="1"/>
      <color rgb="FF888888"/>
      <sz val="8"/>
    </font>
    <font>
      <name val="Calibri"/>
      <family val="2"/>
      <b val="1"/>
      <color rgb="FF000000"/>
      <sz val="18"/>
    </font>
    <font>
      <name val="Calibri"/>
      <family val="2"/>
      <color rgb="FF000000"/>
      <sz val="10"/>
    </font>
    <font>
      <name val="Arial"/>
      <charset val="1"/>
      <family val="0"/>
      <b val="1"/>
      <color rgb="FF0B1F4B"/>
      <sz val="18"/>
    </font>
    <font>
      <name val="Arial"/>
      <charset val="1"/>
      <family val="0"/>
      <b val="1"/>
      <color rgb="FFC9A84C"/>
      <sz val="20"/>
    </font>
    <font>
      <name val="Arial"/>
      <charset val="1"/>
      <family val="0"/>
      <b val="1"/>
      <color rgb="FFFFFFFF"/>
      <sz val="11"/>
    </font>
    <font>
      <name val="Arial"/>
      <charset val="1"/>
      <family val="0"/>
      <b val="1"/>
      <color rgb="FF0B1F4B"/>
      <sz val="12"/>
    </font>
    <font>
      <name val="Arial"/>
      <charset val="1"/>
      <family val="0"/>
      <b val="1"/>
      <color rgb="FF1F7A4D"/>
      <sz val="16"/>
    </font>
    <font>
      <name val="Arial"/>
      <charset val="1"/>
      <family val="0"/>
      <b val="1"/>
      <color rgb="FFB5443A"/>
      <sz val="16"/>
    </font>
    <font>
      <name val="Arial"/>
      <charset val="1"/>
      <family val="0"/>
      <b val="1"/>
      <color rgb="FFFFFFFF"/>
      <sz val="13"/>
    </font>
    <font>
      <name val="Arial"/>
      <charset val="1"/>
      <family val="0"/>
      <i val="1"/>
      <color rgb="FF888888"/>
      <sz val="9"/>
    </font>
  </fonts>
  <fills count="4">
    <fill>
      <patternFill/>
    </fill>
    <fill>
      <patternFill patternType="gray125"/>
    </fill>
    <fill>
      <patternFill patternType="solid">
        <fgColor rgb="FF0B1F4B"/>
        <bgColor rgb="FF1A1A2E"/>
      </patternFill>
    </fill>
    <fill>
      <patternFill patternType="solid">
        <fgColor rgb="FFF9F2E0"/>
        <bgColor rgb="FFFBE2E0"/>
      </patternFill>
    </fill>
  </fills>
  <borders count="15">
    <border>
      <left/>
      <right/>
      <top/>
      <bottom/>
      <diagonal/>
    </border>
    <border>
      <left style="medium">
        <color rgb="FFC9A84C"/>
      </left>
      <right style="medium">
        <color rgb="FFC9A84C"/>
      </right>
      <top style="medium">
        <color rgb="FFC9A84C"/>
      </top>
      <bottom style="medium">
        <color rgb="FFC9A84C"/>
      </bottom>
      <diagonal/>
    </border>
    <border>
      <left style="thin">
        <color rgb="FFCCCCCC"/>
      </left>
      <right style="thin">
        <color rgb="FFCCCCCC"/>
      </right>
      <top style="thin">
        <color rgb="FFCCCCCC"/>
      </top>
      <bottom style="thin">
        <color rgb="FFCCCCCC"/>
      </bottom>
      <diagonal/>
    </border>
    <border>
      <left/>
      <right/>
      <top style="medium">
        <color rgb="FFC9A84C"/>
      </top>
      <bottom/>
      <diagonal/>
    </border>
    <border>
      <left/>
      <right style="medium">
        <color rgb="FFC9A84C"/>
      </right>
      <top style="medium">
        <color rgb="FFC9A84C"/>
      </top>
      <bottom/>
      <diagonal/>
    </border>
    <border>
      <left/>
      <right/>
      <top style="medium">
        <color rgb="FFC9A84C"/>
      </top>
      <bottom style="medium">
        <color rgb="FFC9A84C"/>
      </bottom>
      <diagonal/>
    </border>
    <border>
      <left/>
      <right style="medium">
        <color rgb="FFC9A84C"/>
      </right>
      <top style="medium">
        <color rgb="FFC9A84C"/>
      </top>
      <bottom style="medium">
        <color rgb="FFC9A84C"/>
      </bottom>
      <diagonal/>
    </border>
    <border>
      <left style="medium">
        <color rgb="FFC9A84C"/>
      </left>
      <right/>
      <top/>
      <bottom/>
      <diagonal/>
    </border>
    <border>
      <left/>
      <right style="medium">
        <color rgb="FFC9A84C"/>
      </right>
      <top/>
      <bottom/>
      <diagonal/>
    </border>
    <border>
      <left style="medium">
        <color rgb="FFC9A84C"/>
      </left>
      <right/>
      <top/>
      <bottom style="medium">
        <color rgb="FFC9A84C"/>
      </bottom>
      <diagonal/>
    </border>
    <border>
      <left/>
      <right/>
      <top/>
      <bottom style="medium">
        <color rgb="FFC9A84C"/>
      </bottom>
      <diagonal/>
    </border>
    <border>
      <left/>
      <right style="medium">
        <color rgb="FFC9A84C"/>
      </right>
      <top/>
      <bottom style="medium">
        <color rgb="FFC9A84C"/>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bottom" wrapText="1"/>
    </xf>
    <xf numFmtId="0" fontId="0" fillId="2" borderId="0" applyAlignment="1" pivotButton="0" quotePrefix="0" xfId="0">
      <alignment horizontal="general" vertical="bottom"/>
    </xf>
    <xf numFmtId="0" fontId="9" fillId="2" borderId="0" applyAlignment="1" pivotButton="0" quotePrefix="0" xfId="0">
      <alignment horizontal="left" vertical="center"/>
    </xf>
    <xf numFmtId="0" fontId="10" fillId="2" borderId="0" applyAlignment="1" pivotButton="0" quotePrefix="0" xfId="0">
      <alignment horizontal="left" vertical="center"/>
    </xf>
    <xf numFmtId="0" fontId="11" fillId="2" borderId="1" applyAlignment="1" pivotButton="0" quotePrefix="0" xfId="0">
      <alignment horizontal="center" vertical="center"/>
    </xf>
    <xf numFmtId="164" fontId="12" fillId="2" borderId="1" applyAlignment="1" pivotButton="0" quotePrefix="0" xfId="0">
      <alignment horizontal="center" vertical="center"/>
    </xf>
    <xf numFmtId="3" fontId="12" fillId="2" borderId="1" applyAlignment="1" pivotButton="0" quotePrefix="0" xfId="0">
      <alignment horizontal="center" vertical="center"/>
    </xf>
    <xf numFmtId="165" fontId="12" fillId="2" borderId="1"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3" borderId="1" applyAlignment="1" pivotButton="0" quotePrefix="0" xfId="0">
      <alignment horizontal="center" vertical="center"/>
    </xf>
    <xf numFmtId="3" fontId="18" fillId="0" borderId="0" applyAlignment="1" pivotButton="0" quotePrefix="0" xfId="0">
      <alignment horizontal="general" vertical="bottom"/>
    </xf>
    <xf numFmtId="165" fontId="19" fillId="0" borderId="0" applyAlignment="1" pivotButton="0" quotePrefix="0" xfId="0">
      <alignment horizontal="general" vertical="bottom"/>
    </xf>
    <xf numFmtId="0" fontId="20" fillId="0" borderId="0" applyAlignment="1" pivotButton="0" quotePrefix="0" xfId="0">
      <alignment horizontal="general" vertical="bottom"/>
    </xf>
    <xf numFmtId="0" fontId="23" fillId="0" borderId="0" applyAlignment="1" pivotButton="0" quotePrefix="0" xfId="0">
      <alignment horizontal="general" vertical="bottom"/>
    </xf>
    <xf numFmtId="3" fontId="24" fillId="2" borderId="1" applyAlignment="1" pivotButton="0" quotePrefix="0" xfId="0">
      <alignment horizontal="center" vertical="center"/>
    </xf>
    <xf numFmtId="164" fontId="24" fillId="2" borderId="1" applyAlignment="1" pivotButton="0" quotePrefix="0" xfId="0">
      <alignment horizontal="center" vertical="center"/>
    </xf>
    <xf numFmtId="166" fontId="24" fillId="2" borderId="1" applyAlignment="1" pivotButton="0" quotePrefix="0" xfId="0">
      <alignment horizontal="center" vertical="center"/>
    </xf>
    <xf numFmtId="0" fontId="25" fillId="2" borderId="2" applyAlignment="1" pivotButton="0" quotePrefix="0" xfId="0">
      <alignment horizontal="center" vertical="center"/>
    </xf>
    <xf numFmtId="0" fontId="7" fillId="0" borderId="2" applyAlignment="1" pivotButton="0" quotePrefix="0" xfId="0">
      <alignment horizontal="general" vertical="bottom"/>
    </xf>
    <xf numFmtId="3" fontId="7" fillId="0" borderId="2" applyAlignment="1" pivotButton="0" quotePrefix="0" xfId="0">
      <alignment horizontal="general" vertical="bottom"/>
    </xf>
    <xf numFmtId="164" fontId="7" fillId="0" borderId="2" applyAlignment="1" pivotButton="0" quotePrefix="0" xfId="0">
      <alignment horizontal="general" vertical="bottom"/>
    </xf>
    <xf numFmtId="166" fontId="7" fillId="0" borderId="2" applyAlignment="1" pivotButton="0" quotePrefix="0" xfId="0">
      <alignment horizontal="general" vertical="bottom"/>
    </xf>
    <xf numFmtId="167" fontId="7" fillId="0" borderId="2" applyAlignment="1" pivotButton="0" quotePrefix="0" xfId="0">
      <alignment horizontal="general" vertical="bottom"/>
    </xf>
    <xf numFmtId="1" fontId="7" fillId="0" borderId="2" applyAlignment="1" pivotButton="0" quotePrefix="0" xfId="0">
      <alignment horizontal="general" vertical="bottom"/>
    </xf>
    <xf numFmtId="168" fontId="7" fillId="0" borderId="2" applyAlignment="1" pivotButton="0" quotePrefix="0" xfId="0">
      <alignment horizontal="general" vertical="bottom"/>
    </xf>
    <xf numFmtId="165" fontId="7" fillId="0" borderId="2" applyAlignment="1" pivotButton="0" quotePrefix="0" xfId="0">
      <alignment horizontal="general" vertical="bottom"/>
    </xf>
    <xf numFmtId="166" fontId="6" fillId="0" borderId="2" applyAlignment="1" pivotButton="0" quotePrefix="0" xfId="0">
      <alignment horizontal="general" vertical="bottom"/>
    </xf>
    <xf numFmtId="0" fontId="17" fillId="0" borderId="2" applyAlignment="1" pivotButton="0" quotePrefix="0" xfId="0">
      <alignment horizontal="center" vertical="center"/>
    </xf>
    <xf numFmtId="0" fontId="26" fillId="0" borderId="0" applyAlignment="1" pivotButton="0" quotePrefix="0" xfId="0">
      <alignment horizontal="general" vertical="bottom"/>
    </xf>
    <xf numFmtId="0" fontId="27" fillId="0" borderId="0" applyAlignment="1" pivotButton="0" quotePrefix="0" xfId="0">
      <alignment horizontal="general" vertical="bottom"/>
    </xf>
    <xf numFmtId="0" fontId="28" fillId="0" borderId="0" applyAlignment="1" pivotButton="0" quotePrefix="0" xfId="0">
      <alignment horizontal="general" vertical="bottom"/>
    </xf>
    <xf numFmtId="0" fontId="6" fillId="3" borderId="2" applyAlignment="1" pivotButton="0" quotePrefix="0" xfId="0">
      <alignment horizontal="general" vertical="bottom"/>
    </xf>
    <xf numFmtId="0" fontId="29" fillId="2" borderId="0" applyAlignment="1" pivotButton="0" quotePrefix="0" xfId="0">
      <alignment horizontal="left" vertical="center" indent="1"/>
    </xf>
    <xf numFmtId="0" fontId="6" fillId="0" borderId="2" applyAlignment="1" pivotButton="0" quotePrefix="0" xfId="0">
      <alignment horizontal="general" vertical="top" wrapText="1"/>
    </xf>
    <xf numFmtId="0" fontId="7" fillId="0" borderId="2" applyAlignment="1" pivotButton="0" quotePrefix="0" xfId="0">
      <alignment horizontal="general" vertical="top" wrapText="1"/>
    </xf>
    <xf numFmtId="0" fontId="30" fillId="0" borderId="0" applyAlignment="1" pivotButton="0" quotePrefix="0" xfId="0">
      <alignment horizontal="general" vertical="bottom" wrapText="1"/>
    </xf>
    <xf numFmtId="0" fontId="6" fillId="0" borderId="2" applyAlignment="1" pivotButton="0" quotePrefix="0" xfId="0">
      <alignment horizontal="general" vertical="center" wrapText="1"/>
    </xf>
    <xf numFmtId="0" fontId="7" fillId="0" borderId="2" applyAlignment="1" pivotButton="0" quotePrefix="0" xfId="0">
      <alignment horizontal="general" vertical="center" wrapText="1"/>
    </xf>
    <xf numFmtId="0" fontId="7" fillId="0" borderId="0" applyAlignment="1" pivotButton="0" quotePrefix="0" xfId="0">
      <alignment horizontal="general" vertical="top" wrapText="1"/>
    </xf>
    <xf numFmtId="167" fontId="0" fillId="0" borderId="0" applyAlignment="1" pivotButton="0" quotePrefix="0" xfId="0">
      <alignment horizontal="general" vertical="bottom"/>
    </xf>
    <xf numFmtId="165" fontId="0" fillId="0" borderId="0" applyAlignment="1" pivotButton="0" quotePrefix="0" xfId="0">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bottom" wrapText="1"/>
    </xf>
    <xf numFmtId="0" fontId="0" fillId="2" borderId="0" applyAlignment="1" pivotButton="0" quotePrefix="0" xfId="0">
      <alignment horizontal="general" vertical="bottom"/>
    </xf>
    <xf numFmtId="0" fontId="9" fillId="2" borderId="0" applyAlignment="1" pivotButton="0" quotePrefix="0" xfId="0">
      <alignment horizontal="left" vertical="center"/>
    </xf>
    <xf numFmtId="0" fontId="10" fillId="2" borderId="0" applyAlignment="1" pivotButton="0" quotePrefix="0" xfId="0">
      <alignment horizontal="left" vertical="center"/>
    </xf>
    <xf numFmtId="0" fontId="11" fillId="2" borderId="1" applyAlignment="1" pivotButton="0" quotePrefix="0" xfId="0">
      <alignment horizontal="center" vertical="center"/>
    </xf>
    <xf numFmtId="0" fontId="0" fillId="0" borderId="5" pivotButton="0" quotePrefix="0" xfId="0"/>
    <xf numFmtId="0" fontId="0" fillId="0" borderId="6" pivotButton="0" quotePrefix="0" xfId="0"/>
    <xf numFmtId="164" fontId="12" fillId="2" borderId="1" applyAlignment="1" pivotButton="0" quotePrefix="0" xfId="0">
      <alignment horizontal="center" vertical="center"/>
    </xf>
    <xf numFmtId="0" fontId="0" fillId="0" borderId="3" pivotButton="0" quotePrefix="0" xfId="0"/>
    <xf numFmtId="0" fontId="0" fillId="0" borderId="4" pivotButton="0" quotePrefix="0" xfId="0"/>
    <xf numFmtId="3" fontId="12" fillId="2" borderId="1" applyAlignment="1" pivotButton="0" quotePrefix="0" xfId="0">
      <alignment horizontal="center" vertical="center"/>
    </xf>
    <xf numFmtId="165" fontId="12" fillId="2" borderId="1" applyAlignment="1" pivotButton="0" quotePrefix="0" xfId="0">
      <alignment horizontal="center" vertical="center"/>
    </xf>
    <xf numFmtId="0" fontId="0" fillId="0" borderId="9" pivotButton="0" quotePrefix="0" xfId="0"/>
    <xf numFmtId="0" fontId="0" fillId="0" borderId="10" pivotButton="0" quotePrefix="0" xfId="0"/>
    <xf numFmtId="0" fontId="0" fillId="0" borderId="11" pivotButton="0" quotePrefix="0" xfId="0"/>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3" borderId="1" applyAlignment="1" pivotButton="0" quotePrefix="0" xfId="0">
      <alignment horizontal="center" vertical="center"/>
    </xf>
    <xf numFmtId="3" fontId="18" fillId="0" borderId="0" applyAlignment="1" pivotButton="0" quotePrefix="0" xfId="0">
      <alignment horizontal="general" vertical="bottom"/>
    </xf>
    <xf numFmtId="165" fontId="19" fillId="0" borderId="0" applyAlignment="1" pivotButton="0" quotePrefix="0" xfId="0">
      <alignment horizontal="general" vertical="bottom"/>
    </xf>
    <xf numFmtId="0" fontId="20" fillId="0" borderId="0" applyAlignment="1" pivotButton="0" quotePrefix="0" xfId="0">
      <alignment horizontal="general" vertical="bottom"/>
    </xf>
    <xf numFmtId="0" fontId="23" fillId="0" borderId="0" applyAlignment="1" pivotButton="0" quotePrefix="0" xfId="0">
      <alignment horizontal="general" vertical="bottom"/>
    </xf>
    <xf numFmtId="3" fontId="24" fillId="2" borderId="1" applyAlignment="1" pivotButton="0" quotePrefix="0" xfId="0">
      <alignment horizontal="center" vertical="center"/>
    </xf>
    <xf numFmtId="164" fontId="24" fillId="2" borderId="1" applyAlignment="1" pivotButton="0" quotePrefix="0" xfId="0">
      <alignment horizontal="center" vertical="center"/>
    </xf>
    <xf numFmtId="166" fontId="24" fillId="2" borderId="1" applyAlignment="1" pivotButton="0" quotePrefix="0" xfId="0">
      <alignment horizontal="center" vertical="center"/>
    </xf>
    <xf numFmtId="0" fontId="25" fillId="2" borderId="2" applyAlignment="1" pivotButton="0" quotePrefix="0" xfId="0">
      <alignment horizontal="center" vertical="center"/>
    </xf>
    <xf numFmtId="0" fontId="7" fillId="0" borderId="2" applyAlignment="1" pivotButton="0" quotePrefix="0" xfId="0">
      <alignment horizontal="general" vertical="bottom"/>
    </xf>
    <xf numFmtId="3" fontId="7" fillId="0" borderId="2" applyAlignment="1" pivotButton="0" quotePrefix="0" xfId="0">
      <alignment horizontal="general" vertical="bottom"/>
    </xf>
    <xf numFmtId="164" fontId="7" fillId="0" borderId="2" applyAlignment="1" pivotButton="0" quotePrefix="0" xfId="0">
      <alignment horizontal="general" vertical="bottom"/>
    </xf>
    <xf numFmtId="166" fontId="7" fillId="0" borderId="2" applyAlignment="1" pivotButton="0" quotePrefix="0" xfId="0">
      <alignment horizontal="general" vertical="bottom"/>
    </xf>
    <xf numFmtId="167" fontId="7" fillId="0" borderId="2" applyAlignment="1" pivotButton="0" quotePrefix="0" xfId="0">
      <alignment horizontal="general" vertical="bottom"/>
    </xf>
    <xf numFmtId="1" fontId="7" fillId="0" borderId="2" applyAlignment="1" pivotButton="0" quotePrefix="0" xfId="0">
      <alignment horizontal="general" vertical="bottom"/>
    </xf>
    <xf numFmtId="168" fontId="7" fillId="0" borderId="2" applyAlignment="1" pivotButton="0" quotePrefix="0" xfId="0">
      <alignment horizontal="general" vertical="bottom"/>
    </xf>
    <xf numFmtId="165" fontId="7" fillId="0" borderId="2" applyAlignment="1" pivotButton="0" quotePrefix="0" xfId="0">
      <alignment horizontal="general" vertical="bottom"/>
    </xf>
    <xf numFmtId="166" fontId="6" fillId="0" borderId="2" applyAlignment="1" pivotButton="0" quotePrefix="0" xfId="0">
      <alignment horizontal="general" vertical="bottom"/>
    </xf>
    <xf numFmtId="0" fontId="17" fillId="0" borderId="2" applyAlignment="1" pivotButton="0" quotePrefix="0" xfId="0">
      <alignment horizontal="center" vertical="center"/>
    </xf>
    <xf numFmtId="0" fontId="26" fillId="0" borderId="0" applyAlignment="1" pivotButton="0" quotePrefix="0" xfId="0">
      <alignment horizontal="general" vertical="bottom"/>
    </xf>
    <xf numFmtId="0" fontId="27" fillId="0" borderId="0" applyAlignment="1" pivotButton="0" quotePrefix="0" xfId="0">
      <alignment horizontal="general" vertical="bottom"/>
    </xf>
    <xf numFmtId="0" fontId="28" fillId="0" borderId="0" applyAlignment="1" pivotButton="0" quotePrefix="0" xfId="0">
      <alignment horizontal="general" vertical="bottom"/>
    </xf>
    <xf numFmtId="0" fontId="6" fillId="3" borderId="2" applyAlignment="1" pivotButton="0" quotePrefix="0" xfId="0">
      <alignment horizontal="general" vertical="bottom"/>
    </xf>
    <xf numFmtId="0" fontId="0" fillId="0" borderId="14" pivotButton="0" quotePrefix="0" xfId="0"/>
    <xf numFmtId="0" fontId="29" fillId="2" borderId="0" applyAlignment="1" pivotButton="0" quotePrefix="0" xfId="0">
      <alignment horizontal="left" vertical="center" indent="1"/>
    </xf>
    <xf numFmtId="0" fontId="6" fillId="0" borderId="2" applyAlignment="1" pivotButton="0" quotePrefix="0" xfId="0">
      <alignment horizontal="general" vertical="top" wrapText="1"/>
    </xf>
    <xf numFmtId="0" fontId="7" fillId="0" borderId="2" applyAlignment="1" pivotButton="0" quotePrefix="0" xfId="0">
      <alignment horizontal="general" vertical="top" wrapText="1"/>
    </xf>
    <xf numFmtId="0" fontId="30" fillId="0" borderId="0" applyAlignment="1" pivotButton="0" quotePrefix="0" xfId="0">
      <alignment horizontal="general" vertical="bottom" wrapText="1"/>
    </xf>
    <xf numFmtId="0" fontId="6" fillId="0" borderId="2" applyAlignment="1" pivotButton="0" quotePrefix="0" xfId="0">
      <alignment horizontal="general" vertical="center" wrapText="1"/>
    </xf>
    <xf numFmtId="0" fontId="7" fillId="0" borderId="2" applyAlignment="1" pivotButton="0" quotePrefix="0" xfId="0">
      <alignment horizontal="general" vertical="center" wrapText="1"/>
    </xf>
    <xf numFmtId="0" fontId="7" fillId="0" borderId="0" applyAlignment="1" pivotButton="0" quotePrefix="0" xfId="0">
      <alignment horizontal="general" vertical="top" wrapText="1"/>
    </xf>
    <xf numFmtId="167" fontId="0" fillId="0" borderId="0" applyAlignment="1" pivotButton="0" quotePrefix="0" xfId="0">
      <alignment horizontal="general" vertical="bottom"/>
    </xf>
    <xf numFmtId="165" fontId="0" fillId="0" borderId="0" applyAlignment="1" pivotButton="0" quotePrefix="0" xfId="0">
      <alignment horizontal="general" vertical="bottom"/>
    </xf>
    <xf numFmtId="2"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B5443A"/>
        <sz val="11"/>
      </font>
      <fill>
        <patternFill>
          <bgColor rgb="FFFBE2E0"/>
        </patternFill>
      </fill>
    </dxf>
    <dxf>
      <font>
        <name val="Arial"/>
        <charset val="1"/>
        <family val="0"/>
        <b val="1"/>
        <color rgb="FFB5443A"/>
        <sz val="10"/>
      </font>
      <fill>
        <patternFill>
          <bgColor rgb="FFFBE2E0"/>
        </patternFill>
      </fill>
    </dxf>
    <dxf>
      <fill>
        <patternFill patternType="solid">
          <fgColor rgb="FF0B1F4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6B72"/>
      <rgbColor rgb="FFCCCCCC"/>
      <rgbColor rgb="FF888888"/>
      <rgbColor rgb="FF9999FF"/>
      <rgbColor rgb="FFB5443A"/>
      <rgbColor rgb="FFF9F2E0"/>
      <rgbColor rgb="FFCCFFFF"/>
      <rgbColor rgb="FF660066"/>
      <rgbColor rgb="FFFF8080"/>
      <rgbColor rgb="FF0066CC"/>
      <rgbColor rgb="FFD9D9D9"/>
      <rgbColor rgb="FF000080"/>
      <rgbColor rgb="FFFF00FF"/>
      <rgbColor rgb="FFFFFF00"/>
      <rgbColor rgb="FF00FFFF"/>
      <rgbColor rgb="FF800080"/>
      <rgbColor rgb="FF800000"/>
      <rgbColor rgb="FF1F7A4D"/>
      <rgbColor rgb="FF0000FF"/>
      <rgbColor rgb="FF00CCFF"/>
      <rgbColor rgb="FFCCFFFF"/>
      <rgbColor rgb="FFCCFFCC"/>
      <rgbColor rgb="FFFFFF99"/>
      <rgbColor rgb="FF99CCFF"/>
      <rgbColor rgb="FFFF99CC"/>
      <rgbColor rgb="FFCC99FF"/>
      <rgbColor rgb="FFFBE2E0"/>
      <rgbColor rgb="FF4F81BD"/>
      <rgbColor rgb="FF33CCCC"/>
      <rgbColor rgb="FF9BBB59"/>
      <rgbColor rgb="FFFFCC00"/>
      <rgbColor rgb="FFC9A84C"/>
      <rgbColor rgb="FFFF6600"/>
      <rgbColor rgb="FF8064A2"/>
      <rgbColor rgb="FFB3B3B3"/>
      <rgbColor rgb="FF0B1F4B"/>
      <rgbColor rgb="FF339966"/>
      <rgbColor rgb="FF003300"/>
      <rgbColor rgb="FF333300"/>
      <rgbColor rgb="FF993300"/>
      <rgbColor rgb="FFC0504D"/>
      <rgbColor rgb="FF333399"/>
      <rgbColor rgb="FF1A1A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Delay Rate by Carrier</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'Delayed Shipments'!E10</f>
              <strCache>
                <ptCount val="1"/>
                <pt idx="0">
                  <v>Delay Rate</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'Delayed Shipments'!$B$11:$B$13</f>
              <strCache>
                <ptCount val="3"/>
                <pt idx="0">
                  <v>Carrier A</v>
                </pt>
                <pt idx="1">
                  <v>Carrier B</v>
                </pt>
                <pt idx="2">
                  <v>Carrier C</v>
                </pt>
              </strCache>
            </strRef>
          </cat>
          <val>
            <numRef>
              <f>'Delayed Shipments'!$E$11:$E$13</f>
              <numCache>
                <formatCode>0.0%</formatCode>
                <ptCount val="3"/>
                <pt idx="0">
                  <v>0.321428571428571</v>
                </pt>
                <pt idx="1">
                  <v>0.0930232558139535</v>
                </pt>
                <pt idx="2">
                  <v>0.137931034482759</v>
                </pt>
              </numCache>
            </numRef>
          </val>
        </ser>
        <gapWidth val="150"/>
        <overlap val="0"/>
        <axId val="77183785"/>
        <axId val="69735554"/>
      </barChart>
      <catAx>
        <axId val="77183785"/>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9735554"/>
        <crosses val="autoZero"/>
        <auto val="1"/>
        <lblAlgn val="ctr"/>
        <lblOffset val="100"/>
        <noMultiLvlLbl val="0"/>
      </catAx>
      <valAx>
        <axId val="69735554"/>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77183785"/>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Inventory Status Breakdown</a:t>
            </a:r>
          </a:p>
        </rich>
      </tx>
      <overlay val="0"/>
      <spPr>
        <a:noFill xmlns:a="http://schemas.openxmlformats.org/drawingml/2006/main"/>
        <a:ln xmlns:a="http://schemas.openxmlformats.org/drawingml/2006/main" w="0">
          <a:noFill/>
          <a:prstDash val="solid"/>
        </a:ln>
      </spPr>
    </title>
    <plotArea>
      <pieChart>
        <varyColors val="1"/>
        <ser>
          <idx val="0"/>
          <order val="0"/>
          <tx>
            <strRef>
              <f>'Inventory Status'!C10</f>
              <strCache>
                <ptCount val="1"/>
                <pt idx="0">
                  <v>SKU Count</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4f81bd"/>
              </a:solidFill>
              <a:ln xmlns:a="http://schemas.openxmlformats.org/drawingml/2006/main" w="0">
                <a:noFill/>
                <a:prstDash val="solid"/>
              </a:ln>
            </spPr>
          </dPt>
          <dPt>
            <idx val="1"/>
            <spPr>
              <a:solidFill xmlns:a="http://schemas.openxmlformats.org/drawingml/2006/main">
                <a:srgbClr val="c0504d"/>
              </a:solidFill>
              <a:ln xmlns:a="http://schemas.openxmlformats.org/drawingml/2006/main" w="0">
                <a:noFill/>
                <a:prstDash val="solid"/>
              </a:ln>
            </spPr>
          </dPt>
          <dPt>
            <idx val="2"/>
            <spPr>
              <a:solidFill xmlns:a="http://schemas.openxmlformats.org/drawingml/2006/main">
                <a:srgbClr val="9bbb59"/>
              </a:solidFill>
              <a:ln xmlns:a="http://schemas.openxmlformats.org/drawingml/2006/main" w="0">
                <a:noFill/>
                <a:prstDash val="solid"/>
              </a:ln>
            </spPr>
          </dPt>
          <dPt>
            <idx val="3"/>
            <spPr>
              <a:solidFill xmlns:a="http://schemas.openxmlformats.org/drawingml/2006/main">
                <a:srgbClr val="8064a2"/>
              </a:solidFill>
              <a:ln xmlns:a="http://schemas.openxmlformats.org/drawingml/2006/main" w="0">
                <a:noFill/>
                <a:prstDash val="solid"/>
              </a:ln>
            </spPr>
          </dPt>
          <dLbls>
            <dLbl>
              <idx val="0"/>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dLbl>
              <idx val="1"/>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dLbl>
              <idx val="2"/>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dLbl>
              <idx val="3"/>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showLeaderLines val="1"/>
          </dLbls>
          <cat>
            <strRef>
              <f>'Inventory Status'!$B$11:$B$14</f>
              <strCache>
                <ptCount val="4"/>
                <pt idx="0">
                  <v>STOCKOUT</v>
                </pt>
                <pt idx="1">
                  <v>Understocked</v>
                </pt>
                <pt idx="2">
                  <v>Healthy</v>
                </pt>
                <pt idx="3">
                  <v>Overstocked</v>
                </pt>
              </strCache>
            </strRef>
          </cat>
          <val>
            <numRef>
              <f>'Inventory Status'!$C$11:$C$14</f>
              <numCache>
                <formatCode>#,##0</formatCode>
                <ptCount val="4"/>
                <pt idx="0">
                  <v>1</v>
                </pt>
                <pt idx="1">
                  <v>24</v>
                </pt>
                <pt idx="2">
                  <v>50</v>
                </pt>
                <pt idx="3">
                  <v>25</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Composite Supplier Score (Higher = Better)</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'Supplier Performance'!L5</f>
              <strCache>
                <ptCount val="1"/>
                <pt idx="0">
                  <v>Composite Score</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'Supplier Performance'!$B$6:$B$10</f>
              <strCache>
                <ptCount val="5"/>
                <pt idx="0">
                  <v>Supplier 1</v>
                </pt>
                <pt idx="1">
                  <v>Supplier 2</v>
                </pt>
                <pt idx="2">
                  <v>Supplier 3</v>
                </pt>
                <pt idx="3">
                  <v>Supplier 4</v>
                </pt>
                <pt idx="4">
                  <v>Supplier 5</v>
                </pt>
              </strCache>
            </strRef>
          </cat>
          <val>
            <numRef>
              <f>'Supplier Performance'!$L$6:$L$10</f>
              <numCache>
                <formatCode>0.0</formatCode>
                <ptCount val="5"/>
                <pt idx="0">
                  <v>63.5368961938081</v>
                </pt>
                <pt idx="1">
                  <v>42.6906319967016</v>
                </pt>
                <pt idx="2">
                  <v>41.783061593191</v>
                </pt>
                <pt idx="3">
                  <v>25.8274674483038</v>
                </pt>
                <pt idx="4">
                  <v>36.9705128980678</v>
                </pt>
              </numCache>
            </numRef>
          </val>
        </ser>
        <gapWidth val="150"/>
        <overlap val="0"/>
        <axId val="77255321"/>
        <axId val="31904848"/>
      </barChart>
      <catAx>
        <axId val="77255321"/>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31904848"/>
        <crosses val="autoZero"/>
        <auto val="1"/>
        <lblAlgn val="ctr"/>
        <lblOffset val="100"/>
        <noMultiLvlLbl val="0"/>
      </catAx>
      <valAx>
        <axId val="31904848"/>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7725532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Defect Rate by Supplier</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'Supplier Performance'!D5</f>
              <strCache>
                <ptCount val="1"/>
                <pt idx="0">
                  <v>Avg Defect Rate</v>
                </pt>
              </strCache>
            </strRef>
          </tx>
          <spPr>
            <a:solidFill xmlns:a="http://schemas.openxmlformats.org/drawingml/2006/main">
              <a:srgbClr val="1a6b72"/>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'Supplier Performance'!$B$6:$B$10</f>
              <strCache>
                <ptCount val="5"/>
                <pt idx="0">
                  <v>Supplier 1</v>
                </pt>
                <pt idx="1">
                  <v>Supplier 2</v>
                </pt>
                <pt idx="2">
                  <v>Supplier 3</v>
                </pt>
                <pt idx="3">
                  <v>Supplier 4</v>
                </pt>
                <pt idx="4">
                  <v>Supplier 5</v>
                </pt>
              </strCache>
            </strRef>
          </cat>
          <val>
            <numRef>
              <f>'Supplier Performance'!$D$6:$D$10</f>
              <numCache>
                <formatCode>0.00\%</formatCode>
                <ptCount val="5"/>
                <pt idx="0">
                  <v>1.80362971168825</v>
                </pt>
                <pt idx="1">
                  <v>2.36275014507188</v>
                </pt>
                <pt idx="2">
                  <v>2.46578603076447</v>
                </pt>
                <pt idx="3">
                  <v>2.33739740059134</v>
                </pt>
                <pt idx="4">
                  <v>2.6654083441492</v>
                </pt>
              </numCache>
            </numRef>
          </val>
        </ser>
        <gapWidth val="150"/>
        <overlap val="0"/>
        <axId val="23089532"/>
        <axId val="72726219"/>
      </barChart>
      <catAx>
        <axId val="2308953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72726219"/>
        <crosses val="autoZero"/>
        <auto val="1"/>
        <lblAlgn val="ctr"/>
        <lblOffset val="100"/>
        <noMultiLvlLbl val="0"/>
      </catAx>
      <valAx>
        <axId val="72726219"/>
        <scaling>
          <orientation val="minMax"/>
        </scaling>
        <delete val="0"/>
        <axPos val="l"/>
        <majorGridlines>
          <spPr>
            <a:ln xmlns:a="http://schemas.openxmlformats.org/drawingml/2006/main" w="0">
              <a:solidFill>
                <a:srgbClr val="b3b3b3"/>
              </a:solidFill>
              <a:prstDash val="solid"/>
            </a:ln>
          </spPr>
        </majorGridlines>
        <numFmt formatCode="0.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2308953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Delay Rate by Carrier</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'Delayed Shipments'!E10</f>
              <strCache>
                <ptCount val="1"/>
                <pt idx="0">
                  <v>Delay Rate</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'Delayed Shipments'!$B$11:$B$13</f>
              <strCache>
                <ptCount val="3"/>
                <pt idx="0">
                  <v>Carrier A</v>
                </pt>
                <pt idx="1">
                  <v>Carrier B</v>
                </pt>
                <pt idx="2">
                  <v>Carrier C</v>
                </pt>
              </strCache>
            </strRef>
          </cat>
          <val>
            <numRef>
              <f>'Delayed Shipments'!$E$11:$E$13</f>
              <numCache>
                <formatCode>0.0%</formatCode>
                <ptCount val="3"/>
                <pt idx="0">
                  <v>0.321428571428571</v>
                </pt>
                <pt idx="1">
                  <v>0.0930232558139535</v>
                </pt>
                <pt idx="2">
                  <v>0.137931034482759</v>
                </pt>
              </numCache>
            </numRef>
          </val>
        </ser>
        <gapWidth val="150"/>
        <overlap val="0"/>
        <axId val="18118934"/>
        <axId val="1014114"/>
      </barChart>
      <catAx>
        <axId val="18118934"/>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014114"/>
        <crosses val="autoZero"/>
        <auto val="1"/>
        <lblAlgn val="ctr"/>
        <lblOffset val="100"/>
        <noMultiLvlLbl val="0"/>
      </catAx>
      <valAx>
        <axId val="1014114"/>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8118934"/>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Delay Rate by Transportation Mode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'Delayed Shipments'!L15</f>
              <strCache>
                <ptCount val="1"/>
                <pt idx="0">
                  <v>Delay Rate</v>
                </pt>
              </strCache>
            </strRef>
          </tx>
          <spPr>
            <a:solidFill xmlns:a="http://schemas.openxmlformats.org/drawingml/2006/main">
              <a:srgbClr val="1a6b72"/>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'Delayed Shipments'!$I$16:$I$19</f>
              <strCache>
                <ptCount val="4"/>
                <pt idx="0">
                  <v>Air</v>
                </pt>
                <pt idx="1">
                  <v>Rail</v>
                </pt>
                <pt idx="2">
                  <v>Road</v>
                </pt>
                <pt idx="3">
                  <v>Sea</v>
                </pt>
              </strCache>
            </strRef>
          </cat>
          <val>
            <numRef>
              <f>'Delayed Shipments'!$L$16:$L$19</f>
              <numCache>
                <formatCode>0.0%</formatCode>
                <ptCount val="4"/>
                <pt idx="0">
                  <v>0.192307692307692</v>
                </pt>
                <pt idx="1">
                  <v>0.214285714285714</v>
                </pt>
                <pt idx="2">
                  <v>0.0689655172413793</v>
                </pt>
                <pt idx="3">
                  <v>0.235294117647059</v>
                </pt>
              </numCache>
            </numRef>
          </val>
        </ser>
        <gapWidth val="150"/>
        <overlap val="0"/>
        <axId val="52789338"/>
        <axId val="22713357"/>
      </barChart>
      <catAx>
        <axId val="52789338"/>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22713357"/>
        <crosses val="autoZero"/>
        <auto val="1"/>
        <lblAlgn val="ctr"/>
        <lblOffset val="100"/>
        <noMultiLvlLbl val="0"/>
      </catAx>
      <valAx>
        <axId val="22713357"/>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278933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Delay Rate by Route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'Delayed Shipments'!E32</f>
              <strCache>
                <ptCount val="1"/>
                <pt idx="0">
                  <v>Delay Rate</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'Delayed Shipments'!$B$33:$B$35</f>
              <strCache>
                <ptCount val="3"/>
                <pt idx="0">
                  <v>Route A</v>
                </pt>
                <pt idx="1">
                  <v>Route B</v>
                </pt>
                <pt idx="2">
                  <v>Route C</v>
                </pt>
              </strCache>
            </strRef>
          </cat>
          <val>
            <numRef>
              <f>'Delayed Shipments'!$E$33:$E$35</f>
              <numCache>
                <formatCode>0.0%</formatCode>
                <ptCount val="3"/>
                <pt idx="0">
                  <v>0.162790697674419</v>
                </pt>
                <pt idx="1">
                  <v>0.162162162162162</v>
                </pt>
                <pt idx="2">
                  <v>0.2</v>
                </pt>
              </numCache>
            </numRef>
          </val>
        </ser>
        <gapWidth val="150"/>
        <overlap val="0"/>
        <axId val="57362527"/>
        <axId val="53458893"/>
      </barChart>
      <catAx>
        <axId val="57362527"/>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3458893"/>
        <crosses val="autoZero"/>
        <auto val="1"/>
        <lblAlgn val="ctr"/>
        <lblOffset val="100"/>
        <noMultiLvlLbl val="0"/>
      </catAx>
      <valAx>
        <axId val="53458893"/>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736252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Inventory Status Breakdown</a:t>
            </a:r>
          </a:p>
        </rich>
      </tx>
      <overlay val="0"/>
      <spPr>
        <a:noFill xmlns:a="http://schemas.openxmlformats.org/drawingml/2006/main"/>
        <a:ln xmlns:a="http://schemas.openxmlformats.org/drawingml/2006/main" w="0">
          <a:noFill/>
          <a:prstDash val="solid"/>
        </a:ln>
      </spPr>
    </title>
    <plotArea>
      <pieChart>
        <varyColors val="1"/>
        <ser>
          <idx val="0"/>
          <order val="0"/>
          <tx>
            <strRef>
              <f>'Inventory Status'!C10</f>
              <strCache>
                <ptCount val="1"/>
                <pt idx="0">
                  <v>SKU Count</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4f81bd"/>
              </a:solidFill>
              <a:ln xmlns:a="http://schemas.openxmlformats.org/drawingml/2006/main" w="0">
                <a:noFill/>
                <a:prstDash val="solid"/>
              </a:ln>
            </spPr>
          </dPt>
          <dPt>
            <idx val="1"/>
            <spPr>
              <a:solidFill xmlns:a="http://schemas.openxmlformats.org/drawingml/2006/main">
                <a:srgbClr val="c0504d"/>
              </a:solidFill>
              <a:ln xmlns:a="http://schemas.openxmlformats.org/drawingml/2006/main" w="0">
                <a:noFill/>
                <a:prstDash val="solid"/>
              </a:ln>
            </spPr>
          </dPt>
          <dPt>
            <idx val="2"/>
            <spPr>
              <a:solidFill xmlns:a="http://schemas.openxmlformats.org/drawingml/2006/main">
                <a:srgbClr val="9bbb59"/>
              </a:solidFill>
              <a:ln xmlns:a="http://schemas.openxmlformats.org/drawingml/2006/main" w="0">
                <a:noFill/>
                <a:prstDash val="solid"/>
              </a:ln>
            </spPr>
          </dPt>
          <dPt>
            <idx val="3"/>
            <spPr>
              <a:solidFill xmlns:a="http://schemas.openxmlformats.org/drawingml/2006/main">
                <a:srgbClr val="8064a2"/>
              </a:solidFill>
              <a:ln xmlns:a="http://schemas.openxmlformats.org/drawingml/2006/main" w="0">
                <a:noFill/>
                <a:prstDash val="solid"/>
              </a:ln>
            </spPr>
          </dPt>
          <dLbls>
            <dLbl>
              <idx val="0"/>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dLbl>
              <idx val="1"/>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dLbl>
              <idx val="2"/>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dLbl>
              <idx val="3"/>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dLbl>
            <numFmt formatCode="#,##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bestFit"/>
            <showLegendKey val="1"/>
            <showVal val="1"/>
            <showCatName val="1"/>
            <showSerName val="1"/>
            <showPercent val="1"/>
            <showLeaderLines val="1"/>
          </dLbls>
          <cat>
            <strRef>
              <f>'Inventory Status'!$B$11:$B$14</f>
              <strCache>
                <ptCount val="4"/>
                <pt idx="0">
                  <v>STOCKOUT</v>
                </pt>
                <pt idx="1">
                  <v>Understocked</v>
                </pt>
                <pt idx="2">
                  <v>Healthy</v>
                </pt>
                <pt idx="3">
                  <v>Overstocked</v>
                </pt>
              </strCache>
            </strRef>
          </cat>
          <val>
            <numRef>
              <f>'Inventory Status'!$C$11:$C$14</f>
              <numCache>
                <formatCode>#,##0</formatCode>
                <ptCount val="4"/>
                <pt idx="0">
                  <v>1</v>
                </pt>
                <pt idx="1">
                  <v>24</v>
                </pt>
                <pt idx="2">
                  <v>50</v>
                </pt>
                <pt idx="3">
                  <v>25</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Inventory Status by Product Type</a:t>
            </a:r>
          </a:p>
        </rich>
      </tx>
      <overlay val="0"/>
      <spPr>
        <a:noFill xmlns:a="http://schemas.openxmlformats.org/drawingml/2006/main"/>
        <a:ln xmlns:a="http://schemas.openxmlformats.org/drawingml/2006/main" w="0">
          <a:noFill/>
          <a:prstDash val="solid"/>
        </a:ln>
      </spPr>
    </title>
    <plotArea>
      <barChart>
        <barDir val="col"/>
        <grouping val="stacked"/>
        <varyColors val="0"/>
        <ser>
          <idx val="0"/>
          <order val="0"/>
          <tx>
            <strRef>
              <f>'Inventory Status'!J16</f>
              <strCache>
                <ptCount val="1"/>
                <pt idx="0">
                  <v>Stockouts</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ctr"/>
            <showLegendKey val="0"/>
            <showVal val="0"/>
            <showCatName val="0"/>
            <showSerName val="0"/>
            <showPercent val="0"/>
            <showLeaderLines val="1"/>
          </dLbls>
          <cat>
            <strRef>
              <f>'Inventory Status'!$I$17:$I$19</f>
              <strCache>
                <ptCount val="3"/>
                <pt idx="0">
                  <v>cosmetics</v>
                </pt>
                <pt idx="1">
                  <v>haircare</v>
                </pt>
                <pt idx="2">
                  <v>skincare</v>
                </pt>
              </strCache>
            </strRef>
          </cat>
          <val>
            <numRef>
              <f>'Inventory Status'!$J$17:$J$19</f>
              <numCache>
                <formatCode>#,##0</formatCode>
                <ptCount val="3"/>
                <pt idx="0">
                  <v>0</v>
                </pt>
                <pt idx="1">
                  <v>1</v>
                </pt>
                <pt idx="2">
                  <v>0</v>
                </pt>
              </numCache>
            </numRef>
          </val>
        </ser>
        <ser>
          <idx val="1"/>
          <order val="1"/>
          <tx>
            <strRef>
              <f>'Inventory Status'!K16</f>
              <strCache>
                <ptCount val="1"/>
                <pt idx="0">
                  <v>Understocked</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ctr"/>
            <showLegendKey val="0"/>
            <showVal val="0"/>
            <showCatName val="0"/>
            <showSerName val="0"/>
            <showPercent val="0"/>
            <showLeaderLines val="1"/>
          </dLbls>
          <cat>
            <strRef>
              <f>'Inventory Status'!$I$17:$I$19</f>
              <strCache>
                <ptCount val="3"/>
                <pt idx="0">
                  <v>cosmetics</v>
                </pt>
                <pt idx="1">
                  <v>haircare</v>
                </pt>
                <pt idx="2">
                  <v>skincare</v>
                </pt>
              </strCache>
            </strRef>
          </cat>
          <val>
            <numRef>
              <f>'Inventory Status'!$K$17:$K$19</f>
              <numCache>
                <formatCode>#,##0</formatCode>
                <ptCount val="3"/>
                <pt idx="0">
                  <v>6</v>
                </pt>
                <pt idx="1">
                  <v>5</v>
                </pt>
                <pt idx="2">
                  <v>13</v>
                </pt>
              </numCache>
            </numRef>
          </val>
        </ser>
        <ser>
          <idx val="2"/>
          <order val="2"/>
          <tx>
            <strRef>
              <f>'Inventory Status'!L16</f>
              <strCache>
                <ptCount val="1"/>
                <pt idx="0">
                  <v>Healthy</v>
                </pt>
              </strCache>
            </strRef>
          </tx>
          <spPr>
            <a:solidFill xmlns:a="http://schemas.openxmlformats.org/drawingml/2006/main">
              <a:srgbClr val="1f7a4d"/>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ctr"/>
            <showLegendKey val="0"/>
            <showVal val="0"/>
            <showCatName val="0"/>
            <showSerName val="0"/>
            <showPercent val="0"/>
            <showLeaderLines val="1"/>
          </dLbls>
          <cat>
            <strRef>
              <f>'Inventory Status'!$I$17:$I$19</f>
              <strCache>
                <ptCount val="3"/>
                <pt idx="0">
                  <v>cosmetics</v>
                </pt>
                <pt idx="1">
                  <v>haircare</v>
                </pt>
                <pt idx="2">
                  <v>skincare</v>
                </pt>
              </strCache>
            </strRef>
          </cat>
          <val>
            <numRef>
              <f>'Inventory Status'!$L$17:$L$19</f>
              <numCache>
                <formatCode>#,##0</formatCode>
                <ptCount val="3"/>
                <pt idx="0">
                  <v>9</v>
                </pt>
                <pt idx="1">
                  <v>20</v>
                </pt>
                <pt idx="2">
                  <v>21</v>
                </pt>
              </numCache>
            </numRef>
          </val>
        </ser>
        <ser>
          <idx val="3"/>
          <order val="3"/>
          <tx>
            <strRef>
              <f>'Inventory Status'!M16</f>
              <strCache>
                <ptCount val="1"/>
                <pt idx="0">
                  <v>Overstocked</v>
                </pt>
              </strCache>
            </strRef>
          </tx>
          <spPr>
            <a:solidFill xmlns:a="http://schemas.openxmlformats.org/drawingml/2006/main">
              <a:srgbClr val="1a6b72"/>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ctr"/>
            <showLegendKey val="0"/>
            <showVal val="0"/>
            <showCatName val="0"/>
            <showSerName val="0"/>
            <showPercent val="0"/>
            <showLeaderLines val="1"/>
          </dLbls>
          <cat>
            <strRef>
              <f>'Inventory Status'!$I$17:$I$19</f>
              <strCache>
                <ptCount val="3"/>
                <pt idx="0">
                  <v>cosmetics</v>
                </pt>
                <pt idx="1">
                  <v>haircare</v>
                </pt>
                <pt idx="2">
                  <v>skincare</v>
                </pt>
              </strCache>
            </strRef>
          </cat>
          <val>
            <numRef>
              <f>'Inventory Status'!$M$17:$M$19</f>
              <numCache>
                <formatCode>#,##0</formatCode>
                <ptCount val="3"/>
                <pt idx="0">
                  <v>11</v>
                </pt>
                <pt idx="1">
                  <v>8</v>
                </pt>
                <pt idx="2">
                  <v>6</v>
                </pt>
              </numCache>
            </numRef>
          </val>
        </ser>
        <gapWidth val="150"/>
        <overlap val="100"/>
        <axId val="81594218"/>
        <axId val="86127138"/>
      </barChart>
      <catAx>
        <axId val="81594218"/>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6127138"/>
        <crosses val="autoZero"/>
        <auto val="1"/>
        <lblAlgn val="ctr"/>
        <lblOffset val="100"/>
        <noMultiLvlLbl val="0"/>
      </catAx>
      <valAx>
        <axId val="86127138"/>
        <scaling>
          <orientation val="minMax"/>
        </scaling>
        <delete val="0"/>
        <axPos val="l"/>
        <majorGridlines>
          <spPr>
            <a:ln xmlns:a="http://schemas.openxmlformats.org/drawingml/2006/main" w="0">
              <a:solidFill>
                <a:srgbClr val="b3b3b3"/>
              </a:solidFill>
              <a:prstDash val="solid"/>
            </a:ln>
          </spPr>
        </majorGridlines>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1594218"/>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Composite Supplier Score (Higher = Better)</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'Supplier Performance'!L5</f>
              <strCache>
                <ptCount val="1"/>
                <pt idx="0">
                  <v>Composite Score</v>
                </pt>
              </strCache>
            </strRef>
          </tx>
          <spPr>
            <a:solidFill xmlns:a="http://schemas.openxmlformats.org/drawingml/2006/main">
              <a:srgbClr val="c9a84c"/>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'Supplier Performance'!$B$6:$B$10</f>
              <strCache>
                <ptCount val="5"/>
                <pt idx="0">
                  <v>Supplier 1</v>
                </pt>
                <pt idx="1">
                  <v>Supplier 2</v>
                </pt>
                <pt idx="2">
                  <v>Supplier 3</v>
                </pt>
                <pt idx="3">
                  <v>Supplier 4</v>
                </pt>
                <pt idx="4">
                  <v>Supplier 5</v>
                </pt>
              </strCache>
            </strRef>
          </cat>
          <val>
            <numRef>
              <f>'Supplier Performance'!$L$6:$L$10</f>
              <numCache>
                <formatCode>0.0</formatCode>
                <ptCount val="5"/>
                <pt idx="0">
                  <v>63.5368961938081</v>
                </pt>
                <pt idx="1">
                  <v>42.6906319967016</v>
                </pt>
                <pt idx="2">
                  <v>41.783061593191</v>
                </pt>
                <pt idx="3">
                  <v>25.8274674483038</v>
                </pt>
                <pt idx="4">
                  <v>36.9705128980678</v>
                </pt>
              </numCache>
            </numRef>
          </val>
        </ser>
        <gapWidth val="150"/>
        <overlap val="0"/>
        <axId val="8297518"/>
        <axId val="71924363"/>
      </barChart>
      <catAx>
        <axId val="8297518"/>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71924363"/>
        <crosses val="autoZero"/>
        <auto val="1"/>
        <lblAlgn val="ctr"/>
        <lblOffset val="100"/>
        <noMultiLvlLbl val="0"/>
      </catAx>
      <valAx>
        <axId val="71924363"/>
        <scaling>
          <orientation val="minMax"/>
        </scaling>
        <delete val="0"/>
        <axPos val="l"/>
        <majorGridlines>
          <spPr>
            <a:ln xmlns:a="http://schemas.openxmlformats.org/drawingml/2006/main" w="0">
              <a:solidFill>
                <a:srgbClr val="b3b3b3"/>
              </a:solidFill>
              <a:prstDash val="solid"/>
            </a:ln>
          </spPr>
        </majorGridlines>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29751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1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Defect Rate by Supplier</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'Supplier Performance'!D5</f>
              <strCache>
                <ptCount val="1"/>
                <pt idx="0">
                  <v>Avg Defect Rate</v>
                </pt>
              </strCache>
            </strRef>
          </tx>
          <spPr>
            <a:solidFill xmlns:a="http://schemas.openxmlformats.org/drawingml/2006/main">
              <a:srgbClr val="b5443a"/>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'Supplier Performance'!$B$6:$B$10</f>
              <strCache>
                <ptCount val="5"/>
                <pt idx="0">
                  <v>Supplier 1</v>
                </pt>
                <pt idx="1">
                  <v>Supplier 2</v>
                </pt>
                <pt idx="2">
                  <v>Supplier 3</v>
                </pt>
                <pt idx="3">
                  <v>Supplier 4</v>
                </pt>
                <pt idx="4">
                  <v>Supplier 5</v>
                </pt>
              </strCache>
            </strRef>
          </cat>
          <val>
            <numRef>
              <f>'Supplier Performance'!$D$6:$D$10</f>
              <numCache>
                <formatCode>0.00\%</formatCode>
                <ptCount val="5"/>
                <pt idx="0">
                  <v>1.80362971168825</v>
                </pt>
                <pt idx="1">
                  <v>2.36275014507188</v>
                </pt>
                <pt idx="2">
                  <v>2.46578603076447</v>
                </pt>
                <pt idx="3">
                  <v>2.33739740059134</v>
                </pt>
                <pt idx="4">
                  <v>2.6654083441492</v>
                </pt>
              </numCache>
            </numRef>
          </val>
        </ser>
        <gapWidth val="150"/>
        <overlap val="0"/>
        <axId val="17102313"/>
        <axId val="82953293"/>
      </barChart>
      <catAx>
        <axId val="17102313"/>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2953293"/>
        <crosses val="autoZero"/>
        <auto val="1"/>
        <lblAlgn val="ctr"/>
        <lblOffset val="100"/>
        <noMultiLvlLbl val="0"/>
      </catAx>
      <valAx>
        <axId val="82953293"/>
        <scaling>
          <orientation val="minMax"/>
        </scaling>
        <delete val="0"/>
        <axPos val="l"/>
        <majorGridlines>
          <spPr>
            <a:ln xmlns:a="http://schemas.openxmlformats.org/drawingml/2006/main" w="0">
              <a:solidFill>
                <a:srgbClr val="b3b3b3"/>
              </a:solidFill>
              <a:prstDash val="solid"/>
            </a:ln>
          </spPr>
        </majorGridlines>
        <numFmt formatCode="0.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7102313"/>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 Type="http://schemas.openxmlformats.org/officeDocument/2006/relationships/chart" Target="/xl/charts/chart7.xml" Id="rId3"/></Relationships>
</file>

<file path=xl/drawings/_rels/drawing3.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_rels/drawing4.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s>
</file>

<file path=xl/drawings/drawing1.xml><?xml version="1.0" encoding="utf-8"?>
<wsDr xmlns="http://schemas.openxmlformats.org/drawingml/2006/spreadsheetDrawing">
  <oneCellAnchor>
    <from>
      <col>1</col>
      <colOff>0</colOff>
      <row>13</row>
      <rowOff>0</rowOff>
    </from>
    <ext cx="558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13</row>
      <rowOff>0</rowOff>
    </from>
    <ext cx="558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31</row>
      <rowOff>0</rowOff>
    </from>
    <ext cx="5580000" cy="295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31</row>
      <rowOff>0</rowOff>
    </from>
    <ext cx="5580000" cy="295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twoCellAnchor editAs="oneCell">
    <from>
      <col>1</col>
      <colOff>0</colOff>
      <row>13</row>
      <rowOff>86400</rowOff>
    </from>
    <to>
      <col>5</col>
      <colOff>948600</colOff>
      <row>28</row>
      <rowOff>91080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8</col>
      <colOff>0</colOff>
      <row>19</row>
      <rowOff>71640</rowOff>
    </from>
    <to>
      <col>12</col>
      <colOff>1019160</colOff>
      <row>34</row>
      <rowOff>76320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35</row>
      <rowOff>57240</rowOff>
    </from>
    <to>
      <col>5</col>
      <colOff>948600</colOff>
      <row>50</row>
      <rowOff>76680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drawings/drawing3.xml><?xml version="1.0" encoding="utf-8"?>
<wsDr xmlns="http://schemas.openxmlformats.org/drawingml/2006/spreadsheetDrawing">
  <twoCellAnchor editAs="oneCell">
    <from>
      <col>1</col>
      <colOff>0</colOff>
      <row>14</row>
      <rowOff>86400</rowOff>
    </from>
    <to>
      <col>5</col>
      <colOff>377280</colOff>
      <row>31</row>
      <rowOff>70200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8</col>
      <colOff>0</colOff>
      <row>19</row>
      <rowOff>71640</rowOff>
    </from>
    <to>
      <col>13</col>
      <colOff>314640</colOff>
      <row>36</row>
      <rowOff>70200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4.xml><?xml version="1.0" encoding="utf-8"?>
<wsDr xmlns="http://schemas.openxmlformats.org/drawingml/2006/spreadsheetDrawing">
  <twoCellAnchor editAs="oneCell">
    <from>
      <col>1</col>
      <colOff>0</colOff>
      <row>14</row>
      <rowOff>41400</rowOff>
    </from>
    <to>
      <col>7</col>
      <colOff>189000</colOff>
      <row>31</row>
      <rowOff>40320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14</row>
      <rowOff>41400</rowOff>
    </from>
    <to>
      <col>16</col>
      <colOff>539640</colOff>
      <row>31</row>
      <rowOff>40320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RawData" displayName="RawData" ref="A1:AD101" headerRowCount="1" totalsRowCount="0" totalsRowShown="0">
  <autoFilter ref="A1:AD101"/>
  <tableColumns count="30">
    <tableColumn id="1" name="SKU"/>
    <tableColumn id="2" name="Product type"/>
    <tableColumn id="3" name="Price"/>
    <tableColumn id="4" name="Availability"/>
    <tableColumn id="5" name="Number of products sold"/>
    <tableColumn id="6" name="Revenue generated"/>
    <tableColumn id="7" name="Customer demographics"/>
    <tableColumn id="8" name="Stock levels"/>
    <tableColumn id="9" name="Order quantities"/>
    <tableColumn id="10" name="Lead times"/>
    <tableColumn id="11" name="Shipping times"/>
    <tableColumn id="12" name="Shipping carriers"/>
    <tableColumn id="13" name="Shipping costs"/>
    <tableColumn id="14" name="Supplier name"/>
    <tableColumn id="15" name="Location"/>
    <tableColumn id="16" name="Lead time"/>
    <tableColumn id="17" name="Production volumes"/>
    <tableColumn id="18" name="Manufacturing lead time"/>
    <tableColumn id="19" name="Manufacturing costs"/>
    <tableColumn id="20" name="Inspection results"/>
    <tableColumn id="21" name="Defect rates"/>
    <tableColumn id="22" name="Transportation modes"/>
    <tableColumn id="23" name="Routes"/>
    <tableColumn id="24" name="Costs"/>
    <tableColumn id="25" name="Stock-to-Order Ratio"/>
    <tableColumn id="26" name="Inventory Status"/>
    <tableColumn id="27" name="Delayed Flag"/>
    <tableColumn id="28" name="Days Over Threshold"/>
    <tableColumn id="29" name="Supplier Quality Score"/>
    <tableColumn id="30" name="Total Cost per Uni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outlinePr summaryBelow="1" summaryRight="1"/>
    <pageSetUpPr fitToPage="0"/>
  </sheetPr>
  <dimension ref="B2:H1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2" min="1" max="1"/>
    <col width="20" customWidth="1" style="52" min="2" max="2"/>
    <col width="16" customWidth="1" style="52" min="3" max="8"/>
  </cols>
  <sheetData>
    <row r="2" ht="26.25" customHeight="1" s="53">
      <c r="B2" s="54" t="inlineStr">
        <is>
          <t>Supply Chain and Inventory Analysis</t>
        </is>
      </c>
    </row>
    <row r="3" ht="15" customHeight="1" s="53">
      <c r="B3" s="55" t="inlineStr">
        <is>
          <t>Supply Chain Dataset — Executive Operations Workbook</t>
        </is>
      </c>
    </row>
    <row r="5" ht="15" customHeight="1" s="53">
      <c r="B5" s="56" t="inlineStr">
        <is>
          <t>Prepared by:</t>
        </is>
      </c>
      <c r="C5" s="57" t="inlineStr">
        <is>
          <t>Abdulmalik Abdulmalik · Stravionyx Ltd</t>
        </is>
      </c>
    </row>
    <row r="6" ht="15" customHeight="1" s="53">
      <c r="B6" s="56" t="inlineStr">
        <is>
          <t>Date:</t>
        </is>
      </c>
      <c r="C6" s="57" t="inlineStr">
        <is>
          <t>June 21, 2026</t>
        </is>
      </c>
    </row>
    <row r="7" ht="15" customHeight="1" s="53">
      <c r="B7" s="56" t="inlineStr">
        <is>
          <t>Dataset:</t>
        </is>
      </c>
      <c r="C7" s="57" t="inlineStr">
        <is>
          <t>100 SKUs · 24 source variables + 6 engineered fields</t>
        </is>
      </c>
    </row>
    <row r="9" ht="15.75" customHeight="1" s="53">
      <c r="B9" s="58" t="inlineStr">
        <is>
          <t>Business Problem</t>
        </is>
      </c>
    </row>
    <row r="10" ht="23.25" customHeight="1" s="53">
      <c r="B10" s="59" t="inlineStr">
        <is>
          <t>How can inventory management be improved by identifying delayed shipments, overstocked and understocked products, and underperforming suppliers?</t>
        </is>
      </c>
    </row>
    <row r="12" ht="15.75" customHeight="1" s="53">
      <c r="B12" s="58" t="inlineStr">
        <is>
          <t>Sheet Guide</t>
        </is>
      </c>
    </row>
    <row r="13" ht="15" customHeight="1" s="53">
      <c r="B13" s="56" t="inlineStr">
        <is>
          <t>Raw Data</t>
        </is>
      </c>
      <c r="C13" s="59" t="inlineStr">
        <is>
          <t>Cleaned, formula-enriched SKU-level data (source of all analysis in this workbook).</t>
        </is>
      </c>
    </row>
    <row r="14" ht="15" customHeight="1" s="53">
      <c r="B14" s="56" t="inlineStr">
        <is>
          <t>Cleaning Log</t>
        </is>
      </c>
      <c r="C14" s="59" t="inlineStr">
        <is>
          <t>Documents every data quality check performed and the result.</t>
        </is>
      </c>
    </row>
    <row r="15" ht="15" customHeight="1" s="53">
      <c r="B15" s="56" t="inlineStr">
        <is>
          <t>Dashboard</t>
        </is>
      </c>
      <c r="C15" s="59" t="inlineStr">
        <is>
          <t>One-page executive dashboard: delivery delays, supplier rankings, inventory health.</t>
        </is>
      </c>
    </row>
    <row r="16" ht="15" customHeight="1" s="53">
      <c r="B16" s="56" t="inlineStr">
        <is>
          <t>Delayed Shipments</t>
        </is>
      </c>
      <c r="C16" s="59" t="inlineStr">
        <is>
          <t>Identifies and quantifies delayed shipments by carrier, route, and transport mode.</t>
        </is>
      </c>
    </row>
    <row r="17" ht="15" customHeight="1" s="53">
      <c r="B17" s="56" t="inlineStr">
        <is>
          <t>Inventory Status</t>
        </is>
      </c>
      <c r="C17" s="59" t="inlineStr">
        <is>
          <t>Classifies every SKU as Overstocked, Understocked, or Healthy.</t>
        </is>
      </c>
    </row>
    <row r="18" ht="15" customHeight="1" s="53">
      <c r="B18" s="56" t="inlineStr">
        <is>
          <t>Supplier Performance</t>
        </is>
      </c>
      <c r="C18" s="59" t="inlineStr">
        <is>
          <t>Ranks suppliers on defect rate, inspection pass rate, lead time, and cost.</t>
        </is>
      </c>
    </row>
    <row r="19" ht="15" customHeight="1" s="53">
      <c r="B19" s="56" t="inlineStr">
        <is>
          <t>Recommendations</t>
        </is>
      </c>
      <c r="C19" s="59" t="inlineStr">
        <is>
          <t>Operational improvements tied directly to findings.</t>
        </is>
      </c>
    </row>
  </sheetData>
  <mergeCells count="8">
    <mergeCell ref="C19:H19"/>
    <mergeCell ref="C16:H16"/>
    <mergeCell ref="C14:H14"/>
    <mergeCell ref="C13:H13"/>
    <mergeCell ref="C18:H18"/>
    <mergeCell ref="B10:H10"/>
    <mergeCell ref="C17:H17"/>
    <mergeCell ref="C15:H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O5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 customWidth="1" style="52" min="1" max="1"/>
    <col width="13" customWidth="1" style="52" min="2" max="13"/>
    <col width="13" customWidth="1" style="53" min="3" max="3"/>
    <col width="13" customWidth="1" style="53" min="4" max="4"/>
    <col width="13" customWidth="1" style="53" min="5" max="5"/>
    <col width="13" customWidth="1" style="53" min="6" max="6"/>
    <col width="13" customWidth="1" style="53" min="7" max="7"/>
    <col width="13" customWidth="1" style="53" min="8" max="8"/>
    <col width="13" customWidth="1" style="53" min="9" max="9"/>
    <col width="13" customWidth="1" style="53" min="10" max="10"/>
    <col width="13" customWidth="1" style="53" min="11" max="11"/>
    <col width="13" customWidth="1" style="53" min="12" max="12"/>
    <col width="13" customWidth="1" style="53" min="13" max="13"/>
    <col width="2.5" customWidth="1" style="52" min="14" max="14"/>
  </cols>
  <sheetData>
    <row r="1" ht="30" customHeight="1" s="53">
      <c r="A1" s="60" t="n"/>
      <c r="B1" s="61" t="inlineStr">
        <is>
          <t>SUPPLY CHAIN &amp; INVENTORY — EXECUTIVE DASHBOARD</t>
        </is>
      </c>
      <c r="O1" s="60" t="n"/>
    </row>
    <row r="2" ht="18" customHeight="1" s="53">
      <c r="A2" s="60" t="n"/>
      <c r="B2" s="62" t="inlineStr">
        <is>
          <t>Supply Chain Dataset · 100 SKUs · 5 Suppliers · 4 Transportation Modes</t>
        </is>
      </c>
      <c r="O2" s="60" t="n"/>
    </row>
    <row r="3" ht="6" customHeight="1" s="53">
      <c r="A3" s="60" t="n"/>
      <c r="B3" s="60" t="n"/>
      <c r="C3" s="60" t="n"/>
      <c r="D3" s="60" t="n"/>
      <c r="E3" s="60" t="n"/>
      <c r="F3" s="60" t="n"/>
      <c r="G3" s="60" t="n"/>
      <c r="H3" s="60" t="n"/>
      <c r="I3" s="60" t="n"/>
      <c r="J3" s="60" t="n"/>
      <c r="K3" s="60" t="n"/>
      <c r="L3" s="60" t="n"/>
      <c r="M3" s="60" t="n"/>
      <c r="N3" s="60" t="n"/>
      <c r="O3" s="60" t="n"/>
    </row>
    <row r="4" ht="15.75" customHeight="1" s="53">
      <c r="B4" s="63" t="inlineStr">
        <is>
          <t>DELAY RATE</t>
        </is>
      </c>
      <c r="C4" s="64" t="n"/>
      <c r="D4" s="65" t="n"/>
      <c r="E4" s="63" t="inlineStr">
        <is>
          <t>STOCKOUTS + UNDERSTOCKED</t>
        </is>
      </c>
      <c r="F4" s="64" t="n"/>
      <c r="G4" s="65" t="n"/>
      <c r="H4" s="63" t="inlineStr">
        <is>
          <t>OVERSTOCKED SKUS</t>
        </is>
      </c>
      <c r="I4" s="64" t="n"/>
      <c r="J4" s="65" t="n"/>
      <c r="K4" s="63" t="inlineStr">
        <is>
          <t>AVG SUPPLIER DEFECT RATE</t>
        </is>
      </c>
      <c r="L4" s="64" t="n"/>
      <c r="M4" s="65" t="n"/>
    </row>
    <row r="5" ht="13.5" customHeight="1" s="53">
      <c r="B5" s="66">
        <f>COUNTIF('Raw Data'!$AA$2:$AA$101,"Delayed")/COUNTA('Raw Data'!$AA$2:$AA$101)</f>
        <v/>
      </c>
      <c r="C5" s="67" t="n"/>
      <c r="D5" s="68" t="n"/>
      <c r="E5" s="69">
        <f>COUNTIF('Raw Data'!$Z$2:$Z$101,"STOCKOUT")+COUNTIF('Raw Data'!$Z$2:$Z$101,"Understocked")</f>
        <v/>
      </c>
      <c r="F5" s="67" t="n"/>
      <c r="G5" s="68" t="n"/>
      <c r="H5" s="69">
        <f>COUNTIF('Raw Data'!$Z$2:$Z$101,"Overstocked")</f>
        <v/>
      </c>
      <c r="I5" s="67" t="n"/>
      <c r="J5" s="68" t="n"/>
      <c r="K5" s="70">
        <f>AVERAGE('Raw Data'!$U$2:$U$101)</f>
        <v/>
      </c>
      <c r="L5" s="67" t="n"/>
      <c r="M5" s="68" t="n"/>
    </row>
    <row r="6" ht="21.75" customHeight="1" s="53">
      <c r="B6" s="71" t="n"/>
      <c r="C6" s="72" t="n"/>
      <c r="D6" s="73" t="n"/>
      <c r="E6" s="71" t="n"/>
      <c r="F6" s="72" t="n"/>
      <c r="G6" s="73" t="n"/>
      <c r="H6" s="71" t="n"/>
      <c r="I6" s="72" t="n"/>
      <c r="J6" s="73" t="n"/>
      <c r="K6" s="71" t="n"/>
      <c r="L6" s="72" t="n"/>
      <c r="M6" s="73" t="n"/>
    </row>
    <row r="8" ht="15" customHeight="1" s="53">
      <c r="B8" s="74" t="inlineStr">
        <is>
          <t>Worst Carrier (Delay Rate)</t>
        </is>
      </c>
      <c r="E8" s="74" t="inlineStr">
        <is>
          <t>Top-Ranked Supplier</t>
        </is>
      </c>
      <c r="H8" s="74" t="inlineStr">
        <is>
          <t>Weakest Supplier (0% Pass Rate)</t>
        </is>
      </c>
      <c r="K8" s="74" t="inlineStr">
        <is>
          <t>SKUs Needing Immediate Action</t>
        </is>
      </c>
    </row>
    <row r="9" ht="15.75" customHeight="1" s="53">
      <c r="B9" s="75" t="inlineStr">
        <is>
          <t>Carrier A (32.1%)</t>
        </is>
      </c>
      <c r="E9" s="76" t="inlineStr">
        <is>
          <t>Supplier 1</t>
        </is>
      </c>
      <c r="H9" s="75" t="inlineStr">
        <is>
          <t>Supplier 4</t>
        </is>
      </c>
      <c r="K9" s="77">
        <f>COUNTIF('Raw Data'!$Z$2:$Z$101,"STOCKOUT")&amp;" Stockout, "&amp;COUNTIF('Raw Data'!$Z$2:$Z$101,"Understocked")&amp;" Understocked"</f>
        <v/>
      </c>
    </row>
    <row r="11" ht="15" customHeight="1" s="53">
      <c r="B11" s="56" t="inlineStr">
        <is>
          <t>Interactive Filter — Select a Product Type:</t>
        </is>
      </c>
      <c r="E11" s="78" t="inlineStr">
        <is>
          <t>All Products</t>
        </is>
      </c>
      <c r="F11" s="64" t="n"/>
      <c r="G11" s="65" t="n"/>
      <c r="I11" s="56" t="inlineStr">
        <is>
          <t>Filtered SKU Count:</t>
        </is>
      </c>
      <c r="K11" s="79">
        <f>IF($E$11="All Products",COUNTA('Raw Data'!$A$2:$A$101),COUNTIF('Raw Data'!$B$2:$B$101,$E$11))</f>
        <v/>
      </c>
      <c r="L11" s="56" t="inlineStr">
        <is>
          <t>Filtered Defect Rate:</t>
        </is>
      </c>
      <c r="M11" s="80">
        <f>IF($E$11="All Products",AVERAGE('Raw Data'!$U$2:$U$101),AVERAGEIF('Raw Data'!$B$2:$B$101,$E$11,'Raw Data'!$U$2:$U$101))</f>
        <v/>
      </c>
    </row>
    <row r="50" ht="15" customHeight="1" s="53">
      <c r="B50" s="81" t="inlineStr">
        <is>
          <t>Prepared by Abdulmalik Abdulmalik · Stravionyx Ltd  |  Source: Supply Chain Dataset  |  See 'Recommendations' tab for operational improvements</t>
        </is>
      </c>
    </row>
  </sheetData>
  <mergeCells count="21">
    <mergeCell ref="B5:D6"/>
    <mergeCell ref="B8:D8"/>
    <mergeCell ref="H5:J6"/>
    <mergeCell ref="E9:G9"/>
    <mergeCell ref="K8:M8"/>
    <mergeCell ref="E11:G11"/>
    <mergeCell ref="M11:N11"/>
    <mergeCell ref="B50:N50"/>
    <mergeCell ref="E5:G6"/>
    <mergeCell ref="K5:M6"/>
    <mergeCell ref="B9:D9"/>
    <mergeCell ref="K4:M4"/>
    <mergeCell ref="B4:D4"/>
    <mergeCell ref="H8:J8"/>
    <mergeCell ref="B2:N2"/>
    <mergeCell ref="B1:N1"/>
    <mergeCell ref="K9:M9"/>
    <mergeCell ref="E8:G8"/>
    <mergeCell ref="H4:J4"/>
    <mergeCell ref="E4:G4"/>
    <mergeCell ref="H9:J9"/>
  </mergeCells>
  <conditionalFormatting sqref="N11">
    <cfRule type="cellIs" rank="0" priority="2" equalAverage="0" operator="greaterThan" aboveAverage="0" dxfId="0" text="" percent="0" bottom="0">
      <formula>2.5</formula>
    </cfRule>
  </conditionalFormatting>
  <dataValidations count="1">
    <dataValidation sqref="E11" showDropDown="0" showInputMessage="0" showErrorMessage="0" allowBlank="0" promptTitle="Product Type Filter" prompt="Choose a Product Type to filter dynamic stats below" type="list" errorStyle="stop" operator="between">
      <formula1>"All Products,haircare,skincare,cosmetics"</formula1>
      <formula2>0</formula2>
    </dataValidation>
  </dataValidations>
  <printOptions horizontalCentered="1"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1"/>
  </sheetPr>
  <dimension ref="B2:M7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2" min="1" max="1"/>
    <col width="16" customWidth="1" style="52" min="2" max="2"/>
    <col width="15" customWidth="1" style="52" min="3" max="3"/>
    <col width="14" customWidth="1" style="52" min="4" max="4"/>
    <col width="13" customWidth="1" style="52" min="5" max="5"/>
    <col width="16" customWidth="1" style="52" min="6" max="7"/>
    <col width="3" customWidth="1" style="52" min="8" max="8"/>
    <col width="16" customWidth="1" style="52" min="9" max="9"/>
    <col width="15" customWidth="1" style="52" min="10" max="10"/>
    <col width="13" customWidth="1" style="52" min="11" max="12"/>
    <col width="16" customWidth="1" style="52" min="13" max="13"/>
  </cols>
  <sheetData>
    <row r="2" ht="21.75" customHeight="1" s="53">
      <c r="B2" s="82" t="inlineStr">
        <is>
          <t>Delayed Shipments Analysis</t>
        </is>
      </c>
    </row>
    <row r="3" ht="15" customHeight="1" s="53">
      <c r="B3" s="55" t="inlineStr">
        <is>
          <t>Shipments are classified Delayed when Shipping Times exceed 8 days (75th percentile benchmark — see Cleaning Log)</t>
        </is>
      </c>
    </row>
    <row r="5" ht="15.75" customHeight="1" s="53">
      <c r="B5" s="63" t="inlineStr">
        <is>
          <t>TOTAL SHIPMENTS</t>
        </is>
      </c>
      <c r="C5" s="64" t="n"/>
      <c r="D5" s="65" t="n"/>
      <c r="E5" s="63" t="inlineStr">
        <is>
          <t>DELAYED SHIPMENTS</t>
        </is>
      </c>
      <c r="F5" s="64" t="n"/>
      <c r="G5" s="65" t="n"/>
      <c r="H5" s="63" t="inlineStr">
        <is>
          <t>DELAY RATE</t>
        </is>
      </c>
      <c r="I5" s="64" t="n"/>
      <c r="J5" s="65" t="n"/>
      <c r="K5" s="63" t="inlineStr">
        <is>
          <t>AVG DAYS OVER THRESHOLD</t>
        </is>
      </c>
      <c r="L5" s="64" t="n"/>
      <c r="M5" s="65" t="n"/>
    </row>
    <row r="6" ht="13.5" customHeight="1" s="53">
      <c r="B6" s="83">
        <f>COUNTA('Raw Data'!$A$2:$A$101)</f>
        <v/>
      </c>
      <c r="C6" s="67" t="n"/>
      <c r="D6" s="68" t="n"/>
      <c r="E6" s="83">
        <f>COUNTIF('Raw Data'!$AA$2:$AA$101,"Delayed")</f>
        <v/>
      </c>
      <c r="F6" s="67" t="n"/>
      <c r="G6" s="68" t="n"/>
      <c r="H6" s="84">
        <f>COUNTIF('Raw Data'!$AA$2:$AA$101,"Delayed")/COUNTA('Raw Data'!$AA$2:$AA$101)</f>
        <v/>
      </c>
      <c r="I6" s="67" t="n"/>
      <c r="J6" s="68" t="n"/>
      <c r="K6" s="85">
        <f>AVERAGEIF('Raw Data'!$AA$2:$AA$101,"Delayed",'Raw Data'!$AB$2:$AB$101)</f>
        <v/>
      </c>
      <c r="L6" s="67" t="n"/>
      <c r="M6" s="68" t="n"/>
    </row>
    <row r="7" ht="21.75" customHeight="1" s="53">
      <c r="B7" s="71" t="n"/>
      <c r="C7" s="72" t="n"/>
      <c r="D7" s="73" t="n"/>
      <c r="E7" s="71" t="n"/>
      <c r="F7" s="72" t="n"/>
      <c r="G7" s="73" t="n"/>
      <c r="H7" s="71" t="n"/>
      <c r="I7" s="72" t="n"/>
      <c r="J7" s="73" t="n"/>
      <c r="K7" s="71" t="n"/>
      <c r="L7" s="72" t="n"/>
      <c r="M7" s="73" t="n"/>
    </row>
    <row r="9" ht="15.75" customHeight="1" s="53">
      <c r="B9" s="58" t="inlineStr">
        <is>
          <t>Delays by Shipping Carrier</t>
        </is>
      </c>
    </row>
    <row r="10" ht="15" customHeight="1" s="53">
      <c r="B10" s="86" t="inlineStr">
        <is>
          <t>Carrier</t>
        </is>
      </c>
      <c r="C10" s="86" t="inlineStr">
        <is>
          <t>Total Shipments</t>
        </is>
      </c>
      <c r="D10" s="86" t="inlineStr">
        <is>
          <t>Delayed</t>
        </is>
      </c>
      <c r="E10" s="86" t="inlineStr">
        <is>
          <t>Delay Rate</t>
        </is>
      </c>
      <c r="F10" s="86" t="inlineStr">
        <is>
          <t>Avg Shipping Time</t>
        </is>
      </c>
      <c r="G10" s="86" t="inlineStr">
        <is>
          <t>Avg Shipping Cost</t>
        </is>
      </c>
    </row>
    <row r="11" ht="15" customHeight="1" s="53">
      <c r="B11" s="87" t="inlineStr">
        <is>
          <t>Carrier A</t>
        </is>
      </c>
      <c r="C11" s="88">
        <f>COUNTIF('Raw Data'!$L$2:$L$101,$B11)</f>
        <v/>
      </c>
      <c r="D11" s="88">
        <f>COUNTIFS('Raw Data'!$L$2:$L$101,$B11,'Raw Data'!$AA$2:$AA$101,"Delayed")</f>
        <v/>
      </c>
      <c r="E11" s="89">
        <f>D11/C11</f>
        <v/>
      </c>
      <c r="F11" s="90">
        <f>AVERAGEIF('Raw Data'!$L$2:$L$101,$B11,'Raw Data'!$K$2:$K$101)</f>
        <v/>
      </c>
      <c r="G11" s="91">
        <f>AVERAGEIF('Raw Data'!$L$2:$L$101,$B11,'Raw Data'!$M$2:$M$101)</f>
        <v/>
      </c>
    </row>
    <row r="12" ht="15" customHeight="1" s="53">
      <c r="B12" s="87" t="inlineStr">
        <is>
          <t>Carrier B</t>
        </is>
      </c>
      <c r="C12" s="88">
        <f>COUNTIF('Raw Data'!$L$2:$L$101,$B12)</f>
        <v/>
      </c>
      <c r="D12" s="88">
        <f>COUNTIFS('Raw Data'!$L$2:$L$101,$B12,'Raw Data'!$AA$2:$AA$101,"Delayed")</f>
        <v/>
      </c>
      <c r="E12" s="89">
        <f>D12/C12</f>
        <v/>
      </c>
      <c r="F12" s="90">
        <f>AVERAGEIF('Raw Data'!$L$2:$L$101,$B12,'Raw Data'!$K$2:$K$101)</f>
        <v/>
      </c>
      <c r="G12" s="91">
        <f>AVERAGEIF('Raw Data'!$L$2:$L$101,$B12,'Raw Data'!$M$2:$M$101)</f>
        <v/>
      </c>
    </row>
    <row r="13" ht="15" customHeight="1" s="53">
      <c r="B13" s="87" t="inlineStr">
        <is>
          <t>Carrier C</t>
        </is>
      </c>
      <c r="C13" s="88">
        <f>COUNTIF('Raw Data'!$L$2:$L$101,$B13)</f>
        <v/>
      </c>
      <c r="D13" s="88">
        <f>COUNTIFS('Raw Data'!$L$2:$L$101,$B13,'Raw Data'!$AA$2:$AA$101,"Delayed")</f>
        <v/>
      </c>
      <c r="E13" s="89">
        <f>D13/C13</f>
        <v/>
      </c>
      <c r="F13" s="90">
        <f>AVERAGEIF('Raw Data'!$L$2:$L$101,$B13,'Raw Data'!$K$2:$K$101)</f>
        <v/>
      </c>
      <c r="G13" s="91">
        <f>AVERAGEIF('Raw Data'!$L$2:$L$101,$B13,'Raw Data'!$M$2:$M$101)</f>
        <v/>
      </c>
    </row>
    <row r="14" ht="15.75" customHeight="1" s="53">
      <c r="I14" s="58" t="inlineStr">
        <is>
          <t>Delays by Transportation Mode</t>
        </is>
      </c>
    </row>
    <row r="15" ht="15" customHeight="1" s="53">
      <c r="I15" s="86" t="inlineStr">
        <is>
          <t>Mode</t>
        </is>
      </c>
      <c r="J15" s="86" t="inlineStr">
        <is>
          <t>Total Shipments</t>
        </is>
      </c>
      <c r="K15" s="86" t="inlineStr">
        <is>
          <t>Delayed</t>
        </is>
      </c>
      <c r="L15" s="86" t="inlineStr">
        <is>
          <t>Delay Rate</t>
        </is>
      </c>
      <c r="M15" s="86" t="inlineStr">
        <is>
          <t>Avg Shipping Time</t>
        </is>
      </c>
    </row>
    <row r="16" ht="15" customHeight="1" s="53">
      <c r="I16" s="87" t="inlineStr">
        <is>
          <t>Air</t>
        </is>
      </c>
      <c r="J16" s="88">
        <f>COUNTIF('Raw Data'!$V$2:$V$101,$I16)</f>
        <v/>
      </c>
      <c r="K16" s="88">
        <f>COUNTIFS('Raw Data'!$V$2:$V$101,$I16,'Raw Data'!$AA$2:$AA$101,"Delayed")</f>
        <v/>
      </c>
      <c r="L16" s="89">
        <f>K16/J16</f>
        <v/>
      </c>
      <c r="M16" s="90">
        <f>AVERAGEIF('Raw Data'!$V$2:$V$101,$I16,'Raw Data'!$K$2:$K$101)</f>
        <v/>
      </c>
    </row>
    <row r="17" ht="15" customHeight="1" s="53">
      <c r="I17" s="87" t="inlineStr">
        <is>
          <t>Rail</t>
        </is>
      </c>
      <c r="J17" s="88">
        <f>COUNTIF('Raw Data'!$V$2:$V$101,$I17)</f>
        <v/>
      </c>
      <c r="K17" s="88">
        <f>COUNTIFS('Raw Data'!$V$2:$V$101,$I17,'Raw Data'!$AA$2:$AA$101,"Delayed")</f>
        <v/>
      </c>
      <c r="L17" s="89">
        <f>K17/J17</f>
        <v/>
      </c>
      <c r="M17" s="90">
        <f>AVERAGEIF('Raw Data'!$V$2:$V$101,$I17,'Raw Data'!$K$2:$K$101)</f>
        <v/>
      </c>
    </row>
    <row r="18" ht="15" customHeight="1" s="53">
      <c r="I18" s="87" t="inlineStr">
        <is>
          <t>Road</t>
        </is>
      </c>
      <c r="J18" s="88">
        <f>COUNTIF('Raw Data'!$V$2:$V$101,$I18)</f>
        <v/>
      </c>
      <c r="K18" s="88">
        <f>COUNTIFS('Raw Data'!$V$2:$V$101,$I18,'Raw Data'!$AA$2:$AA$101,"Delayed")</f>
        <v/>
      </c>
      <c r="L18" s="89">
        <f>K18/J18</f>
        <v/>
      </c>
      <c r="M18" s="90">
        <f>AVERAGEIF('Raw Data'!$V$2:$V$101,$I18,'Raw Data'!$K$2:$K$101)</f>
        <v/>
      </c>
    </row>
    <row r="19" ht="15" customHeight="1" s="53">
      <c r="I19" s="87" t="inlineStr">
        <is>
          <t>Sea</t>
        </is>
      </c>
      <c r="J19" s="88">
        <f>COUNTIF('Raw Data'!$V$2:$V$101,$I19)</f>
        <v/>
      </c>
      <c r="K19" s="88">
        <f>COUNTIFS('Raw Data'!$V$2:$V$101,$I19,'Raw Data'!$AA$2:$AA$101,"Delayed")</f>
        <v/>
      </c>
      <c r="L19" s="89">
        <f>K19/J19</f>
        <v/>
      </c>
      <c r="M19" s="90">
        <f>AVERAGEIF('Raw Data'!$V$2:$V$101,$I19,'Raw Data'!$K$2:$K$101)</f>
        <v/>
      </c>
    </row>
    <row r="31" ht="15.75" customHeight="1" s="53">
      <c r="B31" s="58" t="inlineStr">
        <is>
          <t>Delays by Route</t>
        </is>
      </c>
    </row>
    <row r="32" ht="15" customHeight="1" s="53">
      <c r="B32" s="86" t="inlineStr">
        <is>
          <t>Route</t>
        </is>
      </c>
      <c r="C32" s="86" t="inlineStr">
        <is>
          <t>Total Shipments</t>
        </is>
      </c>
      <c r="D32" s="86" t="inlineStr">
        <is>
          <t>Delayed</t>
        </is>
      </c>
      <c r="E32" s="86" t="inlineStr">
        <is>
          <t>Delay Rate</t>
        </is>
      </c>
      <c r="F32" s="86" t="inlineStr">
        <is>
          <t>Avg Shipping Time</t>
        </is>
      </c>
    </row>
    <row r="33" ht="15" customHeight="1" s="53">
      <c r="B33" s="87" t="inlineStr">
        <is>
          <t>Route A</t>
        </is>
      </c>
      <c r="C33" s="88">
        <f>COUNTIF('Raw Data'!$W$2:$W$101,$B33)</f>
        <v/>
      </c>
      <c r="D33" s="88">
        <f>COUNTIFS('Raw Data'!$W$2:$W$101,$B33,'Raw Data'!$AA$2:$AA$101,"Delayed")</f>
        <v/>
      </c>
      <c r="E33" s="89">
        <f>D33/C33</f>
        <v/>
      </c>
      <c r="F33" s="90">
        <f>AVERAGEIF('Raw Data'!$W$2:$W$101,$B33,'Raw Data'!$K$2:$K$101)</f>
        <v/>
      </c>
    </row>
    <row r="34" ht="15" customHeight="1" s="53">
      <c r="B34" s="87" t="inlineStr">
        <is>
          <t>Route B</t>
        </is>
      </c>
      <c r="C34" s="88">
        <f>COUNTIF('Raw Data'!$W$2:$W$101,$B34)</f>
        <v/>
      </c>
      <c r="D34" s="88">
        <f>COUNTIFS('Raw Data'!$W$2:$W$101,$B34,'Raw Data'!$AA$2:$AA$101,"Delayed")</f>
        <v/>
      </c>
      <c r="E34" s="89">
        <f>D34/C34</f>
        <v/>
      </c>
      <c r="F34" s="90">
        <f>AVERAGEIF('Raw Data'!$W$2:$W$101,$B34,'Raw Data'!$K$2:$K$101)</f>
        <v/>
      </c>
    </row>
    <row r="35" ht="15" customHeight="1" s="53">
      <c r="B35" s="87" t="inlineStr">
        <is>
          <t>Route C</t>
        </is>
      </c>
      <c r="C35" s="88">
        <f>COUNTIF('Raw Data'!$W$2:$W$101,$B35)</f>
        <v/>
      </c>
      <c r="D35" s="88">
        <f>COUNTIFS('Raw Data'!$W$2:$W$101,$B35,'Raw Data'!$AA$2:$AA$101,"Delayed")</f>
        <v/>
      </c>
      <c r="E35" s="89">
        <f>D35/C35</f>
        <v/>
      </c>
      <c r="F35" s="90">
        <f>AVERAGEIF('Raw Data'!$W$2:$W$101,$B35,'Raw Data'!$K$2:$K$101)</f>
        <v/>
      </c>
    </row>
    <row r="53" ht="15.75" customHeight="1" s="53">
      <c r="B53" s="58" t="inlineStr">
        <is>
          <t>Delayed Shipments — Full List</t>
        </is>
      </c>
    </row>
    <row r="54" ht="15" customHeight="1" s="53">
      <c r="B54" s="86" t="inlineStr">
        <is>
          <t>SKU</t>
        </is>
      </c>
      <c r="C54" s="86" t="inlineStr">
        <is>
          <t>Product Type</t>
        </is>
      </c>
      <c r="D54" s="86" t="inlineStr">
        <is>
          <t>Carrier</t>
        </is>
      </c>
      <c r="E54" s="86" t="inlineStr">
        <is>
          <t>Mode</t>
        </is>
      </c>
      <c r="F54" s="86" t="inlineStr">
        <is>
          <t>Route</t>
        </is>
      </c>
      <c r="G54" s="86" t="inlineStr">
        <is>
          <t>Shipping Time</t>
        </is>
      </c>
      <c r="H54" s="86" t="inlineStr">
        <is>
          <t>Days Over</t>
        </is>
      </c>
    </row>
    <row r="55" ht="15" customHeight="1" s="53">
      <c r="B55" s="87">
        <f>INDEX('Raw Data'!$A$2:$A$101,MATCH("SKU22",'Raw Data'!$A$2:$A$101,0))</f>
        <v/>
      </c>
      <c r="C55" s="87">
        <f>INDEX('Raw Data'!$B$2:$B$101,MATCH("SKU22",'Raw Data'!$A$2:$A$101,0))</f>
        <v/>
      </c>
      <c r="D55" s="87">
        <f>INDEX('Raw Data'!$L$2:$L$101,MATCH("SKU22",'Raw Data'!$A$2:$A$101,0))</f>
        <v/>
      </c>
      <c r="E55" s="87">
        <f>INDEX('Raw Data'!$V$2:$V$101,MATCH("SKU22",'Raw Data'!$A$2:$A$101,0))</f>
        <v/>
      </c>
      <c r="F55" s="87">
        <f>INDEX('Raw Data'!$W$2:$W$101,MATCH("SKU22",'Raw Data'!$A$2:$A$101,0))</f>
        <v/>
      </c>
      <c r="G55" s="92">
        <f>INDEX('Raw Data'!$K$2:$K$101,MATCH("SKU22",'Raw Data'!$A$2:$A$101,0))</f>
        <v/>
      </c>
      <c r="H55" s="90">
        <f>INDEX('Raw Data'!$AB$2:$AB$101,MATCH("SKU22",'Raw Data'!$A$2:$A$101,0))</f>
        <v/>
      </c>
    </row>
    <row r="56" ht="15" customHeight="1" s="53">
      <c r="B56" s="87">
        <f>INDEX('Raw Data'!$A$2:$A$101,MATCH("SKU87",'Raw Data'!$A$2:$A$101,0))</f>
        <v/>
      </c>
      <c r="C56" s="87">
        <f>INDEX('Raw Data'!$B$2:$B$101,MATCH("SKU87",'Raw Data'!$A$2:$A$101,0))</f>
        <v/>
      </c>
      <c r="D56" s="87">
        <f>INDEX('Raw Data'!$L$2:$L$101,MATCH("SKU87",'Raw Data'!$A$2:$A$101,0))</f>
        <v/>
      </c>
      <c r="E56" s="87">
        <f>INDEX('Raw Data'!$V$2:$V$101,MATCH("SKU87",'Raw Data'!$A$2:$A$101,0))</f>
        <v/>
      </c>
      <c r="F56" s="87">
        <f>INDEX('Raw Data'!$W$2:$W$101,MATCH("SKU87",'Raw Data'!$A$2:$A$101,0))</f>
        <v/>
      </c>
      <c r="G56" s="92">
        <f>INDEX('Raw Data'!$K$2:$K$101,MATCH("SKU87",'Raw Data'!$A$2:$A$101,0))</f>
        <v/>
      </c>
      <c r="H56" s="90">
        <f>INDEX('Raw Data'!$AB$2:$AB$101,MATCH("SKU87",'Raw Data'!$A$2:$A$101,0))</f>
        <v/>
      </c>
    </row>
    <row r="57" ht="15" customHeight="1" s="53">
      <c r="B57" s="87">
        <f>INDEX('Raw Data'!$A$2:$A$101,MATCH("SKU50",'Raw Data'!$A$2:$A$101,0))</f>
        <v/>
      </c>
      <c r="C57" s="87">
        <f>INDEX('Raw Data'!$B$2:$B$101,MATCH("SKU50",'Raw Data'!$A$2:$A$101,0))</f>
        <v/>
      </c>
      <c r="D57" s="87">
        <f>INDEX('Raw Data'!$L$2:$L$101,MATCH("SKU50",'Raw Data'!$A$2:$A$101,0))</f>
        <v/>
      </c>
      <c r="E57" s="87">
        <f>INDEX('Raw Data'!$V$2:$V$101,MATCH("SKU50",'Raw Data'!$A$2:$A$101,0))</f>
        <v/>
      </c>
      <c r="F57" s="87">
        <f>INDEX('Raw Data'!$W$2:$W$101,MATCH("SKU50",'Raw Data'!$A$2:$A$101,0))</f>
        <v/>
      </c>
      <c r="G57" s="92">
        <f>INDEX('Raw Data'!$K$2:$K$101,MATCH("SKU50",'Raw Data'!$A$2:$A$101,0))</f>
        <v/>
      </c>
      <c r="H57" s="90">
        <f>INDEX('Raw Data'!$AB$2:$AB$101,MATCH("SKU50",'Raw Data'!$A$2:$A$101,0))</f>
        <v/>
      </c>
    </row>
    <row r="58" ht="15" customHeight="1" s="53">
      <c r="B58" s="87">
        <f>INDEX('Raw Data'!$A$2:$A$101,MATCH("SKU76",'Raw Data'!$A$2:$A$101,0))</f>
        <v/>
      </c>
      <c r="C58" s="87">
        <f>INDEX('Raw Data'!$B$2:$B$101,MATCH("SKU76",'Raw Data'!$A$2:$A$101,0))</f>
        <v/>
      </c>
      <c r="D58" s="87">
        <f>INDEX('Raw Data'!$L$2:$L$101,MATCH("SKU76",'Raw Data'!$A$2:$A$101,0))</f>
        <v/>
      </c>
      <c r="E58" s="87">
        <f>INDEX('Raw Data'!$V$2:$V$101,MATCH("SKU76",'Raw Data'!$A$2:$A$101,0))</f>
        <v/>
      </c>
      <c r="F58" s="87">
        <f>INDEX('Raw Data'!$W$2:$W$101,MATCH("SKU76",'Raw Data'!$A$2:$A$101,0))</f>
        <v/>
      </c>
      <c r="G58" s="92">
        <f>INDEX('Raw Data'!$K$2:$K$101,MATCH("SKU76",'Raw Data'!$A$2:$A$101,0))</f>
        <v/>
      </c>
      <c r="H58" s="90">
        <f>INDEX('Raw Data'!$AB$2:$AB$101,MATCH("SKU76",'Raw Data'!$A$2:$A$101,0))</f>
        <v/>
      </c>
    </row>
    <row r="59" ht="15" customHeight="1" s="53">
      <c r="B59" s="87">
        <f>INDEX('Raw Data'!$A$2:$A$101,MATCH("SKU75",'Raw Data'!$A$2:$A$101,0))</f>
        <v/>
      </c>
      <c r="C59" s="87">
        <f>INDEX('Raw Data'!$B$2:$B$101,MATCH("SKU75",'Raw Data'!$A$2:$A$101,0))</f>
        <v/>
      </c>
      <c r="D59" s="87">
        <f>INDEX('Raw Data'!$L$2:$L$101,MATCH("SKU75",'Raw Data'!$A$2:$A$101,0))</f>
        <v/>
      </c>
      <c r="E59" s="87">
        <f>INDEX('Raw Data'!$V$2:$V$101,MATCH("SKU75",'Raw Data'!$A$2:$A$101,0))</f>
        <v/>
      </c>
      <c r="F59" s="87">
        <f>INDEX('Raw Data'!$W$2:$W$101,MATCH("SKU75",'Raw Data'!$A$2:$A$101,0))</f>
        <v/>
      </c>
      <c r="G59" s="92">
        <f>INDEX('Raw Data'!$K$2:$K$101,MATCH("SKU75",'Raw Data'!$A$2:$A$101,0))</f>
        <v/>
      </c>
      <c r="H59" s="90">
        <f>INDEX('Raw Data'!$AB$2:$AB$101,MATCH("SKU75",'Raw Data'!$A$2:$A$101,0))</f>
        <v/>
      </c>
    </row>
    <row r="60" ht="15" customHeight="1" s="53">
      <c r="B60" s="87">
        <f>INDEX('Raw Data'!$A$2:$A$101,MATCH("SKU84",'Raw Data'!$A$2:$A$101,0))</f>
        <v/>
      </c>
      <c r="C60" s="87">
        <f>INDEX('Raw Data'!$B$2:$B$101,MATCH("SKU84",'Raw Data'!$A$2:$A$101,0))</f>
        <v/>
      </c>
      <c r="D60" s="87">
        <f>INDEX('Raw Data'!$L$2:$L$101,MATCH("SKU84",'Raw Data'!$A$2:$A$101,0))</f>
        <v/>
      </c>
      <c r="E60" s="87">
        <f>INDEX('Raw Data'!$V$2:$V$101,MATCH("SKU84",'Raw Data'!$A$2:$A$101,0))</f>
        <v/>
      </c>
      <c r="F60" s="87">
        <f>INDEX('Raw Data'!$W$2:$W$101,MATCH("SKU84",'Raw Data'!$A$2:$A$101,0))</f>
        <v/>
      </c>
      <c r="G60" s="92">
        <f>INDEX('Raw Data'!$K$2:$K$101,MATCH("SKU84",'Raw Data'!$A$2:$A$101,0))</f>
        <v/>
      </c>
      <c r="H60" s="90">
        <f>INDEX('Raw Data'!$AB$2:$AB$101,MATCH("SKU84",'Raw Data'!$A$2:$A$101,0))</f>
        <v/>
      </c>
    </row>
    <row r="61" ht="15" customHeight="1" s="53">
      <c r="B61" s="87">
        <f>INDEX('Raw Data'!$A$2:$A$101,MATCH("SKU13",'Raw Data'!$A$2:$A$101,0))</f>
        <v/>
      </c>
      <c r="C61" s="87">
        <f>INDEX('Raw Data'!$B$2:$B$101,MATCH("SKU13",'Raw Data'!$A$2:$A$101,0))</f>
        <v/>
      </c>
      <c r="D61" s="87">
        <f>INDEX('Raw Data'!$L$2:$L$101,MATCH("SKU13",'Raw Data'!$A$2:$A$101,0))</f>
        <v/>
      </c>
      <c r="E61" s="87">
        <f>INDEX('Raw Data'!$V$2:$V$101,MATCH("SKU13",'Raw Data'!$A$2:$A$101,0))</f>
        <v/>
      </c>
      <c r="F61" s="87">
        <f>INDEX('Raw Data'!$W$2:$W$101,MATCH("SKU13",'Raw Data'!$A$2:$A$101,0))</f>
        <v/>
      </c>
      <c r="G61" s="92">
        <f>INDEX('Raw Data'!$K$2:$K$101,MATCH("SKU13",'Raw Data'!$A$2:$A$101,0))</f>
        <v/>
      </c>
      <c r="H61" s="90">
        <f>INDEX('Raw Data'!$AB$2:$AB$101,MATCH("SKU13",'Raw Data'!$A$2:$A$101,0))</f>
        <v/>
      </c>
    </row>
    <row r="62" ht="15" customHeight="1" s="53">
      <c r="B62" s="87">
        <f>INDEX('Raw Data'!$A$2:$A$101,MATCH("SKU33",'Raw Data'!$A$2:$A$101,0))</f>
        <v/>
      </c>
      <c r="C62" s="87">
        <f>INDEX('Raw Data'!$B$2:$B$101,MATCH("SKU33",'Raw Data'!$A$2:$A$101,0))</f>
        <v/>
      </c>
      <c r="D62" s="87">
        <f>INDEX('Raw Data'!$L$2:$L$101,MATCH("SKU33",'Raw Data'!$A$2:$A$101,0))</f>
        <v/>
      </c>
      <c r="E62" s="87">
        <f>INDEX('Raw Data'!$V$2:$V$101,MATCH("SKU33",'Raw Data'!$A$2:$A$101,0))</f>
        <v/>
      </c>
      <c r="F62" s="87">
        <f>INDEX('Raw Data'!$W$2:$W$101,MATCH("SKU33",'Raw Data'!$A$2:$A$101,0))</f>
        <v/>
      </c>
      <c r="G62" s="92">
        <f>INDEX('Raw Data'!$K$2:$K$101,MATCH("SKU33",'Raw Data'!$A$2:$A$101,0))</f>
        <v/>
      </c>
      <c r="H62" s="90">
        <f>INDEX('Raw Data'!$AB$2:$AB$101,MATCH("SKU33",'Raw Data'!$A$2:$A$101,0))</f>
        <v/>
      </c>
    </row>
    <row r="63" ht="15" customHeight="1" s="53">
      <c r="B63" s="87">
        <f>INDEX('Raw Data'!$A$2:$A$101,MATCH("SKU17",'Raw Data'!$A$2:$A$101,0))</f>
        <v/>
      </c>
      <c r="C63" s="87">
        <f>INDEX('Raw Data'!$B$2:$B$101,MATCH("SKU17",'Raw Data'!$A$2:$A$101,0))</f>
        <v/>
      </c>
      <c r="D63" s="87">
        <f>INDEX('Raw Data'!$L$2:$L$101,MATCH("SKU17",'Raw Data'!$A$2:$A$101,0))</f>
        <v/>
      </c>
      <c r="E63" s="87">
        <f>INDEX('Raw Data'!$V$2:$V$101,MATCH("SKU17",'Raw Data'!$A$2:$A$101,0))</f>
        <v/>
      </c>
      <c r="F63" s="87">
        <f>INDEX('Raw Data'!$W$2:$W$101,MATCH("SKU17",'Raw Data'!$A$2:$A$101,0))</f>
        <v/>
      </c>
      <c r="G63" s="92">
        <f>INDEX('Raw Data'!$K$2:$K$101,MATCH("SKU17",'Raw Data'!$A$2:$A$101,0))</f>
        <v/>
      </c>
      <c r="H63" s="90">
        <f>INDEX('Raw Data'!$AB$2:$AB$101,MATCH("SKU17",'Raw Data'!$A$2:$A$101,0))</f>
        <v/>
      </c>
    </row>
    <row r="64" ht="15" customHeight="1" s="53">
      <c r="B64" s="87">
        <f>INDEX('Raw Data'!$A$2:$A$101,MATCH("SKU67",'Raw Data'!$A$2:$A$101,0))</f>
        <v/>
      </c>
      <c r="C64" s="87">
        <f>INDEX('Raw Data'!$B$2:$B$101,MATCH("SKU67",'Raw Data'!$A$2:$A$101,0))</f>
        <v/>
      </c>
      <c r="D64" s="87">
        <f>INDEX('Raw Data'!$L$2:$L$101,MATCH("SKU67",'Raw Data'!$A$2:$A$101,0))</f>
        <v/>
      </c>
      <c r="E64" s="87">
        <f>INDEX('Raw Data'!$V$2:$V$101,MATCH("SKU67",'Raw Data'!$A$2:$A$101,0))</f>
        <v/>
      </c>
      <c r="F64" s="87">
        <f>INDEX('Raw Data'!$W$2:$W$101,MATCH("SKU67",'Raw Data'!$A$2:$A$101,0))</f>
        <v/>
      </c>
      <c r="G64" s="92">
        <f>INDEX('Raw Data'!$K$2:$K$101,MATCH("SKU67",'Raw Data'!$A$2:$A$101,0))</f>
        <v/>
      </c>
      <c r="H64" s="90">
        <f>INDEX('Raw Data'!$AB$2:$AB$101,MATCH("SKU67",'Raw Data'!$A$2:$A$101,0))</f>
        <v/>
      </c>
    </row>
    <row r="65" ht="15" customHeight="1" s="53">
      <c r="B65" s="87">
        <f>INDEX('Raw Data'!$A$2:$A$101,MATCH("SKU47",'Raw Data'!$A$2:$A$101,0))</f>
        <v/>
      </c>
      <c r="C65" s="87">
        <f>INDEX('Raw Data'!$B$2:$B$101,MATCH("SKU47",'Raw Data'!$A$2:$A$101,0))</f>
        <v/>
      </c>
      <c r="D65" s="87">
        <f>INDEX('Raw Data'!$L$2:$L$101,MATCH("SKU47",'Raw Data'!$A$2:$A$101,0))</f>
        <v/>
      </c>
      <c r="E65" s="87">
        <f>INDEX('Raw Data'!$V$2:$V$101,MATCH("SKU47",'Raw Data'!$A$2:$A$101,0))</f>
        <v/>
      </c>
      <c r="F65" s="87">
        <f>INDEX('Raw Data'!$W$2:$W$101,MATCH("SKU47",'Raw Data'!$A$2:$A$101,0))</f>
        <v/>
      </c>
      <c r="G65" s="92">
        <f>INDEX('Raw Data'!$K$2:$K$101,MATCH("SKU47",'Raw Data'!$A$2:$A$101,0))</f>
        <v/>
      </c>
      <c r="H65" s="90">
        <f>INDEX('Raw Data'!$AB$2:$AB$101,MATCH("SKU47",'Raw Data'!$A$2:$A$101,0))</f>
        <v/>
      </c>
    </row>
    <row r="66" ht="15" customHeight="1" s="53">
      <c r="B66" s="87">
        <f>INDEX('Raw Data'!$A$2:$A$101,MATCH("SKU43",'Raw Data'!$A$2:$A$101,0))</f>
        <v/>
      </c>
      <c r="C66" s="87">
        <f>INDEX('Raw Data'!$B$2:$B$101,MATCH("SKU43",'Raw Data'!$A$2:$A$101,0))</f>
        <v/>
      </c>
      <c r="D66" s="87">
        <f>INDEX('Raw Data'!$L$2:$L$101,MATCH("SKU43",'Raw Data'!$A$2:$A$101,0))</f>
        <v/>
      </c>
      <c r="E66" s="87">
        <f>INDEX('Raw Data'!$V$2:$V$101,MATCH("SKU43",'Raw Data'!$A$2:$A$101,0))</f>
        <v/>
      </c>
      <c r="F66" s="87">
        <f>INDEX('Raw Data'!$W$2:$W$101,MATCH("SKU43",'Raw Data'!$A$2:$A$101,0))</f>
        <v/>
      </c>
      <c r="G66" s="92">
        <f>INDEX('Raw Data'!$K$2:$K$101,MATCH("SKU43",'Raw Data'!$A$2:$A$101,0))</f>
        <v/>
      </c>
      <c r="H66" s="90">
        <f>INDEX('Raw Data'!$AB$2:$AB$101,MATCH("SKU43",'Raw Data'!$A$2:$A$101,0))</f>
        <v/>
      </c>
    </row>
    <row r="67" ht="15" customHeight="1" s="53">
      <c r="B67" s="87">
        <f>INDEX('Raw Data'!$A$2:$A$101,MATCH("SKU37",'Raw Data'!$A$2:$A$101,0))</f>
        <v/>
      </c>
      <c r="C67" s="87">
        <f>INDEX('Raw Data'!$B$2:$B$101,MATCH("SKU37",'Raw Data'!$A$2:$A$101,0))</f>
        <v/>
      </c>
      <c r="D67" s="87">
        <f>INDEX('Raw Data'!$L$2:$L$101,MATCH("SKU37",'Raw Data'!$A$2:$A$101,0))</f>
        <v/>
      </c>
      <c r="E67" s="87">
        <f>INDEX('Raw Data'!$V$2:$V$101,MATCH("SKU37",'Raw Data'!$A$2:$A$101,0))</f>
        <v/>
      </c>
      <c r="F67" s="87">
        <f>INDEX('Raw Data'!$W$2:$W$101,MATCH("SKU37",'Raw Data'!$A$2:$A$101,0))</f>
        <v/>
      </c>
      <c r="G67" s="92">
        <f>INDEX('Raw Data'!$K$2:$K$101,MATCH("SKU37",'Raw Data'!$A$2:$A$101,0))</f>
        <v/>
      </c>
      <c r="H67" s="90">
        <f>INDEX('Raw Data'!$AB$2:$AB$101,MATCH("SKU37",'Raw Data'!$A$2:$A$101,0))</f>
        <v/>
      </c>
    </row>
    <row r="68" ht="15" customHeight="1" s="53">
      <c r="B68" s="87">
        <f>INDEX('Raw Data'!$A$2:$A$101,MATCH("SKU72",'Raw Data'!$A$2:$A$101,0))</f>
        <v/>
      </c>
      <c r="C68" s="87">
        <f>INDEX('Raw Data'!$B$2:$B$101,MATCH("SKU72",'Raw Data'!$A$2:$A$101,0))</f>
        <v/>
      </c>
      <c r="D68" s="87">
        <f>INDEX('Raw Data'!$L$2:$L$101,MATCH("SKU72",'Raw Data'!$A$2:$A$101,0))</f>
        <v/>
      </c>
      <c r="E68" s="87">
        <f>INDEX('Raw Data'!$V$2:$V$101,MATCH("SKU72",'Raw Data'!$A$2:$A$101,0))</f>
        <v/>
      </c>
      <c r="F68" s="87">
        <f>INDEX('Raw Data'!$W$2:$W$101,MATCH("SKU72",'Raw Data'!$A$2:$A$101,0))</f>
        <v/>
      </c>
      <c r="G68" s="92">
        <f>INDEX('Raw Data'!$K$2:$K$101,MATCH("SKU72",'Raw Data'!$A$2:$A$101,0))</f>
        <v/>
      </c>
      <c r="H68" s="90">
        <f>INDEX('Raw Data'!$AB$2:$AB$101,MATCH("SKU72",'Raw Data'!$A$2:$A$101,0))</f>
        <v/>
      </c>
    </row>
    <row r="69" ht="15" customHeight="1" s="53">
      <c r="B69" s="87">
        <f>INDEX('Raw Data'!$A$2:$A$101,MATCH("SKU94",'Raw Data'!$A$2:$A$101,0))</f>
        <v/>
      </c>
      <c r="C69" s="87">
        <f>INDEX('Raw Data'!$B$2:$B$101,MATCH("SKU94",'Raw Data'!$A$2:$A$101,0))</f>
        <v/>
      </c>
      <c r="D69" s="87">
        <f>INDEX('Raw Data'!$L$2:$L$101,MATCH("SKU94",'Raw Data'!$A$2:$A$101,0))</f>
        <v/>
      </c>
      <c r="E69" s="87">
        <f>INDEX('Raw Data'!$V$2:$V$101,MATCH("SKU94",'Raw Data'!$A$2:$A$101,0))</f>
        <v/>
      </c>
      <c r="F69" s="87">
        <f>INDEX('Raw Data'!$W$2:$W$101,MATCH("SKU94",'Raw Data'!$A$2:$A$101,0))</f>
        <v/>
      </c>
      <c r="G69" s="92">
        <f>INDEX('Raw Data'!$K$2:$K$101,MATCH("SKU94",'Raw Data'!$A$2:$A$101,0))</f>
        <v/>
      </c>
      <c r="H69" s="90">
        <f>INDEX('Raw Data'!$AB$2:$AB$101,MATCH("SKU94",'Raw Data'!$A$2:$A$101,0))</f>
        <v/>
      </c>
    </row>
    <row r="70" ht="15" customHeight="1" s="53">
      <c r="B70" s="87">
        <f>INDEX('Raw Data'!$A$2:$A$101,MATCH("SKU95",'Raw Data'!$A$2:$A$101,0))</f>
        <v/>
      </c>
      <c r="C70" s="87">
        <f>INDEX('Raw Data'!$B$2:$B$101,MATCH("SKU95",'Raw Data'!$A$2:$A$101,0))</f>
        <v/>
      </c>
      <c r="D70" s="87">
        <f>INDEX('Raw Data'!$L$2:$L$101,MATCH("SKU95",'Raw Data'!$A$2:$A$101,0))</f>
        <v/>
      </c>
      <c r="E70" s="87">
        <f>INDEX('Raw Data'!$V$2:$V$101,MATCH("SKU95",'Raw Data'!$A$2:$A$101,0))</f>
        <v/>
      </c>
      <c r="F70" s="87">
        <f>INDEX('Raw Data'!$W$2:$W$101,MATCH("SKU95",'Raw Data'!$A$2:$A$101,0))</f>
        <v/>
      </c>
      <c r="G70" s="92">
        <f>INDEX('Raw Data'!$K$2:$K$101,MATCH("SKU95",'Raw Data'!$A$2:$A$101,0))</f>
        <v/>
      </c>
      <c r="H70" s="90">
        <f>INDEX('Raw Data'!$AB$2:$AB$101,MATCH("SKU95",'Raw Data'!$A$2:$A$101,0))</f>
        <v/>
      </c>
    </row>
    <row r="71" ht="15" customHeight="1" s="53">
      <c r="B71" s="87">
        <f>INDEX('Raw Data'!$A$2:$A$101,MATCH("SKU97",'Raw Data'!$A$2:$A$101,0))</f>
        <v/>
      </c>
      <c r="C71" s="87">
        <f>INDEX('Raw Data'!$B$2:$B$101,MATCH("SKU97",'Raw Data'!$A$2:$A$101,0))</f>
        <v/>
      </c>
      <c r="D71" s="87">
        <f>INDEX('Raw Data'!$L$2:$L$101,MATCH("SKU97",'Raw Data'!$A$2:$A$101,0))</f>
        <v/>
      </c>
      <c r="E71" s="87">
        <f>INDEX('Raw Data'!$V$2:$V$101,MATCH("SKU97",'Raw Data'!$A$2:$A$101,0))</f>
        <v/>
      </c>
      <c r="F71" s="87">
        <f>INDEX('Raw Data'!$W$2:$W$101,MATCH("SKU97",'Raw Data'!$A$2:$A$101,0))</f>
        <v/>
      </c>
      <c r="G71" s="92">
        <f>INDEX('Raw Data'!$K$2:$K$101,MATCH("SKU97",'Raw Data'!$A$2:$A$101,0))</f>
        <v/>
      </c>
      <c r="H71" s="90">
        <f>INDEX('Raw Data'!$AB$2:$AB$101,MATCH("SKU97",'Raw Data'!$A$2:$A$101,0))</f>
        <v/>
      </c>
    </row>
  </sheetData>
  <mergeCells count="8">
    <mergeCell ref="E6:G7"/>
    <mergeCell ref="H6:J7"/>
    <mergeCell ref="B5:D5"/>
    <mergeCell ref="B6:D7"/>
    <mergeCell ref="E5:G5"/>
    <mergeCell ref="K5:M5"/>
    <mergeCell ref="H5:J5"/>
    <mergeCell ref="K6:M7"/>
  </mergeCells>
  <conditionalFormatting sqref="E11:E13">
    <cfRule type="colorScale" priority="2">
      <colorScale>
        <cfvo type="min" val="0"/>
        <cfvo type="percentile" val="50"/>
        <cfvo type="max" val="0"/>
        <color rgb="FF1F7A4D"/>
        <color rgb="FFFFFFFF"/>
        <color rgb="FFB5443A"/>
      </colorScale>
    </cfRule>
  </conditionalFormatting>
  <conditionalFormatting sqref="L16:L19">
    <cfRule type="colorScale" priority="3">
      <colorScale>
        <cfvo type="min" val="0"/>
        <cfvo type="percentile" val="50"/>
        <cfvo type="max" val="0"/>
        <color rgb="FF1F7A4D"/>
        <color rgb="FFFFFFFF"/>
        <color rgb="FFB5443A"/>
      </colorScale>
    </cfRule>
  </conditionalFormatting>
  <conditionalFormatting sqref="E33:E35">
    <cfRule type="colorScale" priority="4">
      <colorScale>
        <cfvo type="min" val="0"/>
        <cfvo type="percentile" val="50"/>
        <cfvo type="max" val="0"/>
        <color rgb="FF1F7A4D"/>
        <color rgb="FFFFFFFF"/>
        <color rgb="FFB5443A"/>
      </colorScale>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1"/>
  </sheetPr>
  <dimension ref="B2:M6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2" min="1" max="1"/>
    <col width="16" customWidth="1" style="52" min="2" max="2"/>
    <col width="15" customWidth="1" style="52" min="3" max="6"/>
    <col width="20" customWidth="1" style="52" min="7" max="7"/>
    <col width="3" customWidth="1" style="52" min="8" max="8"/>
    <col width="16" customWidth="1" style="52" min="9" max="9"/>
    <col width="13" customWidth="1" style="52" min="10" max="10"/>
    <col width="14" customWidth="1" style="52" min="11" max="11"/>
    <col width="11" customWidth="1" style="52" min="12" max="12"/>
    <col width="13" customWidth="1" style="52" min="13" max="13"/>
  </cols>
  <sheetData>
    <row r="2" ht="21.75" customHeight="1" s="53">
      <c r="B2" s="82" t="inlineStr">
        <is>
          <t>Inventory Status</t>
        </is>
      </c>
    </row>
    <row r="3" ht="15" customHeight="1" s="53">
      <c r="B3" s="55" t="inlineStr">
        <is>
          <t>Every SKU classified as Stockout, Understocked, Healthy, or Overstocked based on Stock-to-Order Ratio</t>
        </is>
      </c>
    </row>
    <row r="5" ht="15.75" customHeight="1" s="53">
      <c r="B5" s="63" t="inlineStr">
        <is>
          <t>STOCKOUTS</t>
        </is>
      </c>
      <c r="C5" s="64" t="n"/>
      <c r="D5" s="65" t="n"/>
      <c r="E5" s="63" t="inlineStr">
        <is>
          <t>UNDERSTOCKED</t>
        </is>
      </c>
      <c r="F5" s="64" t="n"/>
      <c r="G5" s="65" t="n"/>
      <c r="H5" s="63" t="inlineStr">
        <is>
          <t>OVERSTOCKED</t>
        </is>
      </c>
      <c r="I5" s="64" t="n"/>
      <c r="J5" s="65" t="n"/>
      <c r="K5" s="63" t="inlineStr">
        <is>
          <t>HEALTHY</t>
        </is>
      </c>
      <c r="L5" s="64" t="n"/>
      <c r="M5" s="65" t="n"/>
    </row>
    <row r="6" ht="13.5" customHeight="1" s="53">
      <c r="B6" s="83">
        <f>COUNTIF('Raw Data'!$Z$2:$Z$101,"STOCKOUT")</f>
        <v/>
      </c>
      <c r="C6" s="67" t="n"/>
      <c r="D6" s="68" t="n"/>
      <c r="E6" s="83">
        <f>COUNTIF('Raw Data'!$Z$2:$Z$101,"Understocked")</f>
        <v/>
      </c>
      <c r="F6" s="67" t="n"/>
      <c r="G6" s="68" t="n"/>
      <c r="H6" s="83">
        <f>COUNTIF('Raw Data'!$Z$2:$Z$101,"Overstocked")</f>
        <v/>
      </c>
      <c r="I6" s="67" t="n"/>
      <c r="J6" s="68" t="n"/>
      <c r="K6" s="83">
        <f>COUNTIF('Raw Data'!$Z$2:$Z$101,"Healthy")</f>
        <v/>
      </c>
      <c r="L6" s="67" t="n"/>
      <c r="M6" s="68" t="n"/>
    </row>
    <row r="7" ht="21.75" customHeight="1" s="53">
      <c r="B7" s="71" t="n"/>
      <c r="C7" s="72" t="n"/>
      <c r="D7" s="73" t="n"/>
      <c r="E7" s="71" t="n"/>
      <c r="F7" s="72" t="n"/>
      <c r="G7" s="73" t="n"/>
      <c r="H7" s="71" t="n"/>
      <c r="I7" s="72" t="n"/>
      <c r="J7" s="73" t="n"/>
      <c r="K7" s="71" t="n"/>
      <c r="L7" s="72" t="n"/>
      <c r="M7" s="73" t="n"/>
    </row>
    <row r="9" ht="15.75" customHeight="1" s="53">
      <c r="B9" s="58" t="inlineStr">
        <is>
          <t>Inventory Status Summary</t>
        </is>
      </c>
    </row>
    <row r="10" ht="15" customHeight="1" s="53">
      <c r="B10" s="86" t="inlineStr">
        <is>
          <t>Status</t>
        </is>
      </c>
      <c r="C10" s="86" t="inlineStr">
        <is>
          <t>SKU Count</t>
        </is>
      </c>
      <c r="D10" s="86" t="inlineStr">
        <is>
          <t>% of Total</t>
        </is>
      </c>
      <c r="E10" s="86" t="inlineStr">
        <is>
          <t>Avg Stock Level</t>
        </is>
      </c>
      <c r="F10" s="86" t="inlineStr">
        <is>
          <t>Avg Order Qty</t>
        </is>
      </c>
      <c r="G10" s="86" t="inlineStr">
        <is>
          <t>Total Revenue Exposure</t>
        </is>
      </c>
    </row>
    <row r="11" ht="15" customHeight="1" s="53">
      <c r="B11" s="87" t="inlineStr">
        <is>
          <t>STOCKOUT</t>
        </is>
      </c>
      <c r="C11" s="88">
        <f>COUNTIF('Raw Data'!$Z$2:$Z$101,$B11)</f>
        <v/>
      </c>
      <c r="D11" s="89">
        <f>C11/COUNTA('Raw Data'!$Z$2:$Z$101)</f>
        <v/>
      </c>
      <c r="E11" s="90">
        <f>IFERROR(AVERAGEIF('Raw Data'!$Z$2:$Z$101,$B11,'Raw Data'!$H$2:$H$101),0)</f>
        <v/>
      </c>
      <c r="F11" s="90">
        <f>IFERROR(AVERAGEIF('Raw Data'!$Z$2:$Z$101,$B11,'Raw Data'!$I$2:$I$101),0)</f>
        <v/>
      </c>
      <c r="G11" s="93">
        <f>SUMIF('Raw Data'!$Z$2:$Z$101,$B11,'Raw Data'!$F$2:$F$101)</f>
        <v/>
      </c>
    </row>
    <row r="12" ht="15" customHeight="1" s="53">
      <c r="B12" s="87" t="inlineStr">
        <is>
          <t>Understocked</t>
        </is>
      </c>
      <c r="C12" s="88">
        <f>COUNTIF('Raw Data'!$Z$2:$Z$101,$B12)</f>
        <v/>
      </c>
      <c r="D12" s="89">
        <f>C12/COUNTA('Raw Data'!$Z$2:$Z$101)</f>
        <v/>
      </c>
      <c r="E12" s="90">
        <f>IFERROR(AVERAGEIF('Raw Data'!$Z$2:$Z$101,$B12,'Raw Data'!$H$2:$H$101),0)</f>
        <v/>
      </c>
      <c r="F12" s="90">
        <f>IFERROR(AVERAGEIF('Raw Data'!$Z$2:$Z$101,$B12,'Raw Data'!$I$2:$I$101),0)</f>
        <v/>
      </c>
      <c r="G12" s="93">
        <f>SUMIF('Raw Data'!$Z$2:$Z$101,$B12,'Raw Data'!$F$2:$F$101)</f>
        <v/>
      </c>
    </row>
    <row r="13" ht="15" customHeight="1" s="53">
      <c r="B13" s="87" t="inlineStr">
        <is>
          <t>Healthy</t>
        </is>
      </c>
      <c r="C13" s="88">
        <f>COUNTIF('Raw Data'!$Z$2:$Z$101,$B13)</f>
        <v/>
      </c>
      <c r="D13" s="89">
        <f>C13/COUNTA('Raw Data'!$Z$2:$Z$101)</f>
        <v/>
      </c>
      <c r="E13" s="90">
        <f>IFERROR(AVERAGEIF('Raw Data'!$Z$2:$Z$101,$B13,'Raw Data'!$H$2:$H$101),0)</f>
        <v/>
      </c>
      <c r="F13" s="90">
        <f>IFERROR(AVERAGEIF('Raw Data'!$Z$2:$Z$101,$B13,'Raw Data'!$I$2:$I$101),0)</f>
        <v/>
      </c>
      <c r="G13" s="93">
        <f>SUMIF('Raw Data'!$Z$2:$Z$101,$B13,'Raw Data'!$F$2:$F$101)</f>
        <v/>
      </c>
    </row>
    <row r="14" ht="15" customHeight="1" s="53">
      <c r="B14" s="87" t="inlineStr">
        <is>
          <t>Overstocked</t>
        </is>
      </c>
      <c r="C14" s="88">
        <f>COUNTIF('Raw Data'!$Z$2:$Z$101,$B14)</f>
        <v/>
      </c>
      <c r="D14" s="89">
        <f>C14/COUNTA('Raw Data'!$Z$2:$Z$101)</f>
        <v/>
      </c>
      <c r="E14" s="90">
        <f>IFERROR(AVERAGEIF('Raw Data'!$Z$2:$Z$101,$B14,'Raw Data'!$H$2:$H$101),0)</f>
        <v/>
      </c>
      <c r="F14" s="90">
        <f>IFERROR(AVERAGEIF('Raw Data'!$Z$2:$Z$101,$B14,'Raw Data'!$I$2:$I$101),0)</f>
        <v/>
      </c>
      <c r="G14" s="93">
        <f>SUMIF('Raw Data'!$Z$2:$Z$101,$B14,'Raw Data'!$F$2:$F$101)</f>
        <v/>
      </c>
    </row>
    <row r="15" ht="15.75" customHeight="1" s="53">
      <c r="I15" s="58" t="inlineStr">
        <is>
          <t>Inventory Status by Product Type</t>
        </is>
      </c>
    </row>
    <row r="16" ht="15" customHeight="1" s="53">
      <c r="I16" s="86" t="inlineStr">
        <is>
          <t>Product Type</t>
        </is>
      </c>
      <c r="J16" s="86" t="inlineStr">
        <is>
          <t>Stockouts</t>
        </is>
      </c>
      <c r="K16" s="86" t="inlineStr">
        <is>
          <t>Understocked</t>
        </is>
      </c>
      <c r="L16" s="86" t="inlineStr">
        <is>
          <t>Healthy</t>
        </is>
      </c>
      <c r="M16" s="86" t="inlineStr">
        <is>
          <t>Overstocked</t>
        </is>
      </c>
    </row>
    <row r="17" ht="15" customHeight="1" s="53">
      <c r="I17" s="87" t="inlineStr">
        <is>
          <t>cosmetics</t>
        </is>
      </c>
      <c r="J17" s="88">
        <f>COUNTIFS('Raw Data'!$B$2:$B$101,$I17,'Raw Data'!$Z$2:$Z$101,"STOCKOUT")</f>
        <v/>
      </c>
      <c r="K17" s="88">
        <f>COUNTIFS('Raw Data'!$B$2:$B$101,$I17,'Raw Data'!$Z$2:$Z$101,"Understocked")</f>
        <v/>
      </c>
      <c r="L17" s="88">
        <f>COUNTIFS('Raw Data'!$B$2:$B$101,$I17,'Raw Data'!$Z$2:$Z$101,"Healthy")</f>
        <v/>
      </c>
      <c r="M17" s="88">
        <f>COUNTIFS('Raw Data'!$B$2:$B$101,$I17,'Raw Data'!$Z$2:$Z$101,"Overstocked")</f>
        <v/>
      </c>
    </row>
    <row r="18" ht="15" customHeight="1" s="53">
      <c r="I18" s="87" t="inlineStr">
        <is>
          <t>haircare</t>
        </is>
      </c>
      <c r="J18" s="88">
        <f>COUNTIFS('Raw Data'!$B$2:$B$101,$I18,'Raw Data'!$Z$2:$Z$101,"STOCKOUT")</f>
        <v/>
      </c>
      <c r="K18" s="88">
        <f>COUNTIFS('Raw Data'!$B$2:$B$101,$I18,'Raw Data'!$Z$2:$Z$101,"Understocked")</f>
        <v/>
      </c>
      <c r="L18" s="88">
        <f>COUNTIFS('Raw Data'!$B$2:$B$101,$I18,'Raw Data'!$Z$2:$Z$101,"Healthy")</f>
        <v/>
      </c>
      <c r="M18" s="88">
        <f>COUNTIFS('Raw Data'!$B$2:$B$101,$I18,'Raw Data'!$Z$2:$Z$101,"Overstocked")</f>
        <v/>
      </c>
    </row>
    <row r="19" ht="15" customHeight="1" s="53">
      <c r="I19" s="87" t="inlineStr">
        <is>
          <t>skincare</t>
        </is>
      </c>
      <c r="J19" s="88">
        <f>COUNTIFS('Raw Data'!$B$2:$B$101,$I19,'Raw Data'!$Z$2:$Z$101,"STOCKOUT")</f>
        <v/>
      </c>
      <c r="K19" s="88">
        <f>COUNTIFS('Raw Data'!$B$2:$B$101,$I19,'Raw Data'!$Z$2:$Z$101,"Understocked")</f>
        <v/>
      </c>
      <c r="L19" s="88">
        <f>COUNTIFS('Raw Data'!$B$2:$B$101,$I19,'Raw Data'!$Z$2:$Z$101,"Healthy")</f>
        <v/>
      </c>
      <c r="M19" s="88">
        <f>COUNTIFS('Raw Data'!$B$2:$B$101,$I19,'Raw Data'!$Z$2:$Z$101,"Overstocked")</f>
        <v/>
      </c>
    </row>
    <row r="37" ht="15.75" customHeight="1" s="53">
      <c r="B37" s="58" t="inlineStr">
        <is>
          <t>Priority Action List — Stockouts &amp; Understocked SKUs</t>
        </is>
      </c>
    </row>
    <row r="38" ht="15" customHeight="1" s="53">
      <c r="B38" s="86" t="inlineStr">
        <is>
          <t>SKU</t>
        </is>
      </c>
      <c r="C38" s="86" t="inlineStr">
        <is>
          <t>Product Type</t>
        </is>
      </c>
      <c r="D38" s="86" t="inlineStr">
        <is>
          <t>Status</t>
        </is>
      </c>
      <c r="E38" s="86" t="inlineStr">
        <is>
          <t>Stock Level</t>
        </is>
      </c>
      <c r="F38" s="86" t="inlineStr">
        <is>
          <t>Order Qty</t>
        </is>
      </c>
      <c r="G38" s="86" t="inlineStr">
        <is>
          <t>Revenue at Risk</t>
        </is>
      </c>
    </row>
    <row r="39" ht="15" customHeight="1" s="53">
      <c r="B39" s="87">
        <f>INDEX('Raw Data'!$A$2:$A$101,MATCH("SKU68",'Raw Data'!$A$2:$A$101,0))</f>
        <v/>
      </c>
      <c r="C39" s="87">
        <f>INDEX('Raw Data'!$B$2:$B$101,MATCH("SKU68",'Raw Data'!$A$2:$A$101,0))</f>
        <v/>
      </c>
      <c r="D39" s="87">
        <f>INDEX('Raw Data'!$Z$2:$Z$101,MATCH("SKU68",'Raw Data'!$A$2:$A$101,0))</f>
        <v/>
      </c>
      <c r="E39" s="88">
        <f>INDEX('Raw Data'!$H$2:$H$101,MATCH("SKU68",'Raw Data'!$A$2:$A$101,0))</f>
        <v/>
      </c>
      <c r="F39" s="88">
        <f>INDEX('Raw Data'!$I$2:$I$101,MATCH("SKU68",'Raw Data'!$A$2:$A$101,0))</f>
        <v/>
      </c>
      <c r="G39" s="93">
        <f>INDEX('Raw Data'!$F$2:$F$101,MATCH("SKU68",'Raw Data'!$A$2:$A$101,0))</f>
        <v/>
      </c>
    </row>
    <row r="40" ht="15" customHeight="1" s="53">
      <c r="B40" s="87">
        <f>INDEX('Raw Data'!$A$2:$A$101,MATCH("SKU2",'Raw Data'!$A$2:$A$101,0))</f>
        <v/>
      </c>
      <c r="C40" s="87">
        <f>INDEX('Raw Data'!$B$2:$B$101,MATCH("SKU2",'Raw Data'!$A$2:$A$101,0))</f>
        <v/>
      </c>
      <c r="D40" s="87">
        <f>INDEX('Raw Data'!$Z$2:$Z$101,MATCH("SKU2",'Raw Data'!$A$2:$A$101,0))</f>
        <v/>
      </c>
      <c r="E40" s="88">
        <f>INDEX('Raw Data'!$H$2:$H$101,MATCH("SKU2",'Raw Data'!$A$2:$A$101,0))</f>
        <v/>
      </c>
      <c r="F40" s="88">
        <f>INDEX('Raw Data'!$I$2:$I$101,MATCH("SKU2",'Raw Data'!$A$2:$A$101,0))</f>
        <v/>
      </c>
      <c r="G40" s="93">
        <f>INDEX('Raw Data'!$F$2:$F$101,MATCH("SKU2",'Raw Data'!$A$2:$A$101,0))</f>
        <v/>
      </c>
    </row>
    <row r="41" ht="15" customHeight="1" s="53">
      <c r="B41" s="87">
        <f>INDEX('Raw Data'!$A$2:$A$101,MATCH("SKU34",'Raw Data'!$A$2:$A$101,0))</f>
        <v/>
      </c>
      <c r="C41" s="87">
        <f>INDEX('Raw Data'!$B$2:$B$101,MATCH("SKU34",'Raw Data'!$A$2:$A$101,0))</f>
        <v/>
      </c>
      <c r="D41" s="87">
        <f>INDEX('Raw Data'!$Z$2:$Z$101,MATCH("SKU34",'Raw Data'!$A$2:$A$101,0))</f>
        <v/>
      </c>
      <c r="E41" s="88">
        <f>INDEX('Raw Data'!$H$2:$H$101,MATCH("SKU34",'Raw Data'!$A$2:$A$101,0))</f>
        <v/>
      </c>
      <c r="F41" s="88">
        <f>INDEX('Raw Data'!$I$2:$I$101,MATCH("SKU34",'Raw Data'!$A$2:$A$101,0))</f>
        <v/>
      </c>
      <c r="G41" s="93">
        <f>INDEX('Raw Data'!$F$2:$F$101,MATCH("SKU34",'Raw Data'!$A$2:$A$101,0))</f>
        <v/>
      </c>
    </row>
    <row r="42" ht="15" customHeight="1" s="53">
      <c r="B42" s="87">
        <f>INDEX('Raw Data'!$A$2:$A$101,MATCH("SKU16",'Raw Data'!$A$2:$A$101,0))</f>
        <v/>
      </c>
      <c r="C42" s="87">
        <f>INDEX('Raw Data'!$B$2:$B$101,MATCH("SKU16",'Raw Data'!$A$2:$A$101,0))</f>
        <v/>
      </c>
      <c r="D42" s="87">
        <f>INDEX('Raw Data'!$Z$2:$Z$101,MATCH("SKU16",'Raw Data'!$A$2:$A$101,0))</f>
        <v/>
      </c>
      <c r="E42" s="88">
        <f>INDEX('Raw Data'!$H$2:$H$101,MATCH("SKU16",'Raw Data'!$A$2:$A$101,0))</f>
        <v/>
      </c>
      <c r="F42" s="88">
        <f>INDEX('Raw Data'!$I$2:$I$101,MATCH("SKU16",'Raw Data'!$A$2:$A$101,0))</f>
        <v/>
      </c>
      <c r="G42" s="93">
        <f>INDEX('Raw Data'!$F$2:$F$101,MATCH("SKU16",'Raw Data'!$A$2:$A$101,0))</f>
        <v/>
      </c>
    </row>
    <row r="43" ht="15" customHeight="1" s="53">
      <c r="B43" s="87">
        <f>INDEX('Raw Data'!$A$2:$A$101,MATCH("SKU47",'Raw Data'!$A$2:$A$101,0))</f>
        <v/>
      </c>
      <c r="C43" s="87">
        <f>INDEX('Raw Data'!$B$2:$B$101,MATCH("SKU47",'Raw Data'!$A$2:$A$101,0))</f>
        <v/>
      </c>
      <c r="D43" s="87">
        <f>INDEX('Raw Data'!$Z$2:$Z$101,MATCH("SKU47",'Raw Data'!$A$2:$A$101,0))</f>
        <v/>
      </c>
      <c r="E43" s="88">
        <f>INDEX('Raw Data'!$H$2:$H$101,MATCH("SKU47",'Raw Data'!$A$2:$A$101,0))</f>
        <v/>
      </c>
      <c r="F43" s="88">
        <f>INDEX('Raw Data'!$I$2:$I$101,MATCH("SKU47",'Raw Data'!$A$2:$A$101,0))</f>
        <v/>
      </c>
      <c r="G43" s="93">
        <f>INDEX('Raw Data'!$F$2:$F$101,MATCH("SKU47",'Raw Data'!$A$2:$A$101,0))</f>
        <v/>
      </c>
    </row>
    <row r="44" ht="15" customHeight="1" s="53">
      <c r="B44" s="87">
        <f>INDEX('Raw Data'!$A$2:$A$101,MATCH("SKU33",'Raw Data'!$A$2:$A$101,0))</f>
        <v/>
      </c>
      <c r="C44" s="87">
        <f>INDEX('Raw Data'!$B$2:$B$101,MATCH("SKU33",'Raw Data'!$A$2:$A$101,0))</f>
        <v/>
      </c>
      <c r="D44" s="87">
        <f>INDEX('Raw Data'!$Z$2:$Z$101,MATCH("SKU33",'Raw Data'!$A$2:$A$101,0))</f>
        <v/>
      </c>
      <c r="E44" s="88">
        <f>INDEX('Raw Data'!$H$2:$H$101,MATCH("SKU33",'Raw Data'!$A$2:$A$101,0))</f>
        <v/>
      </c>
      <c r="F44" s="88">
        <f>INDEX('Raw Data'!$I$2:$I$101,MATCH("SKU33",'Raw Data'!$A$2:$A$101,0))</f>
        <v/>
      </c>
      <c r="G44" s="93">
        <f>INDEX('Raw Data'!$F$2:$F$101,MATCH("SKU33",'Raw Data'!$A$2:$A$101,0))</f>
        <v/>
      </c>
    </row>
    <row r="45" ht="15" customHeight="1" s="53">
      <c r="B45" s="87">
        <f>INDEX('Raw Data'!$A$2:$A$101,MATCH("SKU4",'Raw Data'!$A$2:$A$101,0))</f>
        <v/>
      </c>
      <c r="C45" s="87">
        <f>INDEX('Raw Data'!$B$2:$B$101,MATCH("SKU4",'Raw Data'!$A$2:$A$101,0))</f>
        <v/>
      </c>
      <c r="D45" s="87">
        <f>INDEX('Raw Data'!$Z$2:$Z$101,MATCH("SKU4",'Raw Data'!$A$2:$A$101,0))</f>
        <v/>
      </c>
      <c r="E45" s="88">
        <f>INDEX('Raw Data'!$H$2:$H$101,MATCH("SKU4",'Raw Data'!$A$2:$A$101,0))</f>
        <v/>
      </c>
      <c r="F45" s="88">
        <f>INDEX('Raw Data'!$I$2:$I$101,MATCH("SKU4",'Raw Data'!$A$2:$A$101,0))</f>
        <v/>
      </c>
      <c r="G45" s="93">
        <f>INDEX('Raw Data'!$F$2:$F$101,MATCH("SKU4",'Raw Data'!$A$2:$A$101,0))</f>
        <v/>
      </c>
    </row>
    <row r="46" ht="15" customHeight="1" s="53">
      <c r="B46" s="87">
        <f>INDEX('Raw Data'!$A$2:$A$101,MATCH("SKU8",'Raw Data'!$A$2:$A$101,0))</f>
        <v/>
      </c>
      <c r="C46" s="87">
        <f>INDEX('Raw Data'!$B$2:$B$101,MATCH("SKU8",'Raw Data'!$A$2:$A$101,0))</f>
        <v/>
      </c>
      <c r="D46" s="87">
        <f>INDEX('Raw Data'!$Z$2:$Z$101,MATCH("SKU8",'Raw Data'!$A$2:$A$101,0))</f>
        <v/>
      </c>
      <c r="E46" s="88">
        <f>INDEX('Raw Data'!$H$2:$H$101,MATCH("SKU8",'Raw Data'!$A$2:$A$101,0))</f>
        <v/>
      </c>
      <c r="F46" s="88">
        <f>INDEX('Raw Data'!$I$2:$I$101,MATCH("SKU8",'Raw Data'!$A$2:$A$101,0))</f>
        <v/>
      </c>
      <c r="G46" s="93">
        <f>INDEX('Raw Data'!$F$2:$F$101,MATCH("SKU8",'Raw Data'!$A$2:$A$101,0))</f>
        <v/>
      </c>
    </row>
    <row r="47" ht="15" customHeight="1" s="53">
      <c r="B47" s="87">
        <f>INDEX('Raw Data'!$A$2:$A$101,MATCH("SKU87",'Raw Data'!$A$2:$A$101,0))</f>
        <v/>
      </c>
      <c r="C47" s="87">
        <f>INDEX('Raw Data'!$B$2:$B$101,MATCH("SKU87",'Raw Data'!$A$2:$A$101,0))</f>
        <v/>
      </c>
      <c r="D47" s="87">
        <f>INDEX('Raw Data'!$Z$2:$Z$101,MATCH("SKU87",'Raw Data'!$A$2:$A$101,0))</f>
        <v/>
      </c>
      <c r="E47" s="88">
        <f>INDEX('Raw Data'!$H$2:$H$101,MATCH("SKU87",'Raw Data'!$A$2:$A$101,0))</f>
        <v/>
      </c>
      <c r="F47" s="88">
        <f>INDEX('Raw Data'!$I$2:$I$101,MATCH("SKU87",'Raw Data'!$A$2:$A$101,0))</f>
        <v/>
      </c>
      <c r="G47" s="93">
        <f>INDEX('Raw Data'!$F$2:$F$101,MATCH("SKU87",'Raw Data'!$A$2:$A$101,0))</f>
        <v/>
      </c>
    </row>
    <row r="48" ht="15" customHeight="1" s="53">
      <c r="B48" s="87">
        <f>INDEX('Raw Data'!$A$2:$A$101,MATCH("SKU78",'Raw Data'!$A$2:$A$101,0))</f>
        <v/>
      </c>
      <c r="C48" s="87">
        <f>INDEX('Raw Data'!$B$2:$B$101,MATCH("SKU78",'Raw Data'!$A$2:$A$101,0))</f>
        <v/>
      </c>
      <c r="D48" s="87">
        <f>INDEX('Raw Data'!$Z$2:$Z$101,MATCH("SKU78",'Raw Data'!$A$2:$A$101,0))</f>
        <v/>
      </c>
      <c r="E48" s="88">
        <f>INDEX('Raw Data'!$H$2:$H$101,MATCH("SKU78",'Raw Data'!$A$2:$A$101,0))</f>
        <v/>
      </c>
      <c r="F48" s="88">
        <f>INDEX('Raw Data'!$I$2:$I$101,MATCH("SKU78",'Raw Data'!$A$2:$A$101,0))</f>
        <v/>
      </c>
      <c r="G48" s="93">
        <f>INDEX('Raw Data'!$F$2:$F$101,MATCH("SKU78",'Raw Data'!$A$2:$A$101,0))</f>
        <v/>
      </c>
    </row>
    <row r="49" ht="15" customHeight="1" s="53">
      <c r="B49" s="87">
        <f>INDEX('Raw Data'!$A$2:$A$101,MATCH("SKU57",'Raw Data'!$A$2:$A$101,0))</f>
        <v/>
      </c>
      <c r="C49" s="87">
        <f>INDEX('Raw Data'!$B$2:$B$101,MATCH("SKU57",'Raw Data'!$A$2:$A$101,0))</f>
        <v/>
      </c>
      <c r="D49" s="87">
        <f>INDEX('Raw Data'!$Z$2:$Z$101,MATCH("SKU57",'Raw Data'!$A$2:$A$101,0))</f>
        <v/>
      </c>
      <c r="E49" s="88">
        <f>INDEX('Raw Data'!$H$2:$H$101,MATCH("SKU57",'Raw Data'!$A$2:$A$101,0))</f>
        <v/>
      </c>
      <c r="F49" s="88">
        <f>INDEX('Raw Data'!$I$2:$I$101,MATCH("SKU57",'Raw Data'!$A$2:$A$101,0))</f>
        <v/>
      </c>
      <c r="G49" s="93">
        <f>INDEX('Raw Data'!$F$2:$F$101,MATCH("SKU57",'Raw Data'!$A$2:$A$101,0))</f>
        <v/>
      </c>
    </row>
    <row r="50" ht="15" customHeight="1" s="53">
      <c r="B50" s="87">
        <f>INDEX('Raw Data'!$A$2:$A$101,MATCH("SKU31",'Raw Data'!$A$2:$A$101,0))</f>
        <v/>
      </c>
      <c r="C50" s="87">
        <f>INDEX('Raw Data'!$B$2:$B$101,MATCH("SKU31",'Raw Data'!$A$2:$A$101,0))</f>
        <v/>
      </c>
      <c r="D50" s="87">
        <f>INDEX('Raw Data'!$Z$2:$Z$101,MATCH("SKU31",'Raw Data'!$A$2:$A$101,0))</f>
        <v/>
      </c>
      <c r="E50" s="88">
        <f>INDEX('Raw Data'!$H$2:$H$101,MATCH("SKU31",'Raw Data'!$A$2:$A$101,0))</f>
        <v/>
      </c>
      <c r="F50" s="88">
        <f>INDEX('Raw Data'!$I$2:$I$101,MATCH("SKU31",'Raw Data'!$A$2:$A$101,0))</f>
        <v/>
      </c>
      <c r="G50" s="93">
        <f>INDEX('Raw Data'!$F$2:$F$101,MATCH("SKU31",'Raw Data'!$A$2:$A$101,0))</f>
        <v/>
      </c>
    </row>
    <row r="51" ht="15" customHeight="1" s="53">
      <c r="B51" s="87">
        <f>INDEX('Raw Data'!$A$2:$A$101,MATCH("SKU15",'Raw Data'!$A$2:$A$101,0))</f>
        <v/>
      </c>
      <c r="C51" s="87">
        <f>INDEX('Raw Data'!$B$2:$B$101,MATCH("SKU15",'Raw Data'!$A$2:$A$101,0))</f>
        <v/>
      </c>
      <c r="D51" s="87">
        <f>INDEX('Raw Data'!$Z$2:$Z$101,MATCH("SKU15",'Raw Data'!$A$2:$A$101,0))</f>
        <v/>
      </c>
      <c r="E51" s="88">
        <f>INDEX('Raw Data'!$H$2:$H$101,MATCH("SKU15",'Raw Data'!$A$2:$A$101,0))</f>
        <v/>
      </c>
      <c r="F51" s="88">
        <f>INDEX('Raw Data'!$I$2:$I$101,MATCH("SKU15",'Raw Data'!$A$2:$A$101,0))</f>
        <v/>
      </c>
      <c r="G51" s="93">
        <f>INDEX('Raw Data'!$F$2:$F$101,MATCH("SKU15",'Raw Data'!$A$2:$A$101,0))</f>
        <v/>
      </c>
    </row>
    <row r="52" ht="15" customHeight="1" s="53">
      <c r="B52" s="87">
        <f>INDEX('Raw Data'!$A$2:$A$101,MATCH("SKU18",'Raw Data'!$A$2:$A$101,0))</f>
        <v/>
      </c>
      <c r="C52" s="87">
        <f>INDEX('Raw Data'!$B$2:$B$101,MATCH("SKU18",'Raw Data'!$A$2:$A$101,0))</f>
        <v/>
      </c>
      <c r="D52" s="87">
        <f>INDEX('Raw Data'!$Z$2:$Z$101,MATCH("SKU18",'Raw Data'!$A$2:$A$101,0))</f>
        <v/>
      </c>
      <c r="E52" s="88">
        <f>INDEX('Raw Data'!$H$2:$H$101,MATCH("SKU18",'Raw Data'!$A$2:$A$101,0))</f>
        <v/>
      </c>
      <c r="F52" s="88">
        <f>INDEX('Raw Data'!$I$2:$I$101,MATCH("SKU18",'Raw Data'!$A$2:$A$101,0))</f>
        <v/>
      </c>
      <c r="G52" s="93">
        <f>INDEX('Raw Data'!$F$2:$F$101,MATCH("SKU18",'Raw Data'!$A$2:$A$101,0))</f>
        <v/>
      </c>
    </row>
    <row r="53" ht="15" customHeight="1" s="53">
      <c r="B53" s="87">
        <f>INDEX('Raw Data'!$A$2:$A$101,MATCH("SKU58",'Raw Data'!$A$2:$A$101,0))</f>
        <v/>
      </c>
      <c r="C53" s="87">
        <f>INDEX('Raw Data'!$B$2:$B$101,MATCH("SKU58",'Raw Data'!$A$2:$A$101,0))</f>
        <v/>
      </c>
      <c r="D53" s="87">
        <f>INDEX('Raw Data'!$Z$2:$Z$101,MATCH("SKU58",'Raw Data'!$A$2:$A$101,0))</f>
        <v/>
      </c>
      <c r="E53" s="88">
        <f>INDEX('Raw Data'!$H$2:$H$101,MATCH("SKU58",'Raw Data'!$A$2:$A$101,0))</f>
        <v/>
      </c>
      <c r="F53" s="88">
        <f>INDEX('Raw Data'!$I$2:$I$101,MATCH("SKU58",'Raw Data'!$A$2:$A$101,0))</f>
        <v/>
      </c>
      <c r="G53" s="93">
        <f>INDEX('Raw Data'!$F$2:$F$101,MATCH("SKU58",'Raw Data'!$A$2:$A$101,0))</f>
        <v/>
      </c>
    </row>
    <row r="54" ht="15" customHeight="1" s="53">
      <c r="B54" s="87">
        <f>INDEX('Raw Data'!$A$2:$A$101,MATCH("SKU6",'Raw Data'!$A$2:$A$101,0))</f>
        <v/>
      </c>
      <c r="C54" s="87">
        <f>INDEX('Raw Data'!$B$2:$B$101,MATCH("SKU6",'Raw Data'!$A$2:$A$101,0))</f>
        <v/>
      </c>
      <c r="D54" s="87">
        <f>INDEX('Raw Data'!$Z$2:$Z$101,MATCH("SKU6",'Raw Data'!$A$2:$A$101,0))</f>
        <v/>
      </c>
      <c r="E54" s="88">
        <f>INDEX('Raw Data'!$H$2:$H$101,MATCH("SKU6",'Raw Data'!$A$2:$A$101,0))</f>
        <v/>
      </c>
      <c r="F54" s="88">
        <f>INDEX('Raw Data'!$I$2:$I$101,MATCH("SKU6",'Raw Data'!$A$2:$A$101,0))</f>
        <v/>
      </c>
      <c r="G54" s="93">
        <f>INDEX('Raw Data'!$F$2:$F$101,MATCH("SKU6",'Raw Data'!$A$2:$A$101,0))</f>
        <v/>
      </c>
    </row>
    <row r="55" ht="15" customHeight="1" s="53">
      <c r="B55" s="87">
        <f>INDEX('Raw Data'!$A$2:$A$101,MATCH("SKU67",'Raw Data'!$A$2:$A$101,0))</f>
        <v/>
      </c>
      <c r="C55" s="87">
        <f>INDEX('Raw Data'!$B$2:$B$101,MATCH("SKU67",'Raw Data'!$A$2:$A$101,0))</f>
        <v/>
      </c>
      <c r="D55" s="87">
        <f>INDEX('Raw Data'!$Z$2:$Z$101,MATCH("SKU67",'Raw Data'!$A$2:$A$101,0))</f>
        <v/>
      </c>
      <c r="E55" s="88">
        <f>INDEX('Raw Data'!$H$2:$H$101,MATCH("SKU67",'Raw Data'!$A$2:$A$101,0))</f>
        <v/>
      </c>
      <c r="F55" s="88">
        <f>INDEX('Raw Data'!$I$2:$I$101,MATCH("SKU67",'Raw Data'!$A$2:$A$101,0))</f>
        <v/>
      </c>
      <c r="G55" s="93">
        <f>INDEX('Raw Data'!$F$2:$F$101,MATCH("SKU67",'Raw Data'!$A$2:$A$101,0))</f>
        <v/>
      </c>
    </row>
    <row r="56" ht="15" customHeight="1" s="53">
      <c r="B56" s="87">
        <f>INDEX('Raw Data'!$A$2:$A$101,MATCH("SKU44",'Raw Data'!$A$2:$A$101,0))</f>
        <v/>
      </c>
      <c r="C56" s="87">
        <f>INDEX('Raw Data'!$B$2:$B$101,MATCH("SKU44",'Raw Data'!$A$2:$A$101,0))</f>
        <v/>
      </c>
      <c r="D56" s="87">
        <f>INDEX('Raw Data'!$Z$2:$Z$101,MATCH("SKU44",'Raw Data'!$A$2:$A$101,0))</f>
        <v/>
      </c>
      <c r="E56" s="88">
        <f>INDEX('Raw Data'!$H$2:$H$101,MATCH("SKU44",'Raw Data'!$A$2:$A$101,0))</f>
        <v/>
      </c>
      <c r="F56" s="88">
        <f>INDEX('Raw Data'!$I$2:$I$101,MATCH("SKU44",'Raw Data'!$A$2:$A$101,0))</f>
        <v/>
      </c>
      <c r="G56" s="93">
        <f>INDEX('Raw Data'!$F$2:$F$101,MATCH("SKU44",'Raw Data'!$A$2:$A$101,0))</f>
        <v/>
      </c>
    </row>
    <row r="57" ht="15" customHeight="1" s="53">
      <c r="B57" s="87">
        <f>INDEX('Raw Data'!$A$2:$A$101,MATCH("SKU9",'Raw Data'!$A$2:$A$101,0))</f>
        <v/>
      </c>
      <c r="C57" s="87">
        <f>INDEX('Raw Data'!$B$2:$B$101,MATCH("SKU9",'Raw Data'!$A$2:$A$101,0))</f>
        <v/>
      </c>
      <c r="D57" s="87">
        <f>INDEX('Raw Data'!$Z$2:$Z$101,MATCH("SKU9",'Raw Data'!$A$2:$A$101,0))</f>
        <v/>
      </c>
      <c r="E57" s="88">
        <f>INDEX('Raw Data'!$H$2:$H$101,MATCH("SKU9",'Raw Data'!$A$2:$A$101,0))</f>
        <v/>
      </c>
      <c r="F57" s="88">
        <f>INDEX('Raw Data'!$I$2:$I$101,MATCH("SKU9",'Raw Data'!$A$2:$A$101,0))</f>
        <v/>
      </c>
      <c r="G57" s="93">
        <f>INDEX('Raw Data'!$F$2:$F$101,MATCH("SKU9",'Raw Data'!$A$2:$A$101,0))</f>
        <v/>
      </c>
    </row>
    <row r="58" ht="15" customHeight="1" s="53">
      <c r="B58" s="87">
        <f>INDEX('Raw Data'!$A$2:$A$101,MATCH("SKU85",'Raw Data'!$A$2:$A$101,0))</f>
        <v/>
      </c>
      <c r="C58" s="87">
        <f>INDEX('Raw Data'!$B$2:$B$101,MATCH("SKU85",'Raw Data'!$A$2:$A$101,0))</f>
        <v/>
      </c>
      <c r="D58" s="87">
        <f>INDEX('Raw Data'!$Z$2:$Z$101,MATCH("SKU85",'Raw Data'!$A$2:$A$101,0))</f>
        <v/>
      </c>
      <c r="E58" s="88">
        <f>INDEX('Raw Data'!$H$2:$H$101,MATCH("SKU85",'Raw Data'!$A$2:$A$101,0))</f>
        <v/>
      </c>
      <c r="F58" s="88">
        <f>INDEX('Raw Data'!$I$2:$I$101,MATCH("SKU85",'Raw Data'!$A$2:$A$101,0))</f>
        <v/>
      </c>
      <c r="G58" s="93">
        <f>INDEX('Raw Data'!$F$2:$F$101,MATCH("SKU85",'Raw Data'!$A$2:$A$101,0))</f>
        <v/>
      </c>
    </row>
    <row r="59" ht="15" customHeight="1" s="53">
      <c r="B59" s="87">
        <f>INDEX('Raw Data'!$A$2:$A$101,MATCH("SKU75",'Raw Data'!$A$2:$A$101,0))</f>
        <v/>
      </c>
      <c r="C59" s="87">
        <f>INDEX('Raw Data'!$B$2:$B$101,MATCH("SKU75",'Raw Data'!$A$2:$A$101,0))</f>
        <v/>
      </c>
      <c r="D59" s="87">
        <f>INDEX('Raw Data'!$Z$2:$Z$101,MATCH("SKU75",'Raw Data'!$A$2:$A$101,0))</f>
        <v/>
      </c>
      <c r="E59" s="88">
        <f>INDEX('Raw Data'!$H$2:$H$101,MATCH("SKU75",'Raw Data'!$A$2:$A$101,0))</f>
        <v/>
      </c>
      <c r="F59" s="88">
        <f>INDEX('Raw Data'!$I$2:$I$101,MATCH("SKU75",'Raw Data'!$A$2:$A$101,0))</f>
        <v/>
      </c>
      <c r="G59" s="93">
        <f>INDEX('Raw Data'!$F$2:$F$101,MATCH("SKU75",'Raw Data'!$A$2:$A$101,0))</f>
        <v/>
      </c>
    </row>
    <row r="60" ht="15" customHeight="1" s="53">
      <c r="B60" s="87">
        <f>INDEX('Raw Data'!$A$2:$A$101,MATCH("SKU73",'Raw Data'!$A$2:$A$101,0))</f>
        <v/>
      </c>
      <c r="C60" s="87">
        <f>INDEX('Raw Data'!$B$2:$B$101,MATCH("SKU73",'Raw Data'!$A$2:$A$101,0))</f>
        <v/>
      </c>
      <c r="D60" s="87">
        <f>INDEX('Raw Data'!$Z$2:$Z$101,MATCH("SKU73",'Raw Data'!$A$2:$A$101,0))</f>
        <v/>
      </c>
      <c r="E60" s="88">
        <f>INDEX('Raw Data'!$H$2:$H$101,MATCH("SKU73",'Raw Data'!$A$2:$A$101,0))</f>
        <v/>
      </c>
      <c r="F60" s="88">
        <f>INDEX('Raw Data'!$I$2:$I$101,MATCH("SKU73",'Raw Data'!$A$2:$A$101,0))</f>
        <v/>
      </c>
      <c r="G60" s="93">
        <f>INDEX('Raw Data'!$F$2:$F$101,MATCH("SKU73",'Raw Data'!$A$2:$A$101,0))</f>
        <v/>
      </c>
    </row>
    <row r="61" ht="15" customHeight="1" s="53">
      <c r="B61" s="87">
        <f>INDEX('Raw Data'!$A$2:$A$101,MATCH("SKU42",'Raw Data'!$A$2:$A$101,0))</f>
        <v/>
      </c>
      <c r="C61" s="87">
        <f>INDEX('Raw Data'!$B$2:$B$101,MATCH("SKU42",'Raw Data'!$A$2:$A$101,0))</f>
        <v/>
      </c>
      <c r="D61" s="87">
        <f>INDEX('Raw Data'!$Z$2:$Z$101,MATCH("SKU42",'Raw Data'!$A$2:$A$101,0))</f>
        <v/>
      </c>
      <c r="E61" s="88">
        <f>INDEX('Raw Data'!$H$2:$H$101,MATCH("SKU42",'Raw Data'!$A$2:$A$101,0))</f>
        <v/>
      </c>
      <c r="F61" s="88">
        <f>INDEX('Raw Data'!$I$2:$I$101,MATCH("SKU42",'Raw Data'!$A$2:$A$101,0))</f>
        <v/>
      </c>
      <c r="G61" s="93">
        <f>INDEX('Raw Data'!$F$2:$F$101,MATCH("SKU42",'Raw Data'!$A$2:$A$101,0))</f>
        <v/>
      </c>
    </row>
    <row r="62" ht="15" customHeight="1" s="53">
      <c r="B62" s="87">
        <f>INDEX('Raw Data'!$A$2:$A$101,MATCH("SKU56",'Raw Data'!$A$2:$A$101,0))</f>
        <v/>
      </c>
      <c r="C62" s="87">
        <f>INDEX('Raw Data'!$B$2:$B$101,MATCH("SKU56",'Raw Data'!$A$2:$A$101,0))</f>
        <v/>
      </c>
      <c r="D62" s="87">
        <f>INDEX('Raw Data'!$Z$2:$Z$101,MATCH("SKU56",'Raw Data'!$A$2:$A$101,0))</f>
        <v/>
      </c>
      <c r="E62" s="88">
        <f>INDEX('Raw Data'!$H$2:$H$101,MATCH("SKU56",'Raw Data'!$A$2:$A$101,0))</f>
        <v/>
      </c>
      <c r="F62" s="88">
        <f>INDEX('Raw Data'!$I$2:$I$101,MATCH("SKU56",'Raw Data'!$A$2:$A$101,0))</f>
        <v/>
      </c>
      <c r="G62" s="93">
        <f>INDEX('Raw Data'!$F$2:$F$101,MATCH("SKU56",'Raw Data'!$A$2:$A$101,0))</f>
        <v/>
      </c>
    </row>
    <row r="63" ht="15" customHeight="1" s="53">
      <c r="B63" s="87">
        <f>INDEX('Raw Data'!$A$2:$A$101,MATCH("SKU50",'Raw Data'!$A$2:$A$101,0))</f>
        <v/>
      </c>
      <c r="C63" s="87">
        <f>INDEX('Raw Data'!$B$2:$B$101,MATCH("SKU50",'Raw Data'!$A$2:$A$101,0))</f>
        <v/>
      </c>
      <c r="D63" s="87">
        <f>INDEX('Raw Data'!$Z$2:$Z$101,MATCH("SKU50",'Raw Data'!$A$2:$A$101,0))</f>
        <v/>
      </c>
      <c r="E63" s="88">
        <f>INDEX('Raw Data'!$H$2:$H$101,MATCH("SKU50",'Raw Data'!$A$2:$A$101,0))</f>
        <v/>
      </c>
      <c r="F63" s="88">
        <f>INDEX('Raw Data'!$I$2:$I$101,MATCH("SKU50",'Raw Data'!$A$2:$A$101,0))</f>
        <v/>
      </c>
      <c r="G63" s="93">
        <f>INDEX('Raw Data'!$F$2:$F$101,MATCH("SKU50",'Raw Data'!$A$2:$A$101,0))</f>
        <v/>
      </c>
    </row>
  </sheetData>
  <mergeCells count="8">
    <mergeCell ref="E6:G7"/>
    <mergeCell ref="H6:J7"/>
    <mergeCell ref="B5:D5"/>
    <mergeCell ref="B6:D7"/>
    <mergeCell ref="E5:G5"/>
    <mergeCell ref="K5:M5"/>
    <mergeCell ref="H5:J5"/>
    <mergeCell ref="K6:M7"/>
  </mergeCells>
  <conditionalFormatting sqref="D39:D63">
    <cfRule type="cellIs" rank="0" priority="2" equalAverage="0" operator="equal" aboveAverage="0" dxfId="1" text="" percent="0" bottom="0">
      <formula>"STOCKOUT"</formula>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1"/>
  </sheetPr>
  <dimension ref="B2:M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2" min="1" max="1"/>
    <col width="13" customWidth="1" style="52" min="2" max="3"/>
    <col width="14" customWidth="1" style="52" min="4" max="5"/>
    <col width="13" customWidth="1" style="52" min="6" max="6"/>
    <col width="12" customWidth="1" style="52" min="7" max="7"/>
    <col width="15" customWidth="1" style="52" min="8" max="9"/>
    <col width="13" customWidth="1" style="52" min="10" max="11"/>
    <col width="14" customWidth="1" style="52" min="12" max="12"/>
    <col width="8" customWidth="1" style="52" min="13" max="13"/>
  </cols>
  <sheetData>
    <row r="2" ht="21.75" customHeight="1" s="53">
      <c r="B2" s="82" t="inlineStr">
        <is>
          <t>Supplier Performance</t>
        </is>
      </c>
    </row>
    <row r="3" ht="15" customHeight="1" s="53">
      <c r="B3" s="55" t="inlineStr">
        <is>
          <t>Suppliers ranked on quality, reliability, and cost — COUNTIFS / AVERAGEIF formulas reference Raw Data live</t>
        </is>
      </c>
    </row>
    <row r="5" ht="15" customHeight="1" s="53">
      <c r="B5" s="86" t="inlineStr">
        <is>
          <t>Supplier</t>
        </is>
      </c>
      <c r="C5" s="86" t="inlineStr">
        <is>
          <t>SKUs Supplied</t>
        </is>
      </c>
      <c r="D5" s="86" t="inlineStr">
        <is>
          <t>Avg Defect Rate</t>
        </is>
      </c>
      <c r="E5" s="86" t="inlineStr">
        <is>
          <t>Inspections Passed</t>
        </is>
      </c>
      <c r="F5" s="86" t="inlineStr">
        <is>
          <t>Inspections Failed</t>
        </is>
      </c>
      <c r="G5" s="86" t="inlineStr">
        <is>
          <t>Pass Rate</t>
        </is>
      </c>
      <c r="H5" s="86" t="inlineStr">
        <is>
          <t>Avg Lead Time (days)</t>
        </is>
      </c>
      <c r="I5" s="86" t="inlineStr">
        <is>
          <t>Avg Shipping Time</t>
        </is>
      </c>
      <c r="J5" s="86" t="inlineStr">
        <is>
          <t>Total Cost</t>
        </is>
      </c>
      <c r="K5" s="86" t="inlineStr">
        <is>
          <t>Total Revenue</t>
        </is>
      </c>
      <c r="L5" s="86" t="inlineStr">
        <is>
          <t>Composite Score</t>
        </is>
      </c>
      <c r="M5" s="86" t="inlineStr">
        <is>
          <t>Rank</t>
        </is>
      </c>
    </row>
    <row r="6" ht="15" customHeight="1" s="53">
      <c r="B6" s="87" t="inlineStr">
        <is>
          <t>Supplier 1</t>
        </is>
      </c>
      <c r="C6" s="88">
        <f>COUNTIF('Raw Data'!$N$2:$N$101,$B6)</f>
        <v/>
      </c>
      <c r="D6" s="94">
        <f>AVERAGEIF('Raw Data'!$N$2:$N$101,$B6,'Raw Data'!$U$2:$U$101)</f>
        <v/>
      </c>
      <c r="E6" s="88">
        <f>COUNTIFS('Raw Data'!$N$2:$N$101,$B6,'Raw Data'!$T$2:$T$101,"Pass")</f>
        <v/>
      </c>
      <c r="F6" s="88">
        <f>COUNTIFS('Raw Data'!$N$2:$N$101,$B6,'Raw Data'!$T$2:$T$101,"Fail")</f>
        <v/>
      </c>
      <c r="G6" s="89">
        <f>IFERROR(E6/(E6+F6),0)</f>
        <v/>
      </c>
      <c r="H6" s="90">
        <f>AVERAGEIF('Raw Data'!$N$2:$N$101,$B6,'Raw Data'!$P$2:$P$101)</f>
        <v/>
      </c>
      <c r="I6" s="90">
        <f>AVERAGEIFS('Raw Data'!$K$2:$K$101,'Raw Data'!$N$2:$N$101,$B6)</f>
        <v/>
      </c>
      <c r="J6" s="93">
        <f>SUMIF('Raw Data'!$N$2:$N$101,$B6,'Raw Data'!$X$2:$X$101)</f>
        <v/>
      </c>
      <c r="K6" s="93">
        <f>SUMIF('Raw Data'!$N$2:$N$101,$B6,'Raw Data'!$F$2:$F$101)</f>
        <v/>
      </c>
      <c r="L6" s="95">
        <f>(G6*50)+((1-D6/5)*30)+((1-H6/30)*20)</f>
        <v/>
      </c>
      <c r="M6" s="96">
        <f>RANK(L6,$L$6:$L$10)</f>
        <v/>
      </c>
    </row>
    <row r="7" ht="15" customHeight="1" s="53">
      <c r="B7" s="87" t="inlineStr">
        <is>
          <t>Supplier 2</t>
        </is>
      </c>
      <c r="C7" s="88">
        <f>COUNTIF('Raw Data'!$N$2:$N$101,$B7)</f>
        <v/>
      </c>
      <c r="D7" s="94">
        <f>AVERAGEIF('Raw Data'!$N$2:$N$101,$B7,'Raw Data'!$U$2:$U$101)</f>
        <v/>
      </c>
      <c r="E7" s="88">
        <f>COUNTIFS('Raw Data'!$N$2:$N$101,$B7,'Raw Data'!$T$2:$T$101,"Pass")</f>
        <v/>
      </c>
      <c r="F7" s="88">
        <f>COUNTIFS('Raw Data'!$N$2:$N$101,$B7,'Raw Data'!$T$2:$T$101,"Fail")</f>
        <v/>
      </c>
      <c r="G7" s="89">
        <f>IFERROR(E7/(E7+F7),0)</f>
        <v/>
      </c>
      <c r="H7" s="90">
        <f>AVERAGEIF('Raw Data'!$N$2:$N$101,$B7,'Raw Data'!$P$2:$P$101)</f>
        <v/>
      </c>
      <c r="I7" s="90">
        <f>AVERAGEIFS('Raw Data'!$K$2:$K$101,'Raw Data'!$N$2:$N$101,$B7)</f>
        <v/>
      </c>
      <c r="J7" s="93">
        <f>SUMIF('Raw Data'!$N$2:$N$101,$B7,'Raw Data'!$X$2:$X$101)</f>
        <v/>
      </c>
      <c r="K7" s="93">
        <f>SUMIF('Raw Data'!$N$2:$N$101,$B7,'Raw Data'!$F$2:$F$101)</f>
        <v/>
      </c>
      <c r="L7" s="95">
        <f>(G7*50)+((1-D7/5)*30)+((1-H7/30)*20)</f>
        <v/>
      </c>
      <c r="M7" s="96">
        <f>RANK(L7,$L$6:$L$10)</f>
        <v/>
      </c>
    </row>
    <row r="8" ht="15" customHeight="1" s="53">
      <c r="B8" s="87" t="inlineStr">
        <is>
          <t>Supplier 3</t>
        </is>
      </c>
      <c r="C8" s="88">
        <f>COUNTIF('Raw Data'!$N$2:$N$101,$B8)</f>
        <v/>
      </c>
      <c r="D8" s="94">
        <f>AVERAGEIF('Raw Data'!$N$2:$N$101,$B8,'Raw Data'!$U$2:$U$101)</f>
        <v/>
      </c>
      <c r="E8" s="88">
        <f>COUNTIFS('Raw Data'!$N$2:$N$101,$B8,'Raw Data'!$T$2:$T$101,"Pass")</f>
        <v/>
      </c>
      <c r="F8" s="88">
        <f>COUNTIFS('Raw Data'!$N$2:$N$101,$B8,'Raw Data'!$T$2:$T$101,"Fail")</f>
        <v/>
      </c>
      <c r="G8" s="89">
        <f>IFERROR(E8/(E8+F8),0)</f>
        <v/>
      </c>
      <c r="H8" s="90">
        <f>AVERAGEIF('Raw Data'!$N$2:$N$101,$B8,'Raw Data'!$P$2:$P$101)</f>
        <v/>
      </c>
      <c r="I8" s="90">
        <f>AVERAGEIFS('Raw Data'!$K$2:$K$101,'Raw Data'!$N$2:$N$101,$B8)</f>
        <v/>
      </c>
      <c r="J8" s="93">
        <f>SUMIF('Raw Data'!$N$2:$N$101,$B8,'Raw Data'!$X$2:$X$101)</f>
        <v/>
      </c>
      <c r="K8" s="93">
        <f>SUMIF('Raw Data'!$N$2:$N$101,$B8,'Raw Data'!$F$2:$F$101)</f>
        <v/>
      </c>
      <c r="L8" s="95">
        <f>(G8*50)+((1-D8/5)*30)+((1-H8/30)*20)</f>
        <v/>
      </c>
      <c r="M8" s="96">
        <f>RANK(L8,$L$6:$L$10)</f>
        <v/>
      </c>
    </row>
    <row r="9" ht="15" customHeight="1" s="53">
      <c r="B9" s="87" t="inlineStr">
        <is>
          <t>Supplier 4</t>
        </is>
      </c>
      <c r="C9" s="88">
        <f>COUNTIF('Raw Data'!$N$2:$N$101,$B9)</f>
        <v/>
      </c>
      <c r="D9" s="94">
        <f>AVERAGEIF('Raw Data'!$N$2:$N$101,$B9,'Raw Data'!$U$2:$U$101)</f>
        <v/>
      </c>
      <c r="E9" s="88">
        <f>COUNTIFS('Raw Data'!$N$2:$N$101,$B9,'Raw Data'!$T$2:$T$101,"Pass")</f>
        <v/>
      </c>
      <c r="F9" s="88">
        <f>COUNTIFS('Raw Data'!$N$2:$N$101,$B9,'Raw Data'!$T$2:$T$101,"Fail")</f>
        <v/>
      </c>
      <c r="G9" s="89">
        <f>IFERROR(E9/(E9+F9),0)</f>
        <v/>
      </c>
      <c r="H9" s="90">
        <f>AVERAGEIF('Raw Data'!$N$2:$N$101,$B9,'Raw Data'!$P$2:$P$101)</f>
        <v/>
      </c>
      <c r="I9" s="90">
        <f>AVERAGEIFS('Raw Data'!$K$2:$K$101,'Raw Data'!$N$2:$N$101,$B9)</f>
        <v/>
      </c>
      <c r="J9" s="93">
        <f>SUMIF('Raw Data'!$N$2:$N$101,$B9,'Raw Data'!$X$2:$X$101)</f>
        <v/>
      </c>
      <c r="K9" s="93">
        <f>SUMIF('Raw Data'!$N$2:$N$101,$B9,'Raw Data'!$F$2:$F$101)</f>
        <v/>
      </c>
      <c r="L9" s="95">
        <f>(G9*50)+((1-D9/5)*30)+((1-H9/30)*20)</f>
        <v/>
      </c>
      <c r="M9" s="96">
        <f>RANK(L9,$L$6:$L$10)</f>
        <v/>
      </c>
    </row>
    <row r="10" ht="15" customHeight="1" s="53">
      <c r="B10" s="87" t="inlineStr">
        <is>
          <t>Supplier 5</t>
        </is>
      </c>
      <c r="C10" s="88">
        <f>COUNTIF('Raw Data'!$N$2:$N$101,$B10)</f>
        <v/>
      </c>
      <c r="D10" s="94">
        <f>AVERAGEIF('Raw Data'!$N$2:$N$101,$B10,'Raw Data'!$U$2:$U$101)</f>
        <v/>
      </c>
      <c r="E10" s="88">
        <f>COUNTIFS('Raw Data'!$N$2:$N$101,$B10,'Raw Data'!$T$2:$T$101,"Pass")</f>
        <v/>
      </c>
      <c r="F10" s="88">
        <f>COUNTIFS('Raw Data'!$N$2:$N$101,$B10,'Raw Data'!$T$2:$T$101,"Fail")</f>
        <v/>
      </c>
      <c r="G10" s="89">
        <f>IFERROR(E10/(E10+F10),0)</f>
        <v/>
      </c>
      <c r="H10" s="90">
        <f>AVERAGEIF('Raw Data'!$N$2:$N$101,$B10,'Raw Data'!$P$2:$P$101)</f>
        <v/>
      </c>
      <c r="I10" s="90">
        <f>AVERAGEIFS('Raw Data'!$K$2:$K$101,'Raw Data'!$N$2:$N$101,$B10)</f>
        <v/>
      </c>
      <c r="J10" s="93">
        <f>SUMIF('Raw Data'!$N$2:$N$101,$B10,'Raw Data'!$X$2:$X$101)</f>
        <v/>
      </c>
      <c r="K10" s="93">
        <f>SUMIF('Raw Data'!$N$2:$N$101,$B10,'Raw Data'!$F$2:$F$101)</f>
        <v/>
      </c>
      <c r="L10" s="95">
        <f>(G10*50)+((1-D10/5)*30)+((1-H10/30)*20)</f>
        <v/>
      </c>
      <c r="M10" s="96">
        <f>RANK(L10,$L$6:$L$10)</f>
        <v/>
      </c>
    </row>
    <row r="13" ht="15" customHeight="1" s="53">
      <c r="B13" s="97" t="inlineStr">
        <is>
          <t>Top-Ranked Supplier:</t>
        </is>
      </c>
      <c r="F13" s="97" t="inlineStr">
        <is>
          <t>Weakest Supplier (Quality Risk):</t>
        </is>
      </c>
    </row>
    <row r="14" ht="19.5" customHeight="1" s="53">
      <c r="B14" s="98">
        <f>INDEX($B$6:$B$10,MATCH(1,$M$6:$M$10,0))</f>
        <v/>
      </c>
      <c r="F14" s="99">
        <f>INDEX($B$6:$B$10,MATCH(MAX($M$6:$M$10),$M$6:$M$10,0))</f>
        <v/>
      </c>
    </row>
  </sheetData>
  <conditionalFormatting sqref="D6:D10">
    <cfRule type="colorScale" priority="2">
      <colorScale>
        <cfvo type="min" val="0"/>
        <cfvo type="percentile" val="50"/>
        <cfvo type="max" val="0"/>
        <color rgb="FF1F7A4D"/>
        <color rgb="FFFFFFFF"/>
        <color rgb="FFB5443A"/>
      </colorScale>
    </cfRule>
  </conditionalFormatting>
  <conditionalFormatting sqref="G6:G10">
    <cfRule type="colorScale" priority="3">
      <colorScale>
        <cfvo type="min" val="0"/>
        <cfvo type="percentile" val="50"/>
        <cfvo type="max" val="0"/>
        <color rgb="FFB5443A"/>
        <color rgb="FFFFFFFF"/>
        <color rgb="FF1F7A4D"/>
      </colorScale>
    </cfRule>
    <cfRule type="cellIs" rank="0" priority="4" equalAverage="0" operator="equal" aboveAverage="0" dxfId="1" text="" percent="0" bottom="0">
      <formula>0</formula>
    </cfRule>
  </conditionalFormatting>
  <conditionalFormatting sqref="L6:L10">
    <cfRule type="dataBar" priority="5">
      <dataBar minLength="10" maxLength="90" showValue="1">
        <cfvo type="min" val="0"/>
        <cfvo type="max" val="0"/>
        <color rgb="FFC9A84C"/>
      </dataBar>
    </cfRule>
  </conditionalFormatting>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6.xml><?xml version="1.0" encoding="utf-8"?>
<worksheet xmlns="http://schemas.openxmlformats.org/spreadsheetml/2006/main">
  <sheetPr filterMode="0">
    <outlinePr summaryBelow="1" summaryRight="1"/>
    <pageSetUpPr fitToPage="1"/>
  </sheetPr>
  <dimension ref="B2:F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2" min="1" max="1"/>
    <col width="28" customWidth="1" style="52" min="2" max="2"/>
    <col width="30" customWidth="1" style="52" min="3" max="6"/>
  </cols>
  <sheetData>
    <row r="2" ht="21.75" customHeight="1" s="53">
      <c r="B2" s="82" t="inlineStr">
        <is>
          <t>Operational Recommendations</t>
        </is>
      </c>
    </row>
    <row r="3" ht="15" customHeight="1" s="53">
      <c r="B3" s="55" t="inlineStr">
        <is>
          <t>Evidence-based recommendations derived from the analysis in this workbook</t>
        </is>
      </c>
    </row>
    <row r="5" ht="15" customHeight="1" s="53">
      <c r="B5" s="100" t="inlineStr">
        <is>
          <t>Area</t>
        </is>
      </c>
      <c r="C5" s="100" t="inlineStr">
        <is>
          <t>Evidence from Analysis</t>
        </is>
      </c>
      <c r="D5" s="101" t="n"/>
      <c r="E5" s="100" t="inlineStr">
        <is>
          <t>Recommended Action</t>
        </is>
      </c>
      <c r="F5" s="101" t="n"/>
    </row>
    <row r="6" ht="21.75" customHeight="1" s="53">
      <c r="B6" s="102" t="inlineStr">
        <is>
          <t>1. SUPPLIER QUALITY</t>
        </is>
      </c>
    </row>
    <row r="7" ht="60" customHeight="1" s="53">
      <c r="B7" s="103" t="inlineStr">
        <is>
          <t>Place Supplier 4 on a formal corrective action plan</t>
        </is>
      </c>
      <c r="C7" s="104" t="inlineStr">
        <is>
          <t>Supplier 4 has a 0% inspection pass rate across all 12 completed inspections (0 Pass, 12 Fail), the only supplier with zero passing inspections. This is the single most severe finding in the dataset.</t>
        </is>
      </c>
      <c r="D7" s="101" t="n"/>
      <c r="E7" s="104" t="inlineStr">
        <is>
          <t>Suspend new purchase orders to Supplier 4 pending a root-cause quality audit. Require a documented corrective action plan and re-inspection of a sample batch before resuming orders. Evaluate alternate suppliers for the 18 SKUs currently sourced from Supplier 4.</t>
        </is>
      </c>
      <c r="F7" s="101" t="n"/>
    </row>
    <row r="8" ht="60" customHeight="1" s="53">
      <c r="B8" s="103" t="inlineStr">
        <is>
          <t>Expand volume with Supplier 1, the top-ranked supplier</t>
        </is>
      </c>
      <c r="C8" s="104" t="inlineStr">
        <is>
          <t>Supplier 1 leads on every quality dimension measured: lowest average defect rate (1.80%), highest inspection pass rate (68.4%), and the highest composite performance score of all 5 suppliers, while also generating the most revenue ($157,529).</t>
        </is>
      </c>
      <c r="D8" s="101" t="n"/>
      <c r="E8" s="104" t="inlineStr">
        <is>
          <t>Negotiate expanded capacity and preferred-supplier terms with Supplier 1. Consider migrating a portion of Supplier 4's volume to Supplier 1 as quality issues are resolved.</t>
        </is>
      </c>
      <c r="F8" s="101" t="n"/>
    </row>
    <row r="9" ht="21.75" customHeight="1" s="53">
      <c r="B9" s="102" t="inlineStr">
        <is>
          <t>2. SHIPPING &amp; CARRIER STRATEGY</t>
        </is>
      </c>
    </row>
    <row r="10" ht="60" customHeight="1" s="53">
      <c r="B10" s="103" t="inlineStr">
        <is>
          <t>Reduce reliance on Carrier A for time-sensitive shipments</t>
        </is>
      </c>
      <c r="C10" s="104" t="inlineStr">
        <is>
          <t>Carrier A has a 32.1% delay rate (9 of 28 shipments), more than 3x higher than Carrier B (9.3%) and more than 2x Carrier C (13.8%). Delayed shipments also cost 23% more on average than on-time shipments.</t>
        </is>
      </c>
      <c r="D10" s="101" t="n"/>
      <c r="E10" s="104" t="inlineStr">
        <is>
          <t>Shift volume toward Carrier B where service allows. For shipments that must use Carrier A, build in additional buffer time or negotiate a service-level agreement with delay penalties.</t>
        </is>
      </c>
      <c r="F10" s="101" t="n"/>
    </row>
    <row r="11" ht="60" customHeight="1" s="53">
      <c r="B11" s="103" t="inlineStr">
        <is>
          <t>Reassess Sea and Rail transportation modes for time-critical routes</t>
        </is>
      </c>
      <c r="C11" s="104" t="inlineStr">
        <is>
          <t>Sea (7.1 days average) and Rail (6.6 days average) are the slowest transportation modes, compared to Road (4.7 days) and Air (5.1 days).</t>
        </is>
      </c>
      <c r="D11" s="101" t="n"/>
      <c r="E11" s="104" t="inlineStr">
        <is>
          <t>Reserve Sea and Rail for non-urgent, high-volume, low-margin shipments. Route time-sensitive or high-value SKUs through Road or Air wherever the cost differential is justified by reduced delay risk.</t>
        </is>
      </c>
      <c r="F11" s="101" t="n"/>
    </row>
    <row r="12" ht="21.75" customHeight="1" s="53">
      <c r="B12" s="102" t="inlineStr">
        <is>
          <t>3. INVENTORY REBALANCING</t>
        </is>
      </c>
    </row>
    <row r="13" ht="60" customHeight="1" s="53">
      <c r="B13" s="103" t="inlineStr">
        <is>
          <t>Resolve the SKU68 stockout immediately</t>
        </is>
      </c>
      <c r="C13" s="104" t="inlineStr">
        <is>
          <t>SKU68 (haircare) has zero stock against 58 units on order — the only confirmed stockout in the dataset, representing an immediate fulfilment risk.</t>
        </is>
      </c>
      <c r="D13" s="101" t="n"/>
      <c r="E13" s="104" t="inlineStr">
        <is>
          <t>Expedite replenishment for SKU68 as a priority order. Review safety stock policy for fast-moving haircare SKUs to prevent recurrence.</t>
        </is>
      </c>
      <c r="F13" s="101" t="n"/>
    </row>
    <row r="14" ht="60" customHeight="1" s="53">
      <c r="B14" s="103" t="inlineStr">
        <is>
          <t>Address the 24 understocked SKUs before they become stockouts</t>
        </is>
      </c>
      <c r="C14" s="104" t="inlineStr">
        <is>
          <t>24 SKUs fall in the bottom quartile of stock-to-order ratio, meaning current stock covers a small fraction of outstanding order quantity — these are the next wave of stockout risk if not replenished.</t>
        </is>
      </c>
      <c r="D14" s="101" t="n"/>
      <c r="E14" s="104" t="inlineStr">
        <is>
          <t>Use the Priority Action List on the Inventory Status tab to trigger reorder points for all 24 SKUs, ranked by lowest stock level first.</t>
        </is>
      </c>
      <c r="F14" s="101" t="n"/>
    </row>
    <row r="15" ht="60" customHeight="1" s="53">
      <c r="B15" s="103" t="inlineStr">
        <is>
          <t>Release working capital tied up in the 25 overstocked SKUs</t>
        </is>
      </c>
      <c r="C15" s="104" t="inlineStr">
        <is>
          <t>25 SKUs carry stock-to-order ratios in the top quartile, including SKU74 (41 units in stock against just 1 unit on order) — capital sitting in inventory that isn't moving.</t>
        </is>
      </c>
      <c r="D15" s="101" t="n"/>
      <c r="E15" s="104" t="inlineStr">
        <is>
          <t>Run a targeted clearance or bundling promotion on the most overstocked SKUs. Reduce future order quantities for these products and review forecasting assumptions that led to overordering.</t>
        </is>
      </c>
      <c r="F15" s="101" t="n"/>
    </row>
    <row r="16" ht="21.75" customHeight="1" s="53">
      <c r="B16" s="102" t="inlineStr">
        <is>
          <t>4. PRODUCT-LEVEL FOCUS</t>
        </is>
      </c>
    </row>
    <row r="17" ht="60" customHeight="1" s="53">
      <c r="B17" s="103" t="inlineStr">
        <is>
          <t>Prioritise inventory review for skincare, the highest-volume category</t>
        </is>
      </c>
      <c r="C17" s="104" t="inlineStr">
        <is>
          <t>Skincare has the most SKUs (40) and the highest total revenue ($241,628), but also a higher average defect rate (2.33%) than cosmetics (1.92%), making inventory and quality control here the highest-leverage area for improvement.</t>
        </is>
      </c>
      <c r="D17" s="101" t="n"/>
      <c r="E17" s="104" t="inlineStr">
        <is>
          <t>Apply the supplier and carrier recommendations above with skincare SKUs as the first priority, given their outsized revenue contribution.</t>
        </is>
      </c>
      <c r="F17" s="101" t="n"/>
    </row>
    <row r="19" ht="15" customHeight="1" s="53">
      <c r="B19" s="105" t="inlineStr">
        <is>
          <t>Note: All evidence figures in this sheet are drawn directly from the formulas in the Delayed Shipments, Inventory Status, and Supplier Performance tabs of this workbook.</t>
        </is>
      </c>
    </row>
  </sheetData>
  <mergeCells count="23">
    <mergeCell ref="B16:F16"/>
    <mergeCell ref="C15:D15"/>
    <mergeCell ref="C5:D5"/>
    <mergeCell ref="E5:F5"/>
    <mergeCell ref="C14:D14"/>
    <mergeCell ref="E14:F14"/>
    <mergeCell ref="E17:F17"/>
    <mergeCell ref="E8:F8"/>
    <mergeCell ref="B12:F12"/>
    <mergeCell ref="C10:D10"/>
    <mergeCell ref="E10:F10"/>
    <mergeCell ref="E13:F13"/>
    <mergeCell ref="E15:F15"/>
    <mergeCell ref="C11:D11"/>
    <mergeCell ref="E11:F11"/>
    <mergeCell ref="B19:F19"/>
    <mergeCell ref="C17:D17"/>
    <mergeCell ref="B9:F9"/>
    <mergeCell ref="C8:D8"/>
    <mergeCell ref="B6:F6"/>
    <mergeCell ref="C7:D7"/>
    <mergeCell ref="E7:F7"/>
    <mergeCell ref="C13:D13"/>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B2:F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2" min="1" max="1"/>
    <col width="26" customWidth="1" style="52" min="2" max="2"/>
    <col width="42" customWidth="1" style="52" min="3" max="3"/>
    <col width="40" customWidth="1" style="52" min="4" max="4"/>
    <col width="50" customWidth="1" style="52" min="5" max="5"/>
    <col width="10" customWidth="1" style="52" min="6" max="6"/>
  </cols>
  <sheetData>
    <row r="2" ht="21.75" customHeight="1" s="53">
      <c r="B2" s="82" t="inlineStr">
        <is>
          <t>Data Cleaning Log</t>
        </is>
      </c>
    </row>
    <row r="3" ht="15" customHeight="1" s="53">
      <c r="B3" s="55" t="inlineStr">
        <is>
          <t>Quality checks performed on the Supply Chain dataset prior to analysis</t>
        </is>
      </c>
    </row>
    <row r="5" ht="15" customHeight="1" s="53">
      <c r="B5" s="86" t="inlineStr">
        <is>
          <t>Check</t>
        </is>
      </c>
      <c r="C5" s="86" t="inlineStr">
        <is>
          <t>Method</t>
        </is>
      </c>
      <c r="D5" s="86" t="inlineStr">
        <is>
          <t>Result</t>
        </is>
      </c>
      <c r="E5" s="86" t="inlineStr">
        <is>
          <t>Action Taken</t>
        </is>
      </c>
    </row>
    <row r="6" ht="57.75" customHeight="1" s="53">
      <c r="B6" s="106" t="inlineStr">
        <is>
          <t>Duplicate Records</t>
        </is>
      </c>
      <c r="C6" s="107" t="inlineStr">
        <is>
          <t>Full-row duplicate scan (.duplicated()) and SKU uniqueness check</t>
        </is>
      </c>
      <c r="D6" s="107" t="inlineStr">
        <is>
          <t>0 duplicates found; 100 unique SKUs</t>
        </is>
      </c>
      <c r="E6" s="107" t="inlineStr">
        <is>
          <t>No rows removed — dataset confirmed unique</t>
        </is>
      </c>
    </row>
    <row r="7" ht="57.75" customHeight="1" s="53">
      <c r="B7" s="106" t="inlineStr">
        <is>
          <t>Missing Values</t>
        </is>
      </c>
      <c r="C7" s="107" t="inlineStr">
        <is>
          <t>Null check across all 24 source columns</t>
        </is>
      </c>
      <c r="D7" s="107" t="inlineStr">
        <is>
          <t>0 missing values</t>
        </is>
      </c>
      <c r="E7" s="107" t="inlineStr">
        <is>
          <t>No imputation required</t>
        </is>
      </c>
    </row>
    <row r="8" ht="57.75" customHeight="1" s="53">
      <c r="B8" s="106" t="inlineStr">
        <is>
          <t>Negative / Invalid Numerics</t>
        </is>
      </c>
      <c r="C8" s="107" t="inlineStr">
        <is>
          <t>Checked Price, Stock levels, Lead times, Order quantities, Shipping times, and Defect rates for negative values</t>
        </is>
      </c>
      <c r="D8" s="107" t="inlineStr">
        <is>
          <t>0 invalid records — all numeric fields within plausible operational ranges</t>
        </is>
      </c>
      <c r="E8" s="107" t="inlineStr">
        <is>
          <t>No correction needed</t>
        </is>
      </c>
    </row>
    <row r="9" ht="57.75" customHeight="1" s="53">
      <c r="B9" s="106" t="inlineStr">
        <is>
          <t>Ambiguous Column Naming</t>
        </is>
      </c>
      <c r="C9" s="107" t="inlineStr">
        <is>
          <t>Identified two separately-named lead time columns: 'Lead times' (order-level) and 'Lead time' (supplier-level)</t>
        </is>
      </c>
      <c r="D9" s="107" t="inlineStr">
        <is>
          <t>Correlation between the two columns measured at -0.003 — confirming they are genuinely independent metrics, not duplicates</t>
        </is>
      </c>
      <c r="E9" s="107" t="inlineStr">
        <is>
          <t>Both columns retained as distinct; 'Lead time' is treated as the supplier/manufacturing lead time throughout this workbook, and 'Lead times' as the order-fulfilment lead time</t>
        </is>
      </c>
    </row>
    <row r="10" ht="57.75" customHeight="1" s="53">
      <c r="B10" s="106" t="inlineStr">
        <is>
          <t>Categorical Consistency</t>
        </is>
      </c>
      <c r="C10" s="107" t="inlineStr">
        <is>
          <t>Verified spelling/casing consistency across Product type, Shipping carriers, Supplier name, Inspection results, Transportation modes, and Routes</t>
        </is>
      </c>
      <c r="D10" s="107" t="inlineStr">
        <is>
          <t>3 Product types, 3 Carriers, 5 Suppliers, 3 Inspection outcomes, 4 Transport modes, 3 Routes — all consistent, no typos or case mismatches</t>
        </is>
      </c>
      <c r="E10" s="107" t="inlineStr">
        <is>
          <t>No standardisation required</t>
        </is>
      </c>
    </row>
    <row r="11" ht="57.75" customHeight="1" s="53">
      <c r="B11" s="106" t="inlineStr">
        <is>
          <t>Stockout Detection</t>
        </is>
      </c>
      <c r="C11" s="107" t="inlineStr">
        <is>
          <t>Checked Stock levels = 0</t>
        </is>
      </c>
      <c r="D11" s="107" t="inlineStr">
        <is>
          <t>1 SKU (SKU68) found with zero stock against 58 units on order</t>
        </is>
      </c>
      <c r="E11" s="107" t="inlineStr">
        <is>
          <t>Flagged as STOCKOUT in the engineered Inventory Status field for priority action</t>
        </is>
      </c>
    </row>
    <row r="12" ht="57.75" customHeight="1" s="53">
      <c r="B12" s="106" t="inlineStr">
        <is>
          <t>Delay Threshold Methodology</t>
        </is>
      </c>
      <c r="C12" s="107" t="inlineStr">
        <is>
          <t>No explicit promised-delivery-date field exists in the source data, so delay status was derived from Shipping times using the 75th percentile (8 days) as the operational benchmark</t>
        </is>
      </c>
      <c r="D12" s="107" t="inlineStr">
        <is>
          <t>17 of 100 shipments (17%) classified as Delayed under this methodology</t>
        </is>
      </c>
      <c r="E12" s="107" t="inlineStr">
        <is>
          <t>Documented explicitly so the threshold can be recalibrated against actual SLA targets if/when available</t>
        </is>
      </c>
    </row>
    <row r="13" ht="57.75" customHeight="1" s="53">
      <c r="B13" s="106" t="inlineStr">
        <is>
          <t>Feature Engineering</t>
        </is>
      </c>
      <c r="C13" s="107" t="inlineStr">
        <is>
          <t>Built 6 new analysis fields directly in Excel using formulas</t>
        </is>
      </c>
      <c r="D13" s="107" t="inlineStr">
        <is>
          <t>Stock-to-Order Ratio, Inventory Status (nested IF), Delayed Flag (IF), Days Over Threshold (MAX), Supplier Quality Score (composite IF), Cost per 1,000 Units Sold</t>
        </is>
      </c>
      <c r="E13" s="107" t="inlineStr">
        <is>
          <t>All new fields are live formulas referencing Raw Data, fully auditable and dynamic</t>
        </is>
      </c>
    </row>
    <row r="15" ht="60" customHeight="1" s="53">
      <c r="B15" s="56" t="inlineStr">
        <is>
          <t>Conclusion:</t>
        </is>
      </c>
      <c r="C15" s="108" t="inlineStr">
        <is>
          <t>The dataset passed all structural quality checks (no duplicates, no missing values, no invalid numerics). The most important methodological note is that delay status is derived rather than directly observed, since no promised-delivery-date field exists in the source data; the 75th-percentile threshold used here should be replaced with actual SLA targets if they become available.</t>
        </is>
      </c>
    </row>
    <row r="16" ht="15" customHeight="1" s="53"/>
    <row r="17" ht="15" customHeight="1" s="53"/>
  </sheetData>
  <mergeCells count="1">
    <mergeCell ref="C15:F17"/>
  </mergeCells>
  <printOptions horizontalCentered="0" verticalCentered="0" headings="0" gridLines="0" gridLinesSet="1"/>
  <pageMargins left="0.3" right="0.3" top="0.4" bottom="0.4" header="0.511811023622047" footer="0.511811023622047"/>
  <pageSetup orientation="landscape" paperSize="9"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10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52" min="1" max="1"/>
    <col width="14" customWidth="1" style="52" min="2" max="25"/>
    <col width="16" customWidth="1" style="52" min="26" max="26"/>
    <col width="14" customWidth="1" style="52" min="27" max="28"/>
    <col width="16" customWidth="1" style="52" min="29" max="29"/>
    <col width="14" customWidth="1" style="52" min="30" max="30"/>
  </cols>
  <sheetData>
    <row r="1" ht="15" customHeight="1" s="53">
      <c r="A1" s="86" t="inlineStr">
        <is>
          <t>SKU</t>
        </is>
      </c>
      <c r="B1" s="86" t="inlineStr">
        <is>
          <t>Product type</t>
        </is>
      </c>
      <c r="C1" s="86" t="inlineStr">
        <is>
          <t>Price</t>
        </is>
      </c>
      <c r="D1" s="86" t="inlineStr">
        <is>
          <t>Availability</t>
        </is>
      </c>
      <c r="E1" s="86" t="inlineStr">
        <is>
          <t>Number of products sold</t>
        </is>
      </c>
      <c r="F1" s="86" t="inlineStr">
        <is>
          <t>Revenue generated</t>
        </is>
      </c>
      <c r="G1" s="86" t="inlineStr">
        <is>
          <t>Customer demographics</t>
        </is>
      </c>
      <c r="H1" s="86" t="inlineStr">
        <is>
          <t>Stock levels</t>
        </is>
      </c>
      <c r="I1" s="86" t="inlineStr">
        <is>
          <t>Order quantities</t>
        </is>
      </c>
      <c r="J1" s="86" t="inlineStr">
        <is>
          <t>Lead times</t>
        </is>
      </c>
      <c r="K1" s="86" t="inlineStr">
        <is>
          <t>Shipping times</t>
        </is>
      </c>
      <c r="L1" s="86" t="inlineStr">
        <is>
          <t>Shipping carriers</t>
        </is>
      </c>
      <c r="M1" s="86" t="inlineStr">
        <is>
          <t>Shipping costs</t>
        </is>
      </c>
      <c r="N1" s="86" t="inlineStr">
        <is>
          <t>Supplier name</t>
        </is>
      </c>
      <c r="O1" s="86" t="inlineStr">
        <is>
          <t>Location</t>
        </is>
      </c>
      <c r="P1" s="86" t="inlineStr">
        <is>
          <t>Lead time</t>
        </is>
      </c>
      <c r="Q1" s="86" t="inlineStr">
        <is>
          <t>Production volumes</t>
        </is>
      </c>
      <c r="R1" s="86" t="inlineStr">
        <is>
          <t>Manufacturing lead time</t>
        </is>
      </c>
      <c r="S1" s="86" t="inlineStr">
        <is>
          <t>Manufacturing costs</t>
        </is>
      </c>
      <c r="T1" s="86" t="inlineStr">
        <is>
          <t>Inspection results</t>
        </is>
      </c>
      <c r="U1" s="86" t="inlineStr">
        <is>
          <t>Defect rates</t>
        </is>
      </c>
      <c r="V1" s="86" t="inlineStr">
        <is>
          <t>Transportation modes</t>
        </is>
      </c>
      <c r="W1" s="86" t="inlineStr">
        <is>
          <t>Routes</t>
        </is>
      </c>
      <c r="X1" s="86" t="inlineStr">
        <is>
          <t>Costs</t>
        </is>
      </c>
      <c r="Y1" s="86" t="inlineStr">
        <is>
          <t>Stock-to-Order Ratio</t>
        </is>
      </c>
      <c r="Z1" s="86" t="inlineStr">
        <is>
          <t>Inventory Status</t>
        </is>
      </c>
      <c r="AA1" s="86" t="inlineStr">
        <is>
          <t>Delayed Flag</t>
        </is>
      </c>
      <c r="AB1" s="86" t="inlineStr">
        <is>
          <t>Days Over Threshold</t>
        </is>
      </c>
      <c r="AC1" s="86" t="inlineStr">
        <is>
          <t>Supplier Quality Score</t>
        </is>
      </c>
      <c r="AD1" s="86" t="inlineStr">
        <is>
          <t>Total Cost per Unit</t>
        </is>
      </c>
    </row>
    <row r="2" ht="15" customHeight="1" s="53">
      <c r="A2" s="52" t="inlineStr">
        <is>
          <t>SKU0</t>
        </is>
      </c>
      <c r="B2" s="52" t="inlineStr">
        <is>
          <t>haircare</t>
        </is>
      </c>
      <c r="C2" s="109" t="n">
        <v>69.80800554211579</v>
      </c>
      <c r="D2" s="52" t="n">
        <v>55</v>
      </c>
      <c r="E2" s="52" t="n">
        <v>802</v>
      </c>
      <c r="F2" s="109" t="n">
        <v>8661.99679239238</v>
      </c>
      <c r="G2" s="52" t="inlineStr">
        <is>
          <t>Non-binary</t>
        </is>
      </c>
      <c r="H2" s="52" t="n">
        <v>58</v>
      </c>
      <c r="I2" s="52" t="n">
        <v>96</v>
      </c>
      <c r="J2" s="52" t="n">
        <v>7</v>
      </c>
      <c r="K2" s="52" t="n">
        <v>4</v>
      </c>
      <c r="L2" s="52" t="inlineStr">
        <is>
          <t>Carrier B</t>
        </is>
      </c>
      <c r="M2" s="109" t="n">
        <v>2.95657213943081</v>
      </c>
      <c r="N2" s="52" t="inlineStr">
        <is>
          <t>Supplier 3</t>
        </is>
      </c>
      <c r="O2" s="52" t="inlineStr">
        <is>
          <t>Mumbai</t>
        </is>
      </c>
      <c r="P2" s="52" t="n">
        <v>29</v>
      </c>
      <c r="Q2" s="52" t="n">
        <v>215</v>
      </c>
      <c r="R2" s="52" t="n">
        <v>29</v>
      </c>
      <c r="S2" s="109" t="n">
        <v>46.2798792405083</v>
      </c>
      <c r="T2" s="52" t="inlineStr">
        <is>
          <t>Pending</t>
        </is>
      </c>
      <c r="U2" s="110" t="n">
        <v>0.226410360849925</v>
      </c>
      <c r="V2" s="52" t="inlineStr">
        <is>
          <t>Road</t>
        </is>
      </c>
      <c r="W2" s="52" t="inlineStr">
        <is>
          <t>Route B</t>
        </is>
      </c>
      <c r="X2" s="109" t="n">
        <v>187.752075459204</v>
      </c>
      <c r="Y2" s="111">
        <f>IFERROR(H2/I2,0)</f>
        <v/>
      </c>
      <c r="Z2" s="52">
        <f>IF(H2=0,"STOCKOUT",IF(Y2&gt;=1.933,"Overstocked",IF(Y2&lt;=0.3889,"Understocked","Healthy")))</f>
        <v/>
      </c>
      <c r="AA2" s="52">
        <f>IF(K2&gt;8,"Delayed","On Time")</f>
        <v/>
      </c>
      <c r="AB2" s="52">
        <f>MAX(0,K2-8)</f>
        <v/>
      </c>
      <c r="AC2" s="111">
        <f>IF(T2="Pass",2,IF(T2="Pending",1,0))-(U2/5)</f>
        <v/>
      </c>
      <c r="AD2" s="109">
        <f>IFERROR(X2/E2*1000,0)</f>
        <v/>
      </c>
    </row>
    <row r="3" ht="15" customHeight="1" s="53">
      <c r="A3" s="52" t="inlineStr">
        <is>
          <t>SKU1</t>
        </is>
      </c>
      <c r="B3" s="52" t="inlineStr">
        <is>
          <t>skincare</t>
        </is>
      </c>
      <c r="C3" s="109" t="n">
        <v>14.8435232750843</v>
      </c>
      <c r="D3" s="52" t="n">
        <v>95</v>
      </c>
      <c r="E3" s="52" t="n">
        <v>736</v>
      </c>
      <c r="F3" s="109" t="n">
        <v>7460.90006544585</v>
      </c>
      <c r="G3" s="52" t="inlineStr">
        <is>
          <t>Female</t>
        </is>
      </c>
      <c r="H3" s="52" t="n">
        <v>53</v>
      </c>
      <c r="I3" s="52" t="n">
        <v>37</v>
      </c>
      <c r="J3" s="52" t="n">
        <v>30</v>
      </c>
      <c r="K3" s="52" t="n">
        <v>2</v>
      </c>
      <c r="L3" s="52" t="inlineStr">
        <is>
          <t>Carrier A</t>
        </is>
      </c>
      <c r="M3" s="109" t="n">
        <v>9.71657477143131</v>
      </c>
      <c r="N3" s="52" t="inlineStr">
        <is>
          <t>Supplier 3</t>
        </is>
      </c>
      <c r="O3" s="52" t="inlineStr">
        <is>
          <t>Mumbai</t>
        </is>
      </c>
      <c r="P3" s="52" t="n">
        <v>23</v>
      </c>
      <c r="Q3" s="52" t="n">
        <v>517</v>
      </c>
      <c r="R3" s="52" t="n">
        <v>30</v>
      </c>
      <c r="S3" s="109" t="n">
        <v>33.61676895373</v>
      </c>
      <c r="T3" s="52" t="inlineStr">
        <is>
          <t>Pending</t>
        </is>
      </c>
      <c r="U3" s="110" t="n">
        <v>4.85406802638871</v>
      </c>
      <c r="V3" s="52" t="inlineStr">
        <is>
          <t>Road</t>
        </is>
      </c>
      <c r="W3" s="52" t="inlineStr">
        <is>
          <t>Route B</t>
        </is>
      </c>
      <c r="X3" s="109" t="n">
        <v>503.065579149669</v>
      </c>
      <c r="Y3" s="111">
        <f>IFERROR(H3/I3,0)</f>
        <v/>
      </c>
      <c r="Z3" s="52">
        <f>IF(H3=0,"STOCKOUT",IF(Y3&gt;=1.933,"Overstocked",IF(Y3&lt;=0.3889,"Understocked","Healthy")))</f>
        <v/>
      </c>
      <c r="AA3" s="52">
        <f>IF(K3&gt;8,"Delayed","On Time")</f>
        <v/>
      </c>
      <c r="AB3" s="52">
        <f>MAX(0,K3-8)</f>
        <v/>
      </c>
      <c r="AC3" s="111">
        <f>IF(T3="Pass",2,IF(T3="Pending",1,0))-(U3/5)</f>
        <v/>
      </c>
      <c r="AD3" s="109">
        <f>IFERROR(X3/E3*1000,0)</f>
        <v/>
      </c>
    </row>
    <row r="4" ht="15" customHeight="1" s="53">
      <c r="A4" s="52" t="inlineStr">
        <is>
          <t>SKU2</t>
        </is>
      </c>
      <c r="B4" s="52" t="inlineStr">
        <is>
          <t>haircare</t>
        </is>
      </c>
      <c r="C4" s="109" t="n">
        <v>11.3196832930906</v>
      </c>
      <c r="D4" s="52" t="n">
        <v>34</v>
      </c>
      <c r="E4" s="52" t="n">
        <v>8</v>
      </c>
      <c r="F4" s="109" t="n">
        <v>9577.74962586873</v>
      </c>
      <c r="G4" s="52" t="inlineStr">
        <is>
          <t>Unknown</t>
        </is>
      </c>
      <c r="H4" s="52" t="n">
        <v>1</v>
      </c>
      <c r="I4" s="52" t="n">
        <v>88</v>
      </c>
      <c r="J4" s="52" t="n">
        <v>10</v>
      </c>
      <c r="K4" s="52" t="n">
        <v>2</v>
      </c>
      <c r="L4" s="52" t="inlineStr">
        <is>
          <t>Carrier B</t>
        </is>
      </c>
      <c r="M4" s="109" t="n">
        <v>8.05447926173216</v>
      </c>
      <c r="N4" s="52" t="inlineStr">
        <is>
          <t>Supplier 1</t>
        </is>
      </c>
      <c r="O4" s="52" t="inlineStr">
        <is>
          <t>Mumbai</t>
        </is>
      </c>
      <c r="P4" s="52" t="n">
        <v>12</v>
      </c>
      <c r="Q4" s="52" t="n">
        <v>971</v>
      </c>
      <c r="R4" s="52" t="n">
        <v>27</v>
      </c>
      <c r="S4" s="109" t="n">
        <v>30.6880193482842</v>
      </c>
      <c r="T4" s="52" t="inlineStr">
        <is>
          <t>Pending</t>
        </is>
      </c>
      <c r="U4" s="110" t="n">
        <v>4.58059261919923</v>
      </c>
      <c r="V4" s="52" t="inlineStr">
        <is>
          <t>Air</t>
        </is>
      </c>
      <c r="W4" s="52" t="inlineStr">
        <is>
          <t>Route C</t>
        </is>
      </c>
      <c r="X4" s="109" t="n">
        <v>141.920281771519</v>
      </c>
      <c r="Y4" s="111">
        <f>IFERROR(H4/I4,0)</f>
        <v/>
      </c>
      <c r="Z4" s="52">
        <f>IF(H4=0,"STOCKOUT",IF(Y4&gt;=1.933,"Overstocked",IF(Y4&lt;=0.3889,"Understocked","Healthy")))</f>
        <v/>
      </c>
      <c r="AA4" s="52">
        <f>IF(K4&gt;8,"Delayed","On Time")</f>
        <v/>
      </c>
      <c r="AB4" s="52">
        <f>MAX(0,K4-8)</f>
        <v/>
      </c>
      <c r="AC4" s="111">
        <f>IF(T4="Pass",2,IF(T4="Pending",1,0))-(U4/5)</f>
        <v/>
      </c>
      <c r="AD4" s="109">
        <f>IFERROR(X4/E4*1000,0)</f>
        <v/>
      </c>
    </row>
    <row r="5" ht="15" customHeight="1" s="53">
      <c r="A5" s="52" t="inlineStr">
        <is>
          <t>SKU3</t>
        </is>
      </c>
      <c r="B5" s="52" t="inlineStr">
        <is>
          <t>skincare</t>
        </is>
      </c>
      <c r="C5" s="109" t="n">
        <v>61.1633430164377</v>
      </c>
      <c r="D5" s="52" t="n">
        <v>68</v>
      </c>
      <c r="E5" s="52" t="n">
        <v>83</v>
      </c>
      <c r="F5" s="109" t="n">
        <v>7766.83642568523</v>
      </c>
      <c r="G5" s="52" t="inlineStr">
        <is>
          <t>Non-binary</t>
        </is>
      </c>
      <c r="H5" s="52" t="n">
        <v>23</v>
      </c>
      <c r="I5" s="52" t="n">
        <v>59</v>
      </c>
      <c r="J5" s="52" t="n">
        <v>13</v>
      </c>
      <c r="K5" s="52" t="n">
        <v>6</v>
      </c>
      <c r="L5" s="52" t="inlineStr">
        <is>
          <t>Carrier C</t>
        </is>
      </c>
      <c r="M5" s="109" t="n">
        <v>1.72956856354343</v>
      </c>
      <c r="N5" s="52" t="inlineStr">
        <is>
          <t>Supplier 5</t>
        </is>
      </c>
      <c r="O5" s="52" t="inlineStr">
        <is>
          <t>Kolkata</t>
        </is>
      </c>
      <c r="P5" s="52" t="n">
        <v>24</v>
      </c>
      <c r="Q5" s="52" t="n">
        <v>937</v>
      </c>
      <c r="R5" s="52" t="n">
        <v>18</v>
      </c>
      <c r="S5" s="109" t="n">
        <v>35.624741397125</v>
      </c>
      <c r="T5" s="52" t="inlineStr">
        <is>
          <t>Fail</t>
        </is>
      </c>
      <c r="U5" s="110" t="n">
        <v>4.74664862064775</v>
      </c>
      <c r="V5" s="52" t="inlineStr">
        <is>
          <t>Rail</t>
        </is>
      </c>
      <c r="W5" s="52" t="inlineStr">
        <is>
          <t>Route A</t>
        </is>
      </c>
      <c r="X5" s="109" t="n">
        <v>254.776159219287</v>
      </c>
      <c r="Y5" s="111">
        <f>IFERROR(H5/I5,0)</f>
        <v/>
      </c>
      <c r="Z5" s="52">
        <f>IF(H5=0,"STOCKOUT",IF(Y5&gt;=1.933,"Overstocked",IF(Y5&lt;=0.3889,"Understocked","Healthy")))</f>
        <v/>
      </c>
      <c r="AA5" s="52">
        <f>IF(K5&gt;8,"Delayed","On Time")</f>
        <v/>
      </c>
      <c r="AB5" s="52">
        <f>MAX(0,K5-8)</f>
        <v/>
      </c>
      <c r="AC5" s="111">
        <f>IF(T5="Pass",2,IF(T5="Pending",1,0))-(U5/5)</f>
        <v/>
      </c>
      <c r="AD5" s="109">
        <f>IFERROR(X5/E5*1000,0)</f>
        <v/>
      </c>
    </row>
    <row r="6" ht="15" customHeight="1" s="53">
      <c r="A6" s="52" t="inlineStr">
        <is>
          <t>SKU4</t>
        </is>
      </c>
      <c r="B6" s="52" t="inlineStr">
        <is>
          <t>skincare</t>
        </is>
      </c>
      <c r="C6" s="109" t="n">
        <v>4.80549603634589</v>
      </c>
      <c r="D6" s="52" t="n">
        <v>26</v>
      </c>
      <c r="E6" s="52" t="n">
        <v>871</v>
      </c>
      <c r="F6" s="109" t="n">
        <v>2686.50515156745</v>
      </c>
      <c r="G6" s="52" t="inlineStr">
        <is>
          <t>Non-binary</t>
        </is>
      </c>
      <c r="H6" s="52" t="n">
        <v>5</v>
      </c>
      <c r="I6" s="52" t="n">
        <v>56</v>
      </c>
      <c r="J6" s="52" t="n">
        <v>3</v>
      </c>
      <c r="K6" s="52" t="n">
        <v>8</v>
      </c>
      <c r="L6" s="52" t="inlineStr">
        <is>
          <t>Carrier A</t>
        </is>
      </c>
      <c r="M6" s="109" t="n">
        <v>3.89054791587067</v>
      </c>
      <c r="N6" s="52" t="inlineStr">
        <is>
          <t>Supplier 1</t>
        </is>
      </c>
      <c r="O6" s="52" t="inlineStr">
        <is>
          <t>Delhi</t>
        </is>
      </c>
      <c r="P6" s="52" t="n">
        <v>5</v>
      </c>
      <c r="Q6" s="52" t="n">
        <v>414</v>
      </c>
      <c r="R6" s="52" t="n">
        <v>3</v>
      </c>
      <c r="S6" s="109" t="n">
        <v>92.06516059871279</v>
      </c>
      <c r="T6" s="52" t="inlineStr">
        <is>
          <t>Fail</t>
        </is>
      </c>
      <c r="U6" s="110" t="n">
        <v>3.145579522833</v>
      </c>
      <c r="V6" s="52" t="inlineStr">
        <is>
          <t>Air</t>
        </is>
      </c>
      <c r="W6" s="52" t="inlineStr">
        <is>
          <t>Route A</t>
        </is>
      </c>
      <c r="X6" s="109" t="n">
        <v>923.440631711922</v>
      </c>
      <c r="Y6" s="111">
        <f>IFERROR(H6/I6,0)</f>
        <v/>
      </c>
      <c r="Z6" s="52">
        <f>IF(H6=0,"STOCKOUT",IF(Y6&gt;=1.933,"Overstocked",IF(Y6&lt;=0.3889,"Understocked","Healthy")))</f>
        <v/>
      </c>
      <c r="AA6" s="52">
        <f>IF(K6&gt;8,"Delayed","On Time")</f>
        <v/>
      </c>
      <c r="AB6" s="52">
        <f>MAX(0,K6-8)</f>
        <v/>
      </c>
      <c r="AC6" s="111">
        <f>IF(T6="Pass",2,IF(T6="Pending",1,0))-(U6/5)</f>
        <v/>
      </c>
      <c r="AD6" s="109">
        <f>IFERROR(X6/E6*1000,0)</f>
        <v/>
      </c>
    </row>
    <row r="7" ht="15" customHeight="1" s="53">
      <c r="A7" s="52" t="inlineStr">
        <is>
          <t>SKU5</t>
        </is>
      </c>
      <c r="B7" s="52" t="inlineStr">
        <is>
          <t>haircare</t>
        </is>
      </c>
      <c r="C7" s="109" t="n">
        <v>1.69997601386594</v>
      </c>
      <c r="D7" s="52" t="n">
        <v>87</v>
      </c>
      <c r="E7" s="52" t="n">
        <v>147</v>
      </c>
      <c r="F7" s="109" t="n">
        <v>2828.34874597576</v>
      </c>
      <c r="G7" s="52" t="inlineStr">
        <is>
          <t>Non-binary</t>
        </is>
      </c>
      <c r="H7" s="52" t="n">
        <v>90</v>
      </c>
      <c r="I7" s="52" t="n">
        <v>66</v>
      </c>
      <c r="J7" s="52" t="n">
        <v>27</v>
      </c>
      <c r="K7" s="52" t="n">
        <v>3</v>
      </c>
      <c r="L7" s="52" t="inlineStr">
        <is>
          <t>Carrier B</t>
        </is>
      </c>
      <c r="M7" s="109" t="n">
        <v>4.44409886438229</v>
      </c>
      <c r="N7" s="52" t="inlineStr">
        <is>
          <t>Supplier 4</t>
        </is>
      </c>
      <c r="O7" s="52" t="inlineStr">
        <is>
          <t>Bangalore</t>
        </is>
      </c>
      <c r="P7" s="52" t="n">
        <v>10</v>
      </c>
      <c r="Q7" s="52" t="n">
        <v>104</v>
      </c>
      <c r="R7" s="52" t="n">
        <v>17</v>
      </c>
      <c r="S7" s="109" t="n">
        <v>56.7664755574318</v>
      </c>
      <c r="T7" s="52" t="inlineStr">
        <is>
          <t>Fail</t>
        </is>
      </c>
      <c r="U7" s="110" t="n">
        <v>2.77919351157116</v>
      </c>
      <c r="V7" s="52" t="inlineStr">
        <is>
          <t>Road</t>
        </is>
      </c>
      <c r="W7" s="52" t="inlineStr">
        <is>
          <t>Route A</t>
        </is>
      </c>
      <c r="X7" s="109" t="n">
        <v>235.461236735538</v>
      </c>
      <c r="Y7" s="111">
        <f>IFERROR(H7/I7,0)</f>
        <v/>
      </c>
      <c r="Z7" s="52">
        <f>IF(H7=0,"STOCKOUT",IF(Y7&gt;=1.933,"Overstocked",IF(Y7&lt;=0.3889,"Understocked","Healthy")))</f>
        <v/>
      </c>
      <c r="AA7" s="52">
        <f>IF(K7&gt;8,"Delayed","On Time")</f>
        <v/>
      </c>
      <c r="AB7" s="52">
        <f>MAX(0,K7-8)</f>
        <v/>
      </c>
      <c r="AC7" s="111">
        <f>IF(T7="Pass",2,IF(T7="Pending",1,0))-(U7/5)</f>
        <v/>
      </c>
      <c r="AD7" s="109">
        <f>IFERROR(X7/E7*1000,0)</f>
        <v/>
      </c>
    </row>
    <row r="8" ht="15" customHeight="1" s="53">
      <c r="A8" s="52" t="inlineStr">
        <is>
          <t>SKU6</t>
        </is>
      </c>
      <c r="B8" s="52" t="inlineStr">
        <is>
          <t>skincare</t>
        </is>
      </c>
      <c r="C8" s="109" t="n">
        <v>4.07833286310795</v>
      </c>
      <c r="D8" s="52" t="n">
        <v>48</v>
      </c>
      <c r="E8" s="52" t="n">
        <v>65</v>
      </c>
      <c r="F8" s="109" t="n">
        <v>7823.47655953174</v>
      </c>
      <c r="G8" s="52" t="inlineStr">
        <is>
          <t>Male</t>
        </is>
      </c>
      <c r="H8" s="52" t="n">
        <v>11</v>
      </c>
      <c r="I8" s="52" t="n">
        <v>58</v>
      </c>
      <c r="J8" s="52" t="n">
        <v>15</v>
      </c>
      <c r="K8" s="52" t="n">
        <v>8</v>
      </c>
      <c r="L8" s="52" t="inlineStr">
        <is>
          <t>Carrier C</t>
        </is>
      </c>
      <c r="M8" s="109" t="n">
        <v>3.880763302952</v>
      </c>
      <c r="N8" s="52" t="inlineStr">
        <is>
          <t>Supplier 3</t>
        </is>
      </c>
      <c r="O8" s="52" t="inlineStr">
        <is>
          <t>Kolkata</t>
        </is>
      </c>
      <c r="P8" s="52" t="n">
        <v>14</v>
      </c>
      <c r="Q8" s="52" t="n">
        <v>314</v>
      </c>
      <c r="R8" s="52" t="n">
        <v>24</v>
      </c>
      <c r="S8" s="109" t="n">
        <v>1.08506856958707</v>
      </c>
      <c r="T8" s="52" t="inlineStr">
        <is>
          <t>Pending</t>
        </is>
      </c>
      <c r="U8" s="110" t="n">
        <v>1.00091061930414</v>
      </c>
      <c r="V8" s="52" t="inlineStr">
        <is>
          <t>Sea</t>
        </is>
      </c>
      <c r="W8" s="52" t="inlineStr">
        <is>
          <t>Route A</t>
        </is>
      </c>
      <c r="X8" s="109" t="n">
        <v>134.369096861032</v>
      </c>
      <c r="Y8" s="111">
        <f>IFERROR(H8/I8,0)</f>
        <v/>
      </c>
      <c r="Z8" s="52">
        <f>IF(H8=0,"STOCKOUT",IF(Y8&gt;=1.933,"Overstocked",IF(Y8&lt;=0.3889,"Understocked","Healthy")))</f>
        <v/>
      </c>
      <c r="AA8" s="52">
        <f>IF(K8&gt;8,"Delayed","On Time")</f>
        <v/>
      </c>
      <c r="AB8" s="52">
        <f>MAX(0,K8-8)</f>
        <v/>
      </c>
      <c r="AC8" s="111">
        <f>IF(T8="Pass",2,IF(T8="Pending",1,0))-(U8/5)</f>
        <v/>
      </c>
      <c r="AD8" s="109">
        <f>IFERROR(X8/E8*1000,0)</f>
        <v/>
      </c>
    </row>
    <row r="9" ht="15" customHeight="1" s="53">
      <c r="A9" s="52" t="inlineStr">
        <is>
          <t>SKU7</t>
        </is>
      </c>
      <c r="B9" s="52" t="inlineStr">
        <is>
          <t>cosmetics</t>
        </is>
      </c>
      <c r="C9" s="109" t="n">
        <v>42.9583843824601</v>
      </c>
      <c r="D9" s="52" t="n">
        <v>59</v>
      </c>
      <c r="E9" s="52" t="n">
        <v>426</v>
      </c>
      <c r="F9" s="109" t="n">
        <v>8496.10381308984</v>
      </c>
      <c r="G9" s="52" t="inlineStr">
        <is>
          <t>Female</t>
        </is>
      </c>
      <c r="H9" s="52" t="n">
        <v>93</v>
      </c>
      <c r="I9" s="52" t="n">
        <v>11</v>
      </c>
      <c r="J9" s="52" t="n">
        <v>17</v>
      </c>
      <c r="K9" s="52" t="n">
        <v>1</v>
      </c>
      <c r="L9" s="52" t="inlineStr">
        <is>
          <t>Carrier B</t>
        </is>
      </c>
      <c r="M9" s="109" t="n">
        <v>2.34833878441778</v>
      </c>
      <c r="N9" s="52" t="inlineStr">
        <is>
          <t>Supplier 4</t>
        </is>
      </c>
      <c r="O9" s="52" t="inlineStr">
        <is>
          <t>Bangalore</t>
        </is>
      </c>
      <c r="P9" s="52" t="n">
        <v>22</v>
      </c>
      <c r="Q9" s="52" t="n">
        <v>564</v>
      </c>
      <c r="R9" s="52" t="n">
        <v>1</v>
      </c>
      <c r="S9" s="109" t="n">
        <v>99.4661086035991</v>
      </c>
      <c r="T9" s="52" t="inlineStr">
        <is>
          <t>Fail</t>
        </is>
      </c>
      <c r="U9" s="110" t="n">
        <v>0.398177186850651</v>
      </c>
      <c r="V9" s="52" t="inlineStr">
        <is>
          <t>Road</t>
        </is>
      </c>
      <c r="W9" s="52" t="inlineStr">
        <is>
          <t>Route C</t>
        </is>
      </c>
      <c r="X9" s="109" t="n">
        <v>802.056311817559</v>
      </c>
      <c r="Y9" s="111">
        <f>IFERROR(H9/I9,0)</f>
        <v/>
      </c>
      <c r="Z9" s="52">
        <f>IF(H9=0,"STOCKOUT",IF(Y9&gt;=1.933,"Overstocked",IF(Y9&lt;=0.3889,"Understocked","Healthy")))</f>
        <v/>
      </c>
      <c r="AA9" s="52">
        <f>IF(K9&gt;8,"Delayed","On Time")</f>
        <v/>
      </c>
      <c r="AB9" s="52">
        <f>MAX(0,K9-8)</f>
        <v/>
      </c>
      <c r="AC9" s="111">
        <f>IF(T9="Pass",2,IF(T9="Pending",1,0))-(U9/5)</f>
        <v/>
      </c>
      <c r="AD9" s="109">
        <f>IFERROR(X9/E9*1000,0)</f>
        <v/>
      </c>
    </row>
    <row r="10" ht="15" customHeight="1" s="53">
      <c r="A10" s="52" t="inlineStr">
        <is>
          <t>SKU8</t>
        </is>
      </c>
      <c r="B10" s="52" t="inlineStr">
        <is>
          <t>cosmetics</t>
        </is>
      </c>
      <c r="C10" s="109" t="n">
        <v>68.7175967485273</v>
      </c>
      <c r="D10" s="52" t="n">
        <v>78</v>
      </c>
      <c r="E10" s="52" t="n">
        <v>150</v>
      </c>
      <c r="F10" s="109" t="n">
        <v>7517.36321063113</v>
      </c>
      <c r="G10" s="52" t="inlineStr">
        <is>
          <t>Female</t>
        </is>
      </c>
      <c r="H10" s="52" t="n">
        <v>5</v>
      </c>
      <c r="I10" s="52" t="n">
        <v>15</v>
      </c>
      <c r="J10" s="52" t="n">
        <v>10</v>
      </c>
      <c r="K10" s="52" t="n">
        <v>7</v>
      </c>
      <c r="L10" s="52" t="inlineStr">
        <is>
          <t>Carrier C</t>
        </is>
      </c>
      <c r="M10" s="109" t="n">
        <v>3.40473385708303</v>
      </c>
      <c r="N10" s="52" t="inlineStr">
        <is>
          <t>Supplier 4</t>
        </is>
      </c>
      <c r="O10" s="52" t="inlineStr">
        <is>
          <t>Mumbai</t>
        </is>
      </c>
      <c r="P10" s="52" t="n">
        <v>13</v>
      </c>
      <c r="Q10" s="52" t="n">
        <v>769</v>
      </c>
      <c r="R10" s="52" t="n">
        <v>8</v>
      </c>
      <c r="S10" s="109" t="n">
        <v>11.4230271395657</v>
      </c>
      <c r="T10" s="52" t="inlineStr">
        <is>
          <t>Pending</t>
        </is>
      </c>
      <c r="U10" s="110" t="n">
        <v>2.70986269110996</v>
      </c>
      <c r="V10" s="52" t="inlineStr">
        <is>
          <t>Sea</t>
        </is>
      </c>
      <c r="W10" s="52" t="inlineStr">
        <is>
          <t>Route B</t>
        </is>
      </c>
      <c r="X10" s="109" t="n">
        <v>505.557134225464</v>
      </c>
      <c r="Y10" s="111">
        <f>IFERROR(H10/I10,0)</f>
        <v/>
      </c>
      <c r="Z10" s="52">
        <f>IF(H10=0,"STOCKOUT",IF(Y10&gt;=1.933,"Overstocked",IF(Y10&lt;=0.3889,"Understocked","Healthy")))</f>
        <v/>
      </c>
      <c r="AA10" s="52">
        <f>IF(K10&gt;8,"Delayed","On Time")</f>
        <v/>
      </c>
      <c r="AB10" s="52">
        <f>MAX(0,K10-8)</f>
        <v/>
      </c>
      <c r="AC10" s="111">
        <f>IF(T10="Pass",2,IF(T10="Pending",1,0))-(U10/5)</f>
        <v/>
      </c>
      <c r="AD10" s="109">
        <f>IFERROR(X10/E10*1000,0)</f>
        <v/>
      </c>
    </row>
    <row r="11" ht="15" customHeight="1" s="53">
      <c r="A11" s="52" t="inlineStr">
        <is>
          <t>SKU9</t>
        </is>
      </c>
      <c r="B11" s="52" t="inlineStr">
        <is>
          <t>skincare</t>
        </is>
      </c>
      <c r="C11" s="109" t="n">
        <v>64.0157329412785</v>
      </c>
      <c r="D11" s="52" t="n">
        <v>35</v>
      </c>
      <c r="E11" s="52" t="n">
        <v>980</v>
      </c>
      <c r="F11" s="109" t="n">
        <v>4971.14598758556</v>
      </c>
      <c r="G11" s="52" t="inlineStr">
        <is>
          <t>Unknown</t>
        </is>
      </c>
      <c r="H11" s="52" t="n">
        <v>14</v>
      </c>
      <c r="I11" s="52" t="n">
        <v>83</v>
      </c>
      <c r="J11" s="52" t="n">
        <v>27</v>
      </c>
      <c r="K11" s="52" t="n">
        <v>1</v>
      </c>
      <c r="L11" s="52" t="inlineStr">
        <is>
          <t>Carrier A</t>
        </is>
      </c>
      <c r="M11" s="109" t="n">
        <v>7.16664529104822</v>
      </c>
      <c r="N11" s="52" t="inlineStr">
        <is>
          <t>Supplier 2</t>
        </is>
      </c>
      <c r="O11" s="52" t="inlineStr">
        <is>
          <t>Chennai</t>
        </is>
      </c>
      <c r="P11" s="52" t="n">
        <v>29</v>
      </c>
      <c r="Q11" s="52" t="n">
        <v>963</v>
      </c>
      <c r="R11" s="52" t="n">
        <v>23</v>
      </c>
      <c r="S11" s="109" t="n">
        <v>47.9576016349516</v>
      </c>
      <c r="T11" s="52" t="inlineStr">
        <is>
          <t>Pending</t>
        </is>
      </c>
      <c r="U11" s="110" t="n">
        <v>3.84461447876759</v>
      </c>
      <c r="V11" s="52" t="inlineStr">
        <is>
          <t>Rail</t>
        </is>
      </c>
      <c r="W11" s="52" t="inlineStr">
        <is>
          <t>Route B</t>
        </is>
      </c>
      <c r="X11" s="109" t="n">
        <v>995.929461498642</v>
      </c>
      <c r="Y11" s="111">
        <f>IFERROR(H11/I11,0)</f>
        <v/>
      </c>
      <c r="Z11" s="52">
        <f>IF(H11=0,"STOCKOUT",IF(Y11&gt;=1.933,"Overstocked",IF(Y11&lt;=0.3889,"Understocked","Healthy")))</f>
        <v/>
      </c>
      <c r="AA11" s="52">
        <f>IF(K11&gt;8,"Delayed","On Time")</f>
        <v/>
      </c>
      <c r="AB11" s="52">
        <f>MAX(0,K11-8)</f>
        <v/>
      </c>
      <c r="AC11" s="111">
        <f>IF(T11="Pass",2,IF(T11="Pending",1,0))-(U11/5)</f>
        <v/>
      </c>
      <c r="AD11" s="109">
        <f>IFERROR(X11/E11*1000,0)</f>
        <v/>
      </c>
    </row>
    <row r="12" ht="15" customHeight="1" s="53">
      <c r="A12" s="52" t="inlineStr">
        <is>
          <t>SKU10</t>
        </is>
      </c>
      <c r="B12" s="52" t="inlineStr">
        <is>
          <t>skincare</t>
        </is>
      </c>
      <c r="C12" s="109" t="n">
        <v>15.7077956819121</v>
      </c>
      <c r="D12" s="52" t="n">
        <v>11</v>
      </c>
      <c r="E12" s="52" t="n">
        <v>996</v>
      </c>
      <c r="F12" s="109" t="n">
        <v>2330.96580209195</v>
      </c>
      <c r="G12" s="52" t="inlineStr">
        <is>
          <t>Non-binary</t>
        </is>
      </c>
      <c r="H12" s="52" t="n">
        <v>51</v>
      </c>
      <c r="I12" s="52" t="n">
        <v>80</v>
      </c>
      <c r="J12" s="52" t="n">
        <v>13</v>
      </c>
      <c r="K12" s="52" t="n">
        <v>2</v>
      </c>
      <c r="L12" s="52" t="inlineStr">
        <is>
          <t>Carrier C</t>
        </is>
      </c>
      <c r="M12" s="109" t="n">
        <v>8.673211211278611</v>
      </c>
      <c r="N12" s="52" t="inlineStr">
        <is>
          <t>Supplier 5</t>
        </is>
      </c>
      <c r="O12" s="52" t="inlineStr">
        <is>
          <t>Kolkata</t>
        </is>
      </c>
      <c r="P12" s="52" t="n">
        <v>18</v>
      </c>
      <c r="Q12" s="52" t="n">
        <v>830</v>
      </c>
      <c r="R12" s="52" t="n">
        <v>5</v>
      </c>
      <c r="S12" s="109" t="n">
        <v>96.5273527853109</v>
      </c>
      <c r="T12" s="52" t="inlineStr">
        <is>
          <t>Pass</t>
        </is>
      </c>
      <c r="U12" s="110" t="n">
        <v>1.72731392835594</v>
      </c>
      <c r="V12" s="52" t="inlineStr">
        <is>
          <t>Road</t>
        </is>
      </c>
      <c r="W12" s="52" t="inlineStr">
        <is>
          <t>Route B</t>
        </is>
      </c>
      <c r="X12" s="109" t="n">
        <v>806.1031777029229</v>
      </c>
      <c r="Y12" s="111">
        <f>IFERROR(H12/I12,0)</f>
        <v/>
      </c>
      <c r="Z12" s="52">
        <f>IF(H12=0,"STOCKOUT",IF(Y12&gt;=1.933,"Overstocked",IF(Y12&lt;=0.3889,"Understocked","Healthy")))</f>
        <v/>
      </c>
      <c r="AA12" s="52">
        <f>IF(K12&gt;8,"Delayed","On Time")</f>
        <v/>
      </c>
      <c r="AB12" s="52">
        <f>MAX(0,K12-8)</f>
        <v/>
      </c>
      <c r="AC12" s="111">
        <f>IF(T12="Pass",2,IF(T12="Pending",1,0))-(U12/5)</f>
        <v/>
      </c>
      <c r="AD12" s="109">
        <f>IFERROR(X12/E12*1000,0)</f>
        <v/>
      </c>
    </row>
    <row r="13" ht="15" customHeight="1" s="53">
      <c r="A13" s="52" t="inlineStr">
        <is>
          <t>SKU11</t>
        </is>
      </c>
      <c r="B13" s="52" t="inlineStr">
        <is>
          <t>skincare</t>
        </is>
      </c>
      <c r="C13" s="109" t="n">
        <v>90.63545998228869</v>
      </c>
      <c r="D13" s="52" t="n">
        <v>95</v>
      </c>
      <c r="E13" s="52" t="n">
        <v>960</v>
      </c>
      <c r="F13" s="109" t="n">
        <v>6099.94411558145</v>
      </c>
      <c r="G13" s="52" t="inlineStr">
        <is>
          <t>Female</t>
        </is>
      </c>
      <c r="H13" s="52" t="n">
        <v>46</v>
      </c>
      <c r="I13" s="52" t="n">
        <v>60</v>
      </c>
      <c r="J13" s="52" t="n">
        <v>23</v>
      </c>
      <c r="K13" s="52" t="n">
        <v>1</v>
      </c>
      <c r="L13" s="52" t="inlineStr">
        <is>
          <t>Carrier A</t>
        </is>
      </c>
      <c r="M13" s="109" t="n">
        <v>4.52394312431666</v>
      </c>
      <c r="N13" s="52" t="inlineStr">
        <is>
          <t>Supplier 2</t>
        </is>
      </c>
      <c r="O13" s="52" t="inlineStr">
        <is>
          <t>Kolkata</t>
        </is>
      </c>
      <c r="P13" s="52" t="n">
        <v>28</v>
      </c>
      <c r="Q13" s="52" t="n">
        <v>362</v>
      </c>
      <c r="R13" s="52" t="n">
        <v>11</v>
      </c>
      <c r="S13" s="109" t="n">
        <v>27.5923630866637</v>
      </c>
      <c r="T13" s="52" t="inlineStr">
        <is>
          <t>Pending</t>
        </is>
      </c>
      <c r="U13" s="110" t="n">
        <v>0.0211698213729943</v>
      </c>
      <c r="V13" s="52" t="inlineStr">
        <is>
          <t>Air</t>
        </is>
      </c>
      <c r="W13" s="52" t="inlineStr">
        <is>
          <t>Route A</t>
        </is>
      </c>
      <c r="X13" s="109" t="n">
        <v>126.723033409407</v>
      </c>
      <c r="Y13" s="111">
        <f>IFERROR(H13/I13,0)</f>
        <v/>
      </c>
      <c r="Z13" s="52">
        <f>IF(H13=0,"STOCKOUT",IF(Y13&gt;=1.933,"Overstocked",IF(Y13&lt;=0.3889,"Understocked","Healthy")))</f>
        <v/>
      </c>
      <c r="AA13" s="52">
        <f>IF(K13&gt;8,"Delayed","On Time")</f>
        <v/>
      </c>
      <c r="AB13" s="52">
        <f>MAX(0,K13-8)</f>
        <v/>
      </c>
      <c r="AC13" s="111">
        <f>IF(T13="Pass",2,IF(T13="Pending",1,0))-(U13/5)</f>
        <v/>
      </c>
      <c r="AD13" s="109">
        <f>IFERROR(X13/E13*1000,0)</f>
        <v/>
      </c>
    </row>
    <row r="14" ht="15" customHeight="1" s="53">
      <c r="A14" s="52" t="inlineStr">
        <is>
          <t>SKU12</t>
        </is>
      </c>
      <c r="B14" s="52" t="inlineStr">
        <is>
          <t>haircare</t>
        </is>
      </c>
      <c r="C14" s="109" t="n">
        <v>71.2133890753601</v>
      </c>
      <c r="D14" s="52" t="n">
        <v>41</v>
      </c>
      <c r="E14" s="52" t="n">
        <v>336</v>
      </c>
      <c r="F14" s="109" t="n">
        <v>2873.74144602144</v>
      </c>
      <c r="G14" s="52" t="inlineStr">
        <is>
          <t>Unknown</t>
        </is>
      </c>
      <c r="H14" s="52" t="n">
        <v>100</v>
      </c>
      <c r="I14" s="52" t="n">
        <v>85</v>
      </c>
      <c r="J14" s="52" t="n">
        <v>30</v>
      </c>
      <c r="K14" s="52" t="n">
        <v>4</v>
      </c>
      <c r="L14" s="52" t="inlineStr">
        <is>
          <t>Carrier A</t>
        </is>
      </c>
      <c r="M14" s="109" t="n">
        <v>1.32527401018452</v>
      </c>
      <c r="N14" s="52" t="inlineStr">
        <is>
          <t>Supplier 4</t>
        </is>
      </c>
      <c r="O14" s="52" t="inlineStr">
        <is>
          <t>Kolkata</t>
        </is>
      </c>
      <c r="P14" s="52" t="n">
        <v>3</v>
      </c>
      <c r="Q14" s="52" t="n">
        <v>563</v>
      </c>
      <c r="R14" s="52" t="n">
        <v>3</v>
      </c>
      <c r="S14" s="109" t="n">
        <v>32.321286213424</v>
      </c>
      <c r="T14" s="52" t="inlineStr">
        <is>
          <t>Fail</t>
        </is>
      </c>
      <c r="U14" s="110" t="n">
        <v>2.16125374755591</v>
      </c>
      <c r="V14" s="52" t="inlineStr">
        <is>
          <t>Road</t>
        </is>
      </c>
      <c r="W14" s="52" t="inlineStr">
        <is>
          <t>Route B</t>
        </is>
      </c>
      <c r="X14" s="109" t="n">
        <v>402.968789073771</v>
      </c>
      <c r="Y14" s="111">
        <f>IFERROR(H14/I14,0)</f>
        <v/>
      </c>
      <c r="Z14" s="52">
        <f>IF(H14=0,"STOCKOUT",IF(Y14&gt;=1.933,"Overstocked",IF(Y14&lt;=0.3889,"Understocked","Healthy")))</f>
        <v/>
      </c>
      <c r="AA14" s="52">
        <f>IF(K14&gt;8,"Delayed","On Time")</f>
        <v/>
      </c>
      <c r="AB14" s="52">
        <f>MAX(0,K14-8)</f>
        <v/>
      </c>
      <c r="AC14" s="111">
        <f>IF(T14="Pass",2,IF(T14="Pending",1,0))-(U14/5)</f>
        <v/>
      </c>
      <c r="AD14" s="109">
        <f>IFERROR(X14/E14*1000,0)</f>
        <v/>
      </c>
    </row>
    <row r="15" ht="15" customHeight="1" s="53">
      <c r="A15" s="52" t="inlineStr">
        <is>
          <t>SKU13</t>
        </is>
      </c>
      <c r="B15" s="52" t="inlineStr">
        <is>
          <t>skincare</t>
        </is>
      </c>
      <c r="C15" s="109" t="n">
        <v>16.16039331738</v>
      </c>
      <c r="D15" s="52" t="n">
        <v>5</v>
      </c>
      <c r="E15" s="52" t="n">
        <v>249</v>
      </c>
      <c r="F15" s="109" t="n">
        <v>4052.73841623787</v>
      </c>
      <c r="G15" s="52" t="inlineStr">
        <is>
          <t>Male</t>
        </is>
      </c>
      <c r="H15" s="52" t="n">
        <v>80</v>
      </c>
      <c r="I15" s="52" t="n">
        <v>48</v>
      </c>
      <c r="J15" s="52" t="n">
        <v>8</v>
      </c>
      <c r="K15" s="52" t="n">
        <v>9</v>
      </c>
      <c r="L15" s="52" t="inlineStr">
        <is>
          <t>Carrier A</t>
        </is>
      </c>
      <c r="M15" s="109" t="n">
        <v>9.53728306110834</v>
      </c>
      <c r="N15" s="52" t="inlineStr">
        <is>
          <t>Supplier 5</t>
        </is>
      </c>
      <c r="O15" s="52" t="inlineStr">
        <is>
          <t>Bangalore</t>
        </is>
      </c>
      <c r="P15" s="52" t="n">
        <v>23</v>
      </c>
      <c r="Q15" s="52" t="n">
        <v>173</v>
      </c>
      <c r="R15" s="52" t="n">
        <v>10</v>
      </c>
      <c r="S15" s="109" t="n">
        <v>97.8290501101733</v>
      </c>
      <c r="T15" s="52" t="inlineStr">
        <is>
          <t>Pending</t>
        </is>
      </c>
      <c r="U15" s="110" t="n">
        <v>1.63107423007154</v>
      </c>
      <c r="V15" s="52" t="inlineStr">
        <is>
          <t>Road</t>
        </is>
      </c>
      <c r="W15" s="52" t="inlineStr">
        <is>
          <t>Route B</t>
        </is>
      </c>
      <c r="X15" s="109" t="n">
        <v>547.2410051609691</v>
      </c>
      <c r="Y15" s="111">
        <f>IFERROR(H15/I15,0)</f>
        <v/>
      </c>
      <c r="Z15" s="52">
        <f>IF(H15=0,"STOCKOUT",IF(Y15&gt;=1.933,"Overstocked",IF(Y15&lt;=0.3889,"Understocked","Healthy")))</f>
        <v/>
      </c>
      <c r="AA15" s="52">
        <f>IF(K15&gt;8,"Delayed","On Time")</f>
        <v/>
      </c>
      <c r="AB15" s="52">
        <f>MAX(0,K15-8)</f>
        <v/>
      </c>
      <c r="AC15" s="111">
        <f>IF(T15="Pass",2,IF(T15="Pending",1,0))-(U15/5)</f>
        <v/>
      </c>
      <c r="AD15" s="109">
        <f>IFERROR(X15/E15*1000,0)</f>
        <v/>
      </c>
    </row>
    <row r="16" ht="15" customHeight="1" s="53">
      <c r="A16" s="52" t="inlineStr">
        <is>
          <t>SKU14</t>
        </is>
      </c>
      <c r="B16" s="52" t="inlineStr">
        <is>
          <t>skincare</t>
        </is>
      </c>
      <c r="C16" s="109" t="n">
        <v>99.1713286386242</v>
      </c>
      <c r="D16" s="52" t="n">
        <v>26</v>
      </c>
      <c r="E16" s="52" t="n">
        <v>562</v>
      </c>
      <c r="F16" s="109" t="n">
        <v>8653.5709264698</v>
      </c>
      <c r="G16" s="52" t="inlineStr">
        <is>
          <t>Non-binary</t>
        </is>
      </c>
      <c r="H16" s="52" t="n">
        <v>54</v>
      </c>
      <c r="I16" s="52" t="n">
        <v>78</v>
      </c>
      <c r="J16" s="52" t="n">
        <v>29</v>
      </c>
      <c r="K16" s="52" t="n">
        <v>5</v>
      </c>
      <c r="L16" s="52" t="inlineStr">
        <is>
          <t>Carrier B</t>
        </is>
      </c>
      <c r="M16" s="109" t="n">
        <v>2.03977018944933</v>
      </c>
      <c r="N16" s="52" t="inlineStr">
        <is>
          <t>Supplier 1</t>
        </is>
      </c>
      <c r="O16" s="52" t="inlineStr">
        <is>
          <t>Kolkata</t>
        </is>
      </c>
      <c r="P16" s="52" t="n">
        <v>25</v>
      </c>
      <c r="Q16" s="52" t="n">
        <v>558</v>
      </c>
      <c r="R16" s="52" t="n">
        <v>14</v>
      </c>
      <c r="S16" s="109" t="n">
        <v>5.79143662986299</v>
      </c>
      <c r="T16" s="52" t="inlineStr">
        <is>
          <t>Pending</t>
        </is>
      </c>
      <c r="U16" s="110" t="n">
        <v>0.100682851565094</v>
      </c>
      <c r="V16" s="52" t="inlineStr">
        <is>
          <t>Air</t>
        </is>
      </c>
      <c r="W16" s="52" t="inlineStr">
        <is>
          <t>Route B</t>
        </is>
      </c>
      <c r="X16" s="109" t="n">
        <v>929.23528996089</v>
      </c>
      <c r="Y16" s="111">
        <f>IFERROR(H16/I16,0)</f>
        <v/>
      </c>
      <c r="Z16" s="52">
        <f>IF(H16=0,"STOCKOUT",IF(Y16&gt;=1.933,"Overstocked",IF(Y16&lt;=0.3889,"Understocked","Healthy")))</f>
        <v/>
      </c>
      <c r="AA16" s="52">
        <f>IF(K16&gt;8,"Delayed","On Time")</f>
        <v/>
      </c>
      <c r="AB16" s="52">
        <f>MAX(0,K16-8)</f>
        <v/>
      </c>
      <c r="AC16" s="111">
        <f>IF(T16="Pass",2,IF(T16="Pending",1,0))-(U16/5)</f>
        <v/>
      </c>
      <c r="AD16" s="109">
        <f>IFERROR(X16/E16*1000,0)</f>
        <v/>
      </c>
    </row>
    <row r="17" ht="15" customHeight="1" s="53">
      <c r="A17" s="52" t="inlineStr">
        <is>
          <t>SKU15</t>
        </is>
      </c>
      <c r="B17" s="52" t="inlineStr">
        <is>
          <t>skincare</t>
        </is>
      </c>
      <c r="C17" s="109" t="n">
        <v>36.9892449286269</v>
      </c>
      <c r="D17" s="52" t="n">
        <v>94</v>
      </c>
      <c r="E17" s="52" t="n">
        <v>469</v>
      </c>
      <c r="F17" s="109" t="n">
        <v>5442.08678539767</v>
      </c>
      <c r="G17" s="52" t="inlineStr">
        <is>
          <t>Non-binary</t>
        </is>
      </c>
      <c r="H17" s="52" t="n">
        <v>9</v>
      </c>
      <c r="I17" s="52" t="n">
        <v>69</v>
      </c>
      <c r="J17" s="52" t="n">
        <v>8</v>
      </c>
      <c r="K17" s="52" t="n">
        <v>7</v>
      </c>
      <c r="L17" s="52" t="inlineStr">
        <is>
          <t>Carrier B</t>
        </is>
      </c>
      <c r="M17" s="109" t="n">
        <v>2.4220397232752</v>
      </c>
      <c r="N17" s="52" t="inlineStr">
        <is>
          <t>Supplier 1</t>
        </is>
      </c>
      <c r="O17" s="52" t="inlineStr">
        <is>
          <t>Bangalore</t>
        </is>
      </c>
      <c r="P17" s="52" t="n">
        <v>14</v>
      </c>
      <c r="Q17" s="52" t="n">
        <v>580</v>
      </c>
      <c r="R17" s="52" t="n">
        <v>7</v>
      </c>
      <c r="S17" s="109" t="n">
        <v>97.1212817514743</v>
      </c>
      <c r="T17" s="52" t="inlineStr">
        <is>
          <t>Pass</t>
        </is>
      </c>
      <c r="U17" s="110" t="n">
        <v>2.26440576119855</v>
      </c>
      <c r="V17" s="52" t="inlineStr">
        <is>
          <t>Sea</t>
        </is>
      </c>
      <c r="W17" s="52" t="inlineStr">
        <is>
          <t>Route B</t>
        </is>
      </c>
      <c r="X17" s="109" t="n">
        <v>127.861800001625</v>
      </c>
      <c r="Y17" s="111">
        <f>IFERROR(H17/I17,0)</f>
        <v/>
      </c>
      <c r="Z17" s="52">
        <f>IF(H17=0,"STOCKOUT",IF(Y17&gt;=1.933,"Overstocked",IF(Y17&lt;=0.3889,"Understocked","Healthy")))</f>
        <v/>
      </c>
      <c r="AA17" s="52">
        <f>IF(K17&gt;8,"Delayed","On Time")</f>
        <v/>
      </c>
      <c r="AB17" s="52">
        <f>MAX(0,K17-8)</f>
        <v/>
      </c>
      <c r="AC17" s="111">
        <f>IF(T17="Pass",2,IF(T17="Pending",1,0))-(U17/5)</f>
        <v/>
      </c>
      <c r="AD17" s="109">
        <f>IFERROR(X17/E17*1000,0)</f>
        <v/>
      </c>
    </row>
    <row r="18" ht="15" customHeight="1" s="53">
      <c r="A18" s="52" t="inlineStr">
        <is>
          <t>SKU16</t>
        </is>
      </c>
      <c r="B18" s="52" t="inlineStr">
        <is>
          <t>skincare</t>
        </is>
      </c>
      <c r="C18" s="109" t="n">
        <v>7.54717210979127</v>
      </c>
      <c r="D18" s="52" t="n">
        <v>74</v>
      </c>
      <c r="E18" s="52" t="n">
        <v>280</v>
      </c>
      <c r="F18" s="109" t="n">
        <v>6453.79796817629</v>
      </c>
      <c r="G18" s="52" t="inlineStr">
        <is>
          <t>Female</t>
        </is>
      </c>
      <c r="H18" s="52" t="n">
        <v>2</v>
      </c>
      <c r="I18" s="52" t="n">
        <v>78</v>
      </c>
      <c r="J18" s="52" t="n">
        <v>5</v>
      </c>
      <c r="K18" s="52" t="n">
        <v>1</v>
      </c>
      <c r="L18" s="52" t="inlineStr">
        <is>
          <t>Carrier B</t>
        </is>
      </c>
      <c r="M18" s="109" t="n">
        <v>4.1913245857055</v>
      </c>
      <c r="N18" s="52" t="inlineStr">
        <is>
          <t>Supplier 1</t>
        </is>
      </c>
      <c r="O18" s="52" t="inlineStr">
        <is>
          <t>Bangalore</t>
        </is>
      </c>
      <c r="P18" s="52" t="n">
        <v>3</v>
      </c>
      <c r="Q18" s="52" t="n">
        <v>399</v>
      </c>
      <c r="R18" s="52" t="n">
        <v>21</v>
      </c>
      <c r="S18" s="109" t="n">
        <v>77.10634249784999</v>
      </c>
      <c r="T18" s="52" t="inlineStr">
        <is>
          <t>Pass</t>
        </is>
      </c>
      <c r="U18" s="110" t="n">
        <v>1.01256308925805</v>
      </c>
      <c r="V18" s="52" t="inlineStr">
        <is>
          <t>Air</t>
        </is>
      </c>
      <c r="W18" s="52" t="inlineStr">
        <is>
          <t>Route A</t>
        </is>
      </c>
      <c r="X18" s="109" t="n">
        <v>865.52577977124</v>
      </c>
      <c r="Y18" s="111">
        <f>IFERROR(H18/I18,0)</f>
        <v/>
      </c>
      <c r="Z18" s="52">
        <f>IF(H18=0,"STOCKOUT",IF(Y18&gt;=1.933,"Overstocked",IF(Y18&lt;=0.3889,"Understocked","Healthy")))</f>
        <v/>
      </c>
      <c r="AA18" s="52">
        <f>IF(K18&gt;8,"Delayed","On Time")</f>
        <v/>
      </c>
      <c r="AB18" s="52">
        <f>MAX(0,K18-8)</f>
        <v/>
      </c>
      <c r="AC18" s="111">
        <f>IF(T18="Pass",2,IF(T18="Pending",1,0))-(U18/5)</f>
        <v/>
      </c>
      <c r="AD18" s="109">
        <f>IFERROR(X18/E18*1000,0)</f>
        <v/>
      </c>
    </row>
    <row r="19" ht="15" customHeight="1" s="53">
      <c r="A19" s="52" t="inlineStr">
        <is>
          <t>SKU17</t>
        </is>
      </c>
      <c r="B19" s="52" t="inlineStr">
        <is>
          <t>cosmetics</t>
        </is>
      </c>
      <c r="C19" s="109" t="n">
        <v>81.46253436923701</v>
      </c>
      <c r="D19" s="52" t="n">
        <v>82</v>
      </c>
      <c r="E19" s="52" t="n">
        <v>126</v>
      </c>
      <c r="F19" s="109" t="n">
        <v>2629.39643484526</v>
      </c>
      <c r="G19" s="52" t="inlineStr">
        <is>
          <t>Female</t>
        </is>
      </c>
      <c r="H19" s="52" t="n">
        <v>45</v>
      </c>
      <c r="I19" s="52" t="n">
        <v>85</v>
      </c>
      <c r="J19" s="52" t="n">
        <v>17</v>
      </c>
      <c r="K19" s="52" t="n">
        <v>9</v>
      </c>
      <c r="L19" s="52" t="inlineStr">
        <is>
          <t>Carrier C</t>
        </is>
      </c>
      <c r="M19" s="109" t="n">
        <v>3.58541895823234</v>
      </c>
      <c r="N19" s="52" t="inlineStr">
        <is>
          <t>Supplier 1</t>
        </is>
      </c>
      <c r="O19" s="52" t="inlineStr">
        <is>
          <t>Chennai</t>
        </is>
      </c>
      <c r="P19" s="52" t="n">
        <v>7</v>
      </c>
      <c r="Q19" s="52" t="n">
        <v>453</v>
      </c>
      <c r="R19" s="52" t="n">
        <v>16</v>
      </c>
      <c r="S19" s="109" t="n">
        <v>47.6796803683553</v>
      </c>
      <c r="T19" s="52" t="inlineStr">
        <is>
          <t>Fail</t>
        </is>
      </c>
      <c r="U19" s="110" t="n">
        <v>0.102020754918176</v>
      </c>
      <c r="V19" s="52" t="inlineStr">
        <is>
          <t>Air</t>
        </is>
      </c>
      <c r="W19" s="52" t="inlineStr">
        <is>
          <t>Route C</t>
        </is>
      </c>
      <c r="X19" s="109" t="n">
        <v>670.93439079241</v>
      </c>
      <c r="Y19" s="111">
        <f>IFERROR(H19/I19,0)</f>
        <v/>
      </c>
      <c r="Z19" s="52">
        <f>IF(H19=0,"STOCKOUT",IF(Y19&gt;=1.933,"Overstocked",IF(Y19&lt;=0.3889,"Understocked","Healthy")))</f>
        <v/>
      </c>
      <c r="AA19" s="52">
        <f>IF(K19&gt;8,"Delayed","On Time")</f>
        <v/>
      </c>
      <c r="AB19" s="52">
        <f>MAX(0,K19-8)</f>
        <v/>
      </c>
      <c r="AC19" s="111">
        <f>IF(T19="Pass",2,IF(T19="Pending",1,0))-(U19/5)</f>
        <v/>
      </c>
      <c r="AD19" s="109">
        <f>IFERROR(X19/E19*1000,0)</f>
        <v/>
      </c>
    </row>
    <row r="20" ht="15" customHeight="1" s="53">
      <c r="A20" s="52" t="inlineStr">
        <is>
          <t>SKU18</t>
        </is>
      </c>
      <c r="B20" s="52" t="inlineStr">
        <is>
          <t>haircare</t>
        </is>
      </c>
      <c r="C20" s="109" t="n">
        <v>36.4436277704609</v>
      </c>
      <c r="D20" s="52" t="n">
        <v>23</v>
      </c>
      <c r="E20" s="52" t="n">
        <v>620</v>
      </c>
      <c r="F20" s="109" t="n">
        <v>9364.673505076171</v>
      </c>
      <c r="G20" s="52" t="inlineStr">
        <is>
          <t>Unknown</t>
        </is>
      </c>
      <c r="H20" s="52" t="n">
        <v>10</v>
      </c>
      <c r="I20" s="52" t="n">
        <v>46</v>
      </c>
      <c r="J20" s="52" t="n">
        <v>10</v>
      </c>
      <c r="K20" s="52" t="n">
        <v>8</v>
      </c>
      <c r="L20" s="52" t="inlineStr">
        <is>
          <t>Carrier C</t>
        </is>
      </c>
      <c r="M20" s="109" t="n">
        <v>4.33922471411071</v>
      </c>
      <c r="N20" s="52" t="inlineStr">
        <is>
          <t>Supplier 2</t>
        </is>
      </c>
      <c r="O20" s="52" t="inlineStr">
        <is>
          <t>Kolkata</t>
        </is>
      </c>
      <c r="P20" s="52" t="n">
        <v>18</v>
      </c>
      <c r="Q20" s="52" t="n">
        <v>374</v>
      </c>
      <c r="R20" s="52" t="n">
        <v>17</v>
      </c>
      <c r="S20" s="109" t="n">
        <v>27.1079808548439</v>
      </c>
      <c r="T20" s="52" t="inlineStr">
        <is>
          <t>Pending</t>
        </is>
      </c>
      <c r="U20" s="110" t="n">
        <v>2.23193911072926</v>
      </c>
      <c r="V20" s="52" t="inlineStr">
        <is>
          <t>Sea</t>
        </is>
      </c>
      <c r="W20" s="52" t="inlineStr">
        <is>
          <t>Route A</t>
        </is>
      </c>
      <c r="X20" s="109" t="n">
        <v>593.480258720652</v>
      </c>
      <c r="Y20" s="111">
        <f>IFERROR(H20/I20,0)</f>
        <v/>
      </c>
      <c r="Z20" s="52">
        <f>IF(H20=0,"STOCKOUT",IF(Y20&gt;=1.933,"Overstocked",IF(Y20&lt;=0.3889,"Understocked","Healthy")))</f>
        <v/>
      </c>
      <c r="AA20" s="52">
        <f>IF(K20&gt;8,"Delayed","On Time")</f>
        <v/>
      </c>
      <c r="AB20" s="52">
        <f>MAX(0,K20-8)</f>
        <v/>
      </c>
      <c r="AC20" s="111">
        <f>IF(T20="Pass",2,IF(T20="Pending",1,0))-(U20/5)</f>
        <v/>
      </c>
      <c r="AD20" s="109">
        <f>IFERROR(X20/E20*1000,0)</f>
        <v/>
      </c>
    </row>
    <row r="21" ht="15" customHeight="1" s="53">
      <c r="A21" s="52" t="inlineStr">
        <is>
          <t>SKU19</t>
        </is>
      </c>
      <c r="B21" s="52" t="inlineStr">
        <is>
          <t>skincare</t>
        </is>
      </c>
      <c r="C21" s="109" t="n">
        <v>51.1238700879647</v>
      </c>
      <c r="D21" s="52" t="n">
        <v>100</v>
      </c>
      <c r="E21" s="52" t="n">
        <v>187</v>
      </c>
      <c r="F21" s="109" t="n">
        <v>2553.49558499122</v>
      </c>
      <c r="G21" s="52" t="inlineStr">
        <is>
          <t>Unknown</t>
        </is>
      </c>
      <c r="H21" s="52" t="n">
        <v>48</v>
      </c>
      <c r="I21" s="52" t="n">
        <v>94</v>
      </c>
      <c r="J21" s="52" t="n">
        <v>11</v>
      </c>
      <c r="K21" s="52" t="n">
        <v>3</v>
      </c>
      <c r="L21" s="52" t="inlineStr">
        <is>
          <t>Carrier A</t>
        </is>
      </c>
      <c r="M21" s="109" t="n">
        <v>4.74263588284188</v>
      </c>
      <c r="N21" s="52" t="inlineStr">
        <is>
          <t>Supplier 4</t>
        </is>
      </c>
      <c r="O21" s="52" t="inlineStr">
        <is>
          <t>Chennai</t>
        </is>
      </c>
      <c r="P21" s="52" t="n">
        <v>20</v>
      </c>
      <c r="Q21" s="52" t="n">
        <v>694</v>
      </c>
      <c r="R21" s="52" t="n">
        <v>16</v>
      </c>
      <c r="S21" s="109" t="n">
        <v>82.37332058799019</v>
      </c>
      <c r="T21" s="52" t="inlineStr">
        <is>
          <t>Fail</t>
        </is>
      </c>
      <c r="U21" s="110" t="n">
        <v>3.64645086541703</v>
      </c>
      <c r="V21" s="52" t="inlineStr">
        <is>
          <t>Road</t>
        </is>
      </c>
      <c r="W21" s="52" t="inlineStr">
        <is>
          <t>Route C</t>
        </is>
      </c>
      <c r="X21" s="109" t="n">
        <v>477.307631090903</v>
      </c>
      <c r="Y21" s="111">
        <f>IFERROR(H21/I21,0)</f>
        <v/>
      </c>
      <c r="Z21" s="52">
        <f>IF(H21=0,"STOCKOUT",IF(Y21&gt;=1.933,"Overstocked",IF(Y21&lt;=0.3889,"Understocked","Healthy")))</f>
        <v/>
      </c>
      <c r="AA21" s="52">
        <f>IF(K21&gt;8,"Delayed","On Time")</f>
        <v/>
      </c>
      <c r="AB21" s="52">
        <f>MAX(0,K21-8)</f>
        <v/>
      </c>
      <c r="AC21" s="111">
        <f>IF(T21="Pass",2,IF(T21="Pending",1,0))-(U21/5)</f>
        <v/>
      </c>
      <c r="AD21" s="109">
        <f>IFERROR(X21/E21*1000,0)</f>
        <v/>
      </c>
    </row>
    <row r="22" ht="15" customHeight="1" s="53">
      <c r="A22" s="52" t="inlineStr">
        <is>
          <t>SKU20</t>
        </is>
      </c>
      <c r="B22" s="52" t="inlineStr">
        <is>
          <t>skincare</t>
        </is>
      </c>
      <c r="C22" s="109" t="n">
        <v>96.3410724399634</v>
      </c>
      <c r="D22" s="52" t="n">
        <v>22</v>
      </c>
      <c r="E22" s="52" t="n">
        <v>320</v>
      </c>
      <c r="F22" s="109" t="n">
        <v>8128.02769685119</v>
      </c>
      <c r="G22" s="52" t="inlineStr">
        <is>
          <t>Unknown</t>
        </is>
      </c>
      <c r="H22" s="52" t="n">
        <v>27</v>
      </c>
      <c r="I22" s="52" t="n">
        <v>68</v>
      </c>
      <c r="J22" s="52" t="n">
        <v>12</v>
      </c>
      <c r="K22" s="52" t="n">
        <v>6</v>
      </c>
      <c r="L22" s="52" t="inlineStr">
        <is>
          <t>Carrier A</t>
        </is>
      </c>
      <c r="M22" s="109" t="n">
        <v>8.87833465092684</v>
      </c>
      <c r="N22" s="52" t="inlineStr">
        <is>
          <t>Supplier 1</t>
        </is>
      </c>
      <c r="O22" s="52" t="inlineStr">
        <is>
          <t>Chennai</t>
        </is>
      </c>
      <c r="P22" s="52" t="n">
        <v>29</v>
      </c>
      <c r="Q22" s="52" t="n">
        <v>309</v>
      </c>
      <c r="R22" s="52" t="n">
        <v>6</v>
      </c>
      <c r="S22" s="109" t="n">
        <v>65.6862596084886</v>
      </c>
      <c r="T22" s="52" t="inlineStr">
        <is>
          <t>Pass</t>
        </is>
      </c>
      <c r="U22" s="110" t="n">
        <v>4.23141657353454</v>
      </c>
      <c r="V22" s="52" t="inlineStr">
        <is>
          <t>Air</t>
        </is>
      </c>
      <c r="W22" s="52" t="inlineStr">
        <is>
          <t>Route B</t>
        </is>
      </c>
      <c r="X22" s="109" t="n">
        <v>493.871215316206</v>
      </c>
      <c r="Y22" s="111">
        <f>IFERROR(H22/I22,0)</f>
        <v/>
      </c>
      <c r="Z22" s="52">
        <f>IF(H22=0,"STOCKOUT",IF(Y22&gt;=1.933,"Overstocked",IF(Y22&lt;=0.3889,"Understocked","Healthy")))</f>
        <v/>
      </c>
      <c r="AA22" s="52">
        <f>IF(K22&gt;8,"Delayed","On Time")</f>
        <v/>
      </c>
      <c r="AB22" s="52">
        <f>MAX(0,K22-8)</f>
        <v/>
      </c>
      <c r="AC22" s="111">
        <f>IF(T22="Pass",2,IF(T22="Pending",1,0))-(U22/5)</f>
        <v/>
      </c>
      <c r="AD22" s="109">
        <f>IFERROR(X22/E22*1000,0)</f>
        <v/>
      </c>
    </row>
    <row r="23" ht="15" customHeight="1" s="53">
      <c r="A23" s="52" t="inlineStr">
        <is>
          <t>SKU21</t>
        </is>
      </c>
      <c r="B23" s="52" t="inlineStr">
        <is>
          <t>cosmetics</t>
        </is>
      </c>
      <c r="C23" s="109" t="n">
        <v>84.8938689849508</v>
      </c>
      <c r="D23" s="52" t="n">
        <v>60</v>
      </c>
      <c r="E23" s="52" t="n">
        <v>601</v>
      </c>
      <c r="F23" s="109" t="n">
        <v>7087.05269635744</v>
      </c>
      <c r="G23" s="52" t="inlineStr">
        <is>
          <t>Unknown</t>
        </is>
      </c>
      <c r="H23" s="52" t="n">
        <v>69</v>
      </c>
      <c r="I23" s="52" t="n">
        <v>7</v>
      </c>
      <c r="J23" s="52" t="n">
        <v>25</v>
      </c>
      <c r="K23" s="52" t="n">
        <v>6</v>
      </c>
      <c r="L23" s="52" t="inlineStr">
        <is>
          <t>Carrier B</t>
        </is>
      </c>
      <c r="M23" s="109" t="n">
        <v>6.0378837692183</v>
      </c>
      <c r="N23" s="52" t="inlineStr">
        <is>
          <t>Supplier 5</t>
        </is>
      </c>
      <c r="O23" s="52" t="inlineStr">
        <is>
          <t>Chennai</t>
        </is>
      </c>
      <c r="P23" s="52" t="n">
        <v>19</v>
      </c>
      <c r="Q23" s="52" t="n">
        <v>791</v>
      </c>
      <c r="R23" s="52" t="n">
        <v>4</v>
      </c>
      <c r="S23" s="109" t="n">
        <v>61.7357289541609</v>
      </c>
      <c r="T23" s="52" t="inlineStr">
        <is>
          <t>Pending</t>
        </is>
      </c>
      <c r="U23" s="110" t="n">
        <v>0.0186075676310149</v>
      </c>
      <c r="V23" s="52" t="inlineStr">
        <is>
          <t>Air</t>
        </is>
      </c>
      <c r="W23" s="52" t="inlineStr">
        <is>
          <t>Route C</t>
        </is>
      </c>
      <c r="X23" s="109" t="n">
        <v>523.360914720158</v>
      </c>
      <c r="Y23" s="111">
        <f>IFERROR(H23/I23,0)</f>
        <v/>
      </c>
      <c r="Z23" s="52">
        <f>IF(H23=0,"STOCKOUT",IF(Y23&gt;=1.933,"Overstocked",IF(Y23&lt;=0.3889,"Understocked","Healthy")))</f>
        <v/>
      </c>
      <c r="AA23" s="52">
        <f>IF(K23&gt;8,"Delayed","On Time")</f>
        <v/>
      </c>
      <c r="AB23" s="52">
        <f>MAX(0,K23-8)</f>
        <v/>
      </c>
      <c r="AC23" s="111">
        <f>IF(T23="Pass",2,IF(T23="Pending",1,0))-(U23/5)</f>
        <v/>
      </c>
      <c r="AD23" s="109">
        <f>IFERROR(X23/E23*1000,0)</f>
        <v/>
      </c>
    </row>
    <row r="24" ht="15" customHeight="1" s="53">
      <c r="A24" s="52" t="inlineStr">
        <is>
          <t>SKU22</t>
        </is>
      </c>
      <c r="B24" s="52" t="inlineStr">
        <is>
          <t>haircare</t>
        </is>
      </c>
      <c r="C24" s="109" t="n">
        <v>27.679780886502</v>
      </c>
      <c r="D24" s="52" t="n">
        <v>55</v>
      </c>
      <c r="E24" s="52" t="n">
        <v>884</v>
      </c>
      <c r="F24" s="109" t="n">
        <v>2390.80786655617</v>
      </c>
      <c r="G24" s="52" t="inlineStr">
        <is>
          <t>Unknown</t>
        </is>
      </c>
      <c r="H24" s="52" t="n">
        <v>71</v>
      </c>
      <c r="I24" s="52" t="n">
        <v>63</v>
      </c>
      <c r="J24" s="52" t="n">
        <v>1</v>
      </c>
      <c r="K24" s="52" t="n">
        <v>10</v>
      </c>
      <c r="L24" s="52" t="inlineStr">
        <is>
          <t>Carrier A</t>
        </is>
      </c>
      <c r="M24" s="109" t="n">
        <v>9.567648920923039</v>
      </c>
      <c r="N24" s="52" t="inlineStr">
        <is>
          <t>Supplier 4</t>
        </is>
      </c>
      <c r="O24" s="52" t="inlineStr">
        <is>
          <t>Kolkata</t>
        </is>
      </c>
      <c r="P24" s="52" t="n">
        <v>22</v>
      </c>
      <c r="Q24" s="52" t="n">
        <v>780</v>
      </c>
      <c r="R24" s="52" t="n">
        <v>28</v>
      </c>
      <c r="S24" s="109" t="n">
        <v>50.1208396129774</v>
      </c>
      <c r="T24" s="52" t="inlineStr">
        <is>
          <t>Fail</t>
        </is>
      </c>
      <c r="U24" s="110" t="n">
        <v>2.59127547321112</v>
      </c>
      <c r="V24" s="52" t="inlineStr">
        <is>
          <t>Rail</t>
        </is>
      </c>
      <c r="W24" s="52" t="inlineStr">
        <is>
          <t>Route C</t>
        </is>
      </c>
      <c r="X24" s="109" t="n">
        <v>205.571995826947</v>
      </c>
      <c r="Y24" s="111">
        <f>IFERROR(H24/I24,0)</f>
        <v/>
      </c>
      <c r="Z24" s="52">
        <f>IF(H24=0,"STOCKOUT",IF(Y24&gt;=1.933,"Overstocked",IF(Y24&lt;=0.3889,"Understocked","Healthy")))</f>
        <v/>
      </c>
      <c r="AA24" s="52">
        <f>IF(K24&gt;8,"Delayed","On Time")</f>
        <v/>
      </c>
      <c r="AB24" s="52">
        <f>MAX(0,K24-8)</f>
        <v/>
      </c>
      <c r="AC24" s="111">
        <f>IF(T24="Pass",2,IF(T24="Pending",1,0))-(U24/5)</f>
        <v/>
      </c>
      <c r="AD24" s="109">
        <f>IFERROR(X24/E24*1000,0)</f>
        <v/>
      </c>
    </row>
    <row r="25" ht="15" customHeight="1" s="53">
      <c r="A25" s="52" t="inlineStr">
        <is>
          <t>SKU23</t>
        </is>
      </c>
      <c r="B25" s="52" t="inlineStr">
        <is>
          <t>cosmetics</t>
        </is>
      </c>
      <c r="C25" s="109" t="n">
        <v>4.32434118586416</v>
      </c>
      <c r="D25" s="52" t="n">
        <v>30</v>
      </c>
      <c r="E25" s="52" t="n">
        <v>391</v>
      </c>
      <c r="F25" s="109" t="n">
        <v>8858.36757101148</v>
      </c>
      <c r="G25" s="52" t="inlineStr">
        <is>
          <t>Unknown</t>
        </is>
      </c>
      <c r="H25" s="52" t="n">
        <v>84</v>
      </c>
      <c r="I25" s="52" t="n">
        <v>29</v>
      </c>
      <c r="J25" s="52" t="n">
        <v>5</v>
      </c>
      <c r="K25" s="52" t="n">
        <v>7</v>
      </c>
      <c r="L25" s="52" t="inlineStr">
        <is>
          <t>Carrier A</t>
        </is>
      </c>
      <c r="M25" s="109" t="n">
        <v>2.92485760114555</v>
      </c>
      <c r="N25" s="52" t="inlineStr">
        <is>
          <t>Supplier 5</t>
        </is>
      </c>
      <c r="O25" s="52" t="inlineStr">
        <is>
          <t>Kolkata</t>
        </is>
      </c>
      <c r="P25" s="52" t="n">
        <v>11</v>
      </c>
      <c r="Q25" s="52" t="n">
        <v>568</v>
      </c>
      <c r="R25" s="52" t="n">
        <v>29</v>
      </c>
      <c r="S25" s="109" t="n">
        <v>98.6099572427039</v>
      </c>
      <c r="T25" s="52" t="inlineStr">
        <is>
          <t>Pending</t>
        </is>
      </c>
      <c r="U25" s="110" t="n">
        <v>1.34229156272273</v>
      </c>
      <c r="V25" s="52" t="inlineStr">
        <is>
          <t>Rail</t>
        </is>
      </c>
      <c r="W25" s="52" t="inlineStr">
        <is>
          <t>Route A</t>
        </is>
      </c>
      <c r="X25" s="109" t="n">
        <v>196.329446112413</v>
      </c>
      <c r="Y25" s="111">
        <f>IFERROR(H25/I25,0)</f>
        <v/>
      </c>
      <c r="Z25" s="52">
        <f>IF(H25=0,"STOCKOUT",IF(Y25&gt;=1.933,"Overstocked",IF(Y25&lt;=0.3889,"Understocked","Healthy")))</f>
        <v/>
      </c>
      <c r="AA25" s="52">
        <f>IF(K25&gt;8,"Delayed","On Time")</f>
        <v/>
      </c>
      <c r="AB25" s="52">
        <f>MAX(0,K25-8)</f>
        <v/>
      </c>
      <c r="AC25" s="111">
        <f>IF(T25="Pass",2,IF(T25="Pending",1,0))-(U25/5)</f>
        <v/>
      </c>
      <c r="AD25" s="109">
        <f>IFERROR(X25/E25*1000,0)</f>
        <v/>
      </c>
    </row>
    <row r="26" ht="15" customHeight="1" s="53">
      <c r="A26" s="52" t="inlineStr">
        <is>
          <t>SKU24</t>
        </is>
      </c>
      <c r="B26" s="52" t="inlineStr">
        <is>
          <t>haircare</t>
        </is>
      </c>
      <c r="C26" s="109" t="n">
        <v>4.15630835931111</v>
      </c>
      <c r="D26" s="52" t="n">
        <v>32</v>
      </c>
      <c r="E26" s="52" t="n">
        <v>209</v>
      </c>
      <c r="F26" s="109" t="n">
        <v>9049.0778609399</v>
      </c>
      <c r="G26" s="52" t="inlineStr">
        <is>
          <t>Male</t>
        </is>
      </c>
      <c r="H26" s="52" t="n">
        <v>4</v>
      </c>
      <c r="I26" s="52" t="n">
        <v>2</v>
      </c>
      <c r="J26" s="52" t="n">
        <v>26</v>
      </c>
      <c r="K26" s="52" t="n">
        <v>8</v>
      </c>
      <c r="L26" s="52" t="inlineStr">
        <is>
          <t>Carrier C</t>
        </is>
      </c>
      <c r="M26" s="109" t="n">
        <v>9.74129168928437</v>
      </c>
      <c r="N26" s="52" t="inlineStr">
        <is>
          <t>Supplier 2</t>
        </is>
      </c>
      <c r="O26" s="52" t="inlineStr">
        <is>
          <t>Bangalore</t>
        </is>
      </c>
      <c r="P26" s="52" t="n">
        <v>28</v>
      </c>
      <c r="Q26" s="52" t="n">
        <v>447</v>
      </c>
      <c r="R26" s="52" t="n">
        <v>3</v>
      </c>
      <c r="S26" s="109" t="n">
        <v>40.3823597029248</v>
      </c>
      <c r="T26" s="52" t="inlineStr">
        <is>
          <t>Pending</t>
        </is>
      </c>
      <c r="U26" s="110" t="n">
        <v>3.69131029262873</v>
      </c>
      <c r="V26" s="52" t="inlineStr">
        <is>
          <t>Air</t>
        </is>
      </c>
      <c r="W26" s="52" t="inlineStr">
        <is>
          <t>Route A</t>
        </is>
      </c>
      <c r="X26" s="109" t="n">
        <v>758.7247726029379</v>
      </c>
      <c r="Y26" s="111">
        <f>IFERROR(H26/I26,0)</f>
        <v/>
      </c>
      <c r="Z26" s="52">
        <f>IF(H26=0,"STOCKOUT",IF(Y26&gt;=1.933,"Overstocked",IF(Y26&lt;=0.3889,"Understocked","Healthy")))</f>
        <v/>
      </c>
      <c r="AA26" s="52">
        <f>IF(K26&gt;8,"Delayed","On Time")</f>
        <v/>
      </c>
      <c r="AB26" s="52">
        <f>MAX(0,K26-8)</f>
        <v/>
      </c>
      <c r="AC26" s="111">
        <f>IF(T26="Pass",2,IF(T26="Pending",1,0))-(U26/5)</f>
        <v/>
      </c>
      <c r="AD26" s="109">
        <f>IFERROR(X26/E26*1000,0)</f>
        <v/>
      </c>
    </row>
    <row r="27" ht="15" customHeight="1" s="53">
      <c r="A27" s="52" t="inlineStr">
        <is>
          <t>SKU25</t>
        </is>
      </c>
      <c r="B27" s="52" t="inlineStr">
        <is>
          <t>haircare</t>
        </is>
      </c>
      <c r="C27" s="109" t="n">
        <v>39.6293439850926</v>
      </c>
      <c r="D27" s="52" t="n">
        <v>73</v>
      </c>
      <c r="E27" s="52" t="n">
        <v>142</v>
      </c>
      <c r="F27" s="109" t="n">
        <v>2174.77705435065</v>
      </c>
      <c r="G27" s="52" t="inlineStr">
        <is>
          <t>Male</t>
        </is>
      </c>
      <c r="H27" s="52" t="n">
        <v>82</v>
      </c>
      <c r="I27" s="52" t="n">
        <v>52</v>
      </c>
      <c r="J27" s="52" t="n">
        <v>11</v>
      </c>
      <c r="K27" s="52" t="n">
        <v>3</v>
      </c>
      <c r="L27" s="52" t="inlineStr">
        <is>
          <t>Carrier C</t>
        </is>
      </c>
      <c r="M27" s="109" t="n">
        <v>2.23107368128173</v>
      </c>
      <c r="N27" s="52" t="inlineStr">
        <is>
          <t>Supplier 4</t>
        </is>
      </c>
      <c r="O27" s="52" t="inlineStr">
        <is>
          <t>Kolkata</t>
        </is>
      </c>
      <c r="P27" s="52" t="n">
        <v>19</v>
      </c>
      <c r="Q27" s="52" t="n">
        <v>934</v>
      </c>
      <c r="R27" s="52" t="n">
        <v>23</v>
      </c>
      <c r="S27" s="109" t="n">
        <v>78.2803831184154</v>
      </c>
      <c r="T27" s="52" t="inlineStr">
        <is>
          <t>Pending</t>
        </is>
      </c>
      <c r="U27" s="110" t="n">
        <v>3.79723121711418</v>
      </c>
      <c r="V27" s="52" t="inlineStr">
        <is>
          <t>Road</t>
        </is>
      </c>
      <c r="W27" s="52" t="inlineStr">
        <is>
          <t>Route B</t>
        </is>
      </c>
      <c r="X27" s="109" t="n">
        <v>458.535945739209</v>
      </c>
      <c r="Y27" s="111">
        <f>IFERROR(H27/I27,0)</f>
        <v/>
      </c>
      <c r="Z27" s="52">
        <f>IF(H27=0,"STOCKOUT",IF(Y27&gt;=1.933,"Overstocked",IF(Y27&lt;=0.3889,"Understocked","Healthy")))</f>
        <v/>
      </c>
      <c r="AA27" s="52">
        <f>IF(K27&gt;8,"Delayed","On Time")</f>
        <v/>
      </c>
      <c r="AB27" s="52">
        <f>MAX(0,K27-8)</f>
        <v/>
      </c>
      <c r="AC27" s="111">
        <f>IF(T27="Pass",2,IF(T27="Pending",1,0))-(U27/5)</f>
        <v/>
      </c>
      <c r="AD27" s="109">
        <f>IFERROR(X27/E27*1000,0)</f>
        <v/>
      </c>
    </row>
    <row r="28" ht="15" customHeight="1" s="53">
      <c r="A28" s="52" t="inlineStr">
        <is>
          <t>SKU26</t>
        </is>
      </c>
      <c r="B28" s="52" t="inlineStr">
        <is>
          <t>haircare</t>
        </is>
      </c>
      <c r="C28" s="109" t="n">
        <v>97.44694661789281</v>
      </c>
      <c r="D28" s="52" t="n">
        <v>9</v>
      </c>
      <c r="E28" s="52" t="n">
        <v>353</v>
      </c>
      <c r="F28" s="109" t="n">
        <v>3716.49332589404</v>
      </c>
      <c r="G28" s="52" t="inlineStr">
        <is>
          <t>Male</t>
        </is>
      </c>
      <c r="H28" s="52" t="n">
        <v>59</v>
      </c>
      <c r="I28" s="52" t="n">
        <v>48</v>
      </c>
      <c r="J28" s="52" t="n">
        <v>16</v>
      </c>
      <c r="K28" s="52" t="n">
        <v>4</v>
      </c>
      <c r="L28" s="52" t="inlineStr">
        <is>
          <t>Carrier B</t>
        </is>
      </c>
      <c r="M28" s="109" t="n">
        <v>6.50754862107855</v>
      </c>
      <c r="N28" s="52" t="inlineStr">
        <is>
          <t>Supplier 2</t>
        </is>
      </c>
      <c r="O28" s="52" t="inlineStr">
        <is>
          <t>Bangalore</t>
        </is>
      </c>
      <c r="P28" s="52" t="n">
        <v>26</v>
      </c>
      <c r="Q28" s="52" t="n">
        <v>171</v>
      </c>
      <c r="R28" s="52" t="n">
        <v>4</v>
      </c>
      <c r="S28" s="109" t="n">
        <v>15.9722297571818</v>
      </c>
      <c r="T28" s="52" t="inlineStr">
        <is>
          <t>Pass</t>
        </is>
      </c>
      <c r="U28" s="110" t="n">
        <v>2.11931973672492</v>
      </c>
      <c r="V28" s="52" t="inlineStr">
        <is>
          <t>Rail</t>
        </is>
      </c>
      <c r="W28" s="52" t="inlineStr">
        <is>
          <t>Route A</t>
        </is>
      </c>
      <c r="X28" s="109" t="n">
        <v>617.866916458377</v>
      </c>
      <c r="Y28" s="111">
        <f>IFERROR(H28/I28,0)</f>
        <v/>
      </c>
      <c r="Z28" s="52">
        <f>IF(H28=0,"STOCKOUT",IF(Y28&gt;=1.933,"Overstocked",IF(Y28&lt;=0.3889,"Understocked","Healthy")))</f>
        <v/>
      </c>
      <c r="AA28" s="52">
        <f>IF(K28&gt;8,"Delayed","On Time")</f>
        <v/>
      </c>
      <c r="AB28" s="52">
        <f>MAX(0,K28-8)</f>
        <v/>
      </c>
      <c r="AC28" s="111">
        <f>IF(T28="Pass",2,IF(T28="Pending",1,0))-(U28/5)</f>
        <v/>
      </c>
      <c r="AD28" s="109">
        <f>IFERROR(X28/E28*1000,0)</f>
        <v/>
      </c>
    </row>
    <row r="29" ht="15" customHeight="1" s="53">
      <c r="A29" s="52" t="inlineStr">
        <is>
          <t>SKU27</t>
        </is>
      </c>
      <c r="B29" s="52" t="inlineStr">
        <is>
          <t>cosmetics</t>
        </is>
      </c>
      <c r="C29" s="109" t="n">
        <v>92.557360812402</v>
      </c>
      <c r="D29" s="52" t="n">
        <v>42</v>
      </c>
      <c r="E29" s="52" t="n">
        <v>352</v>
      </c>
      <c r="F29" s="109" t="n">
        <v>2686.45722357598</v>
      </c>
      <c r="G29" s="52" t="inlineStr">
        <is>
          <t>Unknown</t>
        </is>
      </c>
      <c r="H29" s="52" t="n">
        <v>47</v>
      </c>
      <c r="I29" s="52" t="n">
        <v>62</v>
      </c>
      <c r="J29" s="52" t="n">
        <v>9</v>
      </c>
      <c r="K29" s="52" t="n">
        <v>8</v>
      </c>
      <c r="L29" s="52" t="inlineStr">
        <is>
          <t>Carrier C</t>
        </is>
      </c>
      <c r="M29" s="109" t="n">
        <v>7.40675095299807</v>
      </c>
      <c r="N29" s="52" t="inlineStr">
        <is>
          <t>Supplier 5</t>
        </is>
      </c>
      <c r="O29" s="52" t="inlineStr">
        <is>
          <t>Mumbai</t>
        </is>
      </c>
      <c r="P29" s="52" t="n">
        <v>25</v>
      </c>
      <c r="Q29" s="52" t="n">
        <v>291</v>
      </c>
      <c r="R29" s="52" t="n">
        <v>4</v>
      </c>
      <c r="S29" s="109" t="n">
        <v>10.5282450700422</v>
      </c>
      <c r="T29" s="52" t="inlineStr">
        <is>
          <t>Fail</t>
        </is>
      </c>
      <c r="U29" s="110" t="n">
        <v>2.86466783788337</v>
      </c>
      <c r="V29" s="52" t="inlineStr">
        <is>
          <t>Sea</t>
        </is>
      </c>
      <c r="W29" s="52" t="inlineStr">
        <is>
          <t>Route B</t>
        </is>
      </c>
      <c r="X29" s="109" t="n">
        <v>762.4591821556839</v>
      </c>
      <c r="Y29" s="111">
        <f>IFERROR(H29/I29,0)</f>
        <v/>
      </c>
      <c r="Z29" s="52">
        <f>IF(H29=0,"STOCKOUT",IF(Y29&gt;=1.933,"Overstocked",IF(Y29&lt;=0.3889,"Understocked","Healthy")))</f>
        <v/>
      </c>
      <c r="AA29" s="52">
        <f>IF(K29&gt;8,"Delayed","On Time")</f>
        <v/>
      </c>
      <c r="AB29" s="52">
        <f>MAX(0,K29-8)</f>
        <v/>
      </c>
      <c r="AC29" s="111">
        <f>IF(T29="Pass",2,IF(T29="Pending",1,0))-(U29/5)</f>
        <v/>
      </c>
      <c r="AD29" s="109">
        <f>IFERROR(X29/E29*1000,0)</f>
        <v/>
      </c>
    </row>
    <row r="30" ht="15" customHeight="1" s="53">
      <c r="A30" s="52" t="inlineStr">
        <is>
          <t>SKU28</t>
        </is>
      </c>
      <c r="B30" s="52" t="inlineStr">
        <is>
          <t>cosmetics</t>
        </is>
      </c>
      <c r="C30" s="109" t="n">
        <v>2.39727470559714</v>
      </c>
      <c r="D30" s="52" t="n">
        <v>12</v>
      </c>
      <c r="E30" s="52" t="n">
        <v>394</v>
      </c>
      <c r="F30" s="109" t="n">
        <v>6117.32461508399</v>
      </c>
      <c r="G30" s="52" t="inlineStr">
        <is>
          <t>Female</t>
        </is>
      </c>
      <c r="H30" s="52" t="n">
        <v>48</v>
      </c>
      <c r="I30" s="52" t="n">
        <v>24</v>
      </c>
      <c r="J30" s="52" t="n">
        <v>15</v>
      </c>
      <c r="K30" s="52" t="n">
        <v>4</v>
      </c>
      <c r="L30" s="52" t="inlineStr">
        <is>
          <t>Carrier B</t>
        </is>
      </c>
      <c r="M30" s="109" t="n">
        <v>9.89814050806922</v>
      </c>
      <c r="N30" s="52" t="inlineStr">
        <is>
          <t>Supplier 1</t>
        </is>
      </c>
      <c r="O30" s="52" t="inlineStr">
        <is>
          <t>Mumbai</t>
        </is>
      </c>
      <c r="P30" s="52" t="n">
        <v>13</v>
      </c>
      <c r="Q30" s="52" t="n">
        <v>171</v>
      </c>
      <c r="R30" s="52" t="n">
        <v>7</v>
      </c>
      <c r="S30" s="109" t="n">
        <v>59.4293818106916</v>
      </c>
      <c r="T30" s="52" t="inlineStr">
        <is>
          <t>Fail</t>
        </is>
      </c>
      <c r="U30" s="110" t="n">
        <v>0.815757079295672</v>
      </c>
      <c r="V30" s="52" t="inlineStr">
        <is>
          <t>Air</t>
        </is>
      </c>
      <c r="W30" s="52" t="inlineStr">
        <is>
          <t>Route A</t>
        </is>
      </c>
      <c r="X30" s="109" t="n">
        <v>123.437027511827</v>
      </c>
      <c r="Y30" s="111">
        <f>IFERROR(H30/I30,0)</f>
        <v/>
      </c>
      <c r="Z30" s="52">
        <f>IF(H30=0,"STOCKOUT",IF(Y30&gt;=1.933,"Overstocked",IF(Y30&lt;=0.3889,"Understocked","Healthy")))</f>
        <v/>
      </c>
      <c r="AA30" s="52">
        <f>IF(K30&gt;8,"Delayed","On Time")</f>
        <v/>
      </c>
      <c r="AB30" s="52">
        <f>MAX(0,K30-8)</f>
        <v/>
      </c>
      <c r="AC30" s="111">
        <f>IF(T30="Pass",2,IF(T30="Pending",1,0))-(U30/5)</f>
        <v/>
      </c>
      <c r="AD30" s="109">
        <f>IFERROR(X30/E30*1000,0)</f>
        <v/>
      </c>
    </row>
    <row r="31" ht="15" customHeight="1" s="53">
      <c r="A31" s="52" t="inlineStr">
        <is>
          <t>SKU29</t>
        </is>
      </c>
      <c r="B31" s="52" t="inlineStr">
        <is>
          <t>cosmetics</t>
        </is>
      </c>
      <c r="C31" s="109" t="n">
        <v>63.4475591852073</v>
      </c>
      <c r="D31" s="52" t="n">
        <v>3</v>
      </c>
      <c r="E31" s="52" t="n">
        <v>253</v>
      </c>
      <c r="F31" s="109" t="n">
        <v>8318.90319461718</v>
      </c>
      <c r="G31" s="52" t="inlineStr">
        <is>
          <t>Female</t>
        </is>
      </c>
      <c r="H31" s="52" t="n">
        <v>45</v>
      </c>
      <c r="I31" s="52" t="n">
        <v>67</v>
      </c>
      <c r="J31" s="52" t="n">
        <v>5</v>
      </c>
      <c r="K31" s="52" t="n">
        <v>7</v>
      </c>
      <c r="L31" s="52" t="inlineStr">
        <is>
          <t>Carrier B</t>
        </is>
      </c>
      <c r="M31" s="109" t="n">
        <v>8.100973145397029</v>
      </c>
      <c r="N31" s="52" t="inlineStr">
        <is>
          <t>Supplier 1</t>
        </is>
      </c>
      <c r="O31" s="52" t="inlineStr">
        <is>
          <t>Kolkata</t>
        </is>
      </c>
      <c r="P31" s="52" t="n">
        <v>16</v>
      </c>
      <c r="Q31" s="52" t="n">
        <v>329</v>
      </c>
      <c r="R31" s="52" t="n">
        <v>7</v>
      </c>
      <c r="S31" s="109" t="n">
        <v>39.2928755860658</v>
      </c>
      <c r="T31" s="52" t="inlineStr">
        <is>
          <t>Pass</t>
        </is>
      </c>
      <c r="U31" s="110" t="n">
        <v>3.87809893658849</v>
      </c>
      <c r="V31" s="52" t="inlineStr">
        <is>
          <t>Road</t>
        </is>
      </c>
      <c r="W31" s="52" t="inlineStr">
        <is>
          <t>Route B</t>
        </is>
      </c>
      <c r="X31" s="109" t="n">
        <v>764.935375940708</v>
      </c>
      <c r="Y31" s="111">
        <f>IFERROR(H31/I31,0)</f>
        <v/>
      </c>
      <c r="Z31" s="52">
        <f>IF(H31=0,"STOCKOUT",IF(Y31&gt;=1.933,"Overstocked",IF(Y31&lt;=0.3889,"Understocked","Healthy")))</f>
        <v/>
      </c>
      <c r="AA31" s="52">
        <f>IF(K31&gt;8,"Delayed","On Time")</f>
        <v/>
      </c>
      <c r="AB31" s="52">
        <f>MAX(0,K31-8)</f>
        <v/>
      </c>
      <c r="AC31" s="111">
        <f>IF(T31="Pass",2,IF(T31="Pending",1,0))-(U31/5)</f>
        <v/>
      </c>
      <c r="AD31" s="109">
        <f>IFERROR(X31/E31*1000,0)</f>
        <v/>
      </c>
    </row>
    <row r="32" ht="15" customHeight="1" s="53">
      <c r="A32" s="52" t="inlineStr">
        <is>
          <t>SKU30</t>
        </is>
      </c>
      <c r="B32" s="52" t="inlineStr">
        <is>
          <t>haircare</t>
        </is>
      </c>
      <c r="C32" s="109" t="n">
        <v>8.02285921052639</v>
      </c>
      <c r="D32" s="52" t="n">
        <v>10</v>
      </c>
      <c r="E32" s="52" t="n">
        <v>327</v>
      </c>
      <c r="F32" s="109" t="n">
        <v>2766.34236686609</v>
      </c>
      <c r="G32" s="52" t="inlineStr">
        <is>
          <t>Male</t>
        </is>
      </c>
      <c r="H32" s="52" t="n">
        <v>60</v>
      </c>
      <c r="I32" s="52" t="n">
        <v>35</v>
      </c>
      <c r="J32" s="52" t="n">
        <v>26</v>
      </c>
      <c r="K32" s="52" t="n">
        <v>7</v>
      </c>
      <c r="L32" s="52" t="inlineStr">
        <is>
          <t>Carrier B</t>
        </is>
      </c>
      <c r="M32" s="109" t="n">
        <v>8.95452831531802</v>
      </c>
      <c r="N32" s="52" t="inlineStr">
        <is>
          <t>Supplier 4</t>
        </is>
      </c>
      <c r="O32" s="52" t="inlineStr">
        <is>
          <t>Kolkata</t>
        </is>
      </c>
      <c r="P32" s="52" t="n">
        <v>27</v>
      </c>
      <c r="Q32" s="52" t="n">
        <v>806</v>
      </c>
      <c r="R32" s="52" t="n">
        <v>30</v>
      </c>
      <c r="S32" s="109" t="n">
        <v>51.6348934001093</v>
      </c>
      <c r="T32" s="52" t="inlineStr">
        <is>
          <t>Pending</t>
        </is>
      </c>
      <c r="U32" s="110" t="n">
        <v>0.965394705352393</v>
      </c>
      <c r="V32" s="52" t="inlineStr">
        <is>
          <t>Road</t>
        </is>
      </c>
      <c r="W32" s="52" t="inlineStr">
        <is>
          <t>Route C</t>
        </is>
      </c>
      <c r="X32" s="109" t="n">
        <v>880.080988247161</v>
      </c>
      <c r="Y32" s="111">
        <f>IFERROR(H32/I32,0)</f>
        <v/>
      </c>
      <c r="Z32" s="52">
        <f>IF(H32=0,"STOCKOUT",IF(Y32&gt;=1.933,"Overstocked",IF(Y32&lt;=0.3889,"Understocked","Healthy")))</f>
        <v/>
      </c>
      <c r="AA32" s="52">
        <f>IF(K32&gt;8,"Delayed","On Time")</f>
        <v/>
      </c>
      <c r="AB32" s="52">
        <f>MAX(0,K32-8)</f>
        <v/>
      </c>
      <c r="AC32" s="111">
        <f>IF(T32="Pass",2,IF(T32="Pending",1,0))-(U32/5)</f>
        <v/>
      </c>
      <c r="AD32" s="109">
        <f>IFERROR(X32/E32*1000,0)</f>
        <v/>
      </c>
    </row>
    <row r="33" ht="15" customHeight="1" s="53">
      <c r="A33" s="52" t="inlineStr">
        <is>
          <t>SKU31</t>
        </is>
      </c>
      <c r="B33" s="52" t="inlineStr">
        <is>
          <t>skincare</t>
        </is>
      </c>
      <c r="C33" s="109" t="n">
        <v>50.8473930517187</v>
      </c>
      <c r="D33" s="52" t="n">
        <v>28</v>
      </c>
      <c r="E33" s="52" t="n">
        <v>168</v>
      </c>
      <c r="F33" s="109" t="n">
        <v>9655.1351027194</v>
      </c>
      <c r="G33" s="52" t="inlineStr">
        <is>
          <t>Male</t>
        </is>
      </c>
      <c r="H33" s="52" t="n">
        <v>6</v>
      </c>
      <c r="I33" s="52" t="n">
        <v>44</v>
      </c>
      <c r="J33" s="52" t="n">
        <v>17</v>
      </c>
      <c r="K33" s="52" t="n">
        <v>4</v>
      </c>
      <c r="L33" s="52" t="inlineStr">
        <is>
          <t>Carrier B</t>
        </is>
      </c>
      <c r="M33" s="109" t="n">
        <v>2.67966096498141</v>
      </c>
      <c r="N33" s="52" t="inlineStr">
        <is>
          <t>Supplier 3</t>
        </is>
      </c>
      <c r="O33" s="52" t="inlineStr">
        <is>
          <t>Chennai</t>
        </is>
      </c>
      <c r="P33" s="52" t="n">
        <v>24</v>
      </c>
      <c r="Q33" s="52" t="n">
        <v>461</v>
      </c>
      <c r="R33" s="52" t="n">
        <v>8</v>
      </c>
      <c r="S33" s="109" t="n">
        <v>60.2511456615981</v>
      </c>
      <c r="T33" s="52" t="inlineStr">
        <is>
          <t>Pending</t>
        </is>
      </c>
      <c r="U33" s="110" t="n">
        <v>2.98900000665508</v>
      </c>
      <c r="V33" s="52" t="inlineStr">
        <is>
          <t>Rail</t>
        </is>
      </c>
      <c r="W33" s="52" t="inlineStr">
        <is>
          <t>Route C</t>
        </is>
      </c>
      <c r="X33" s="109" t="n">
        <v>609.379206618427</v>
      </c>
      <c r="Y33" s="111">
        <f>IFERROR(H33/I33,0)</f>
        <v/>
      </c>
      <c r="Z33" s="52">
        <f>IF(H33=0,"STOCKOUT",IF(Y33&gt;=1.933,"Overstocked",IF(Y33&lt;=0.3889,"Understocked","Healthy")))</f>
        <v/>
      </c>
      <c r="AA33" s="52">
        <f>IF(K33&gt;8,"Delayed","On Time")</f>
        <v/>
      </c>
      <c r="AB33" s="52">
        <f>MAX(0,K33-8)</f>
        <v/>
      </c>
      <c r="AC33" s="111">
        <f>IF(T33="Pass",2,IF(T33="Pending",1,0))-(U33/5)</f>
        <v/>
      </c>
      <c r="AD33" s="109">
        <f>IFERROR(X33/E33*1000,0)</f>
        <v/>
      </c>
    </row>
    <row r="34" ht="15" customHeight="1" s="53">
      <c r="A34" s="52" t="inlineStr">
        <is>
          <t>SKU32</t>
        </is>
      </c>
      <c r="B34" s="52" t="inlineStr">
        <is>
          <t>skincare</t>
        </is>
      </c>
      <c r="C34" s="109" t="n">
        <v>79.20993601565669</v>
      </c>
      <c r="D34" s="52" t="n">
        <v>43</v>
      </c>
      <c r="E34" s="52" t="n">
        <v>781</v>
      </c>
      <c r="F34" s="109" t="n">
        <v>9571.550487327821</v>
      </c>
      <c r="G34" s="52" t="inlineStr">
        <is>
          <t>Unknown</t>
        </is>
      </c>
      <c r="H34" s="52" t="n">
        <v>89</v>
      </c>
      <c r="I34" s="52" t="n">
        <v>64</v>
      </c>
      <c r="J34" s="52" t="n">
        <v>13</v>
      </c>
      <c r="K34" s="52" t="n">
        <v>4</v>
      </c>
      <c r="L34" s="52" t="inlineStr">
        <is>
          <t>Carrier C</t>
        </is>
      </c>
      <c r="M34" s="109" t="n">
        <v>6.59910490123858</v>
      </c>
      <c r="N34" s="52" t="inlineStr">
        <is>
          <t>Supplier 3</t>
        </is>
      </c>
      <c r="O34" s="52" t="inlineStr">
        <is>
          <t>Kolkata</t>
        </is>
      </c>
      <c r="P34" s="52" t="n">
        <v>30</v>
      </c>
      <c r="Q34" s="52" t="n">
        <v>737</v>
      </c>
      <c r="R34" s="52" t="n">
        <v>7</v>
      </c>
      <c r="S34" s="109" t="n">
        <v>29.6924671537498</v>
      </c>
      <c r="T34" s="52" t="inlineStr">
        <is>
          <t>Pass</t>
        </is>
      </c>
      <c r="U34" s="110" t="n">
        <v>1.94603611938611</v>
      </c>
      <c r="V34" s="52" t="inlineStr">
        <is>
          <t>Road</t>
        </is>
      </c>
      <c r="W34" s="52" t="inlineStr">
        <is>
          <t>Route A</t>
        </is>
      </c>
      <c r="X34" s="109" t="n">
        <v>761.173909514878</v>
      </c>
      <c r="Y34" s="111">
        <f>IFERROR(H34/I34,0)</f>
        <v/>
      </c>
      <c r="Z34" s="52">
        <f>IF(H34=0,"STOCKOUT",IF(Y34&gt;=1.933,"Overstocked",IF(Y34&lt;=0.3889,"Understocked","Healthy")))</f>
        <v/>
      </c>
      <c r="AA34" s="52">
        <f>IF(K34&gt;8,"Delayed","On Time")</f>
        <v/>
      </c>
      <c r="AB34" s="52">
        <f>MAX(0,K34-8)</f>
        <v/>
      </c>
      <c r="AC34" s="111">
        <f>IF(T34="Pass",2,IF(T34="Pending",1,0))-(U34/5)</f>
        <v/>
      </c>
      <c r="AD34" s="109">
        <f>IFERROR(X34/E34*1000,0)</f>
        <v/>
      </c>
    </row>
    <row r="35" ht="15" customHeight="1" s="53">
      <c r="A35" s="52" t="inlineStr">
        <is>
          <t>SKU33</t>
        </is>
      </c>
      <c r="B35" s="52" t="inlineStr">
        <is>
          <t>cosmetics</t>
        </is>
      </c>
      <c r="C35" s="109" t="n">
        <v>64.79543500015561</v>
      </c>
      <c r="D35" s="52" t="n">
        <v>63</v>
      </c>
      <c r="E35" s="52" t="n">
        <v>616</v>
      </c>
      <c r="F35" s="109" t="n">
        <v>5149.99835040804</v>
      </c>
      <c r="G35" s="52" t="inlineStr">
        <is>
          <t>Non-binary</t>
        </is>
      </c>
      <c r="H35" s="52" t="n">
        <v>4</v>
      </c>
      <c r="I35" s="52" t="n">
        <v>95</v>
      </c>
      <c r="J35" s="52" t="n">
        <v>17</v>
      </c>
      <c r="K35" s="52" t="n">
        <v>9</v>
      </c>
      <c r="L35" s="52" t="inlineStr">
        <is>
          <t>Carrier C</t>
        </is>
      </c>
      <c r="M35" s="109" t="n">
        <v>4.85827050343664</v>
      </c>
      <c r="N35" s="52" t="inlineStr">
        <is>
          <t>Supplier 5</t>
        </is>
      </c>
      <c r="O35" s="52" t="inlineStr">
        <is>
          <t>Chennai</t>
        </is>
      </c>
      <c r="P35" s="52" t="n">
        <v>1</v>
      </c>
      <c r="Q35" s="52" t="n">
        <v>251</v>
      </c>
      <c r="R35" s="52" t="n">
        <v>23</v>
      </c>
      <c r="S35" s="109" t="n">
        <v>23.8534275128961</v>
      </c>
      <c r="T35" s="52" t="inlineStr">
        <is>
          <t>Fail</t>
        </is>
      </c>
      <c r="U35" s="110" t="n">
        <v>3.54104601225092</v>
      </c>
      <c r="V35" s="52" t="inlineStr">
        <is>
          <t>Sea</t>
        </is>
      </c>
      <c r="W35" s="52" t="inlineStr">
        <is>
          <t>Route A</t>
        </is>
      </c>
      <c r="X35" s="109" t="n">
        <v>371.255295519871</v>
      </c>
      <c r="Y35" s="111">
        <f>IFERROR(H35/I35,0)</f>
        <v/>
      </c>
      <c r="Z35" s="52">
        <f>IF(H35=0,"STOCKOUT",IF(Y35&gt;=1.933,"Overstocked",IF(Y35&lt;=0.3889,"Understocked","Healthy")))</f>
        <v/>
      </c>
      <c r="AA35" s="52">
        <f>IF(K35&gt;8,"Delayed","On Time")</f>
        <v/>
      </c>
      <c r="AB35" s="52">
        <f>MAX(0,K35-8)</f>
        <v/>
      </c>
      <c r="AC35" s="111">
        <f>IF(T35="Pass",2,IF(T35="Pending",1,0))-(U35/5)</f>
        <v/>
      </c>
      <c r="AD35" s="109">
        <f>IFERROR(X35/E35*1000,0)</f>
        <v/>
      </c>
    </row>
    <row r="36" ht="15" customHeight="1" s="53">
      <c r="A36" s="52" t="inlineStr">
        <is>
          <t>SKU34</t>
        </is>
      </c>
      <c r="B36" s="52" t="inlineStr">
        <is>
          <t>skincare</t>
        </is>
      </c>
      <c r="C36" s="109" t="n">
        <v>37.4675923298425</v>
      </c>
      <c r="D36" s="52" t="n">
        <v>96</v>
      </c>
      <c r="E36" s="52" t="n">
        <v>602</v>
      </c>
      <c r="F36" s="109" t="n">
        <v>9061.71089550772</v>
      </c>
      <c r="G36" s="52" t="inlineStr">
        <is>
          <t>Unknown</t>
        </is>
      </c>
      <c r="H36" s="52" t="n">
        <v>1</v>
      </c>
      <c r="I36" s="52" t="n">
        <v>21</v>
      </c>
      <c r="J36" s="52" t="n">
        <v>26</v>
      </c>
      <c r="K36" s="52" t="n">
        <v>7</v>
      </c>
      <c r="L36" s="52" t="inlineStr">
        <is>
          <t>Carrier A</t>
        </is>
      </c>
      <c r="M36" s="109" t="n">
        <v>1.01948757082212</v>
      </c>
      <c r="N36" s="52" t="inlineStr">
        <is>
          <t>Supplier 1</t>
        </is>
      </c>
      <c r="O36" s="52" t="inlineStr">
        <is>
          <t>Chennai</t>
        </is>
      </c>
      <c r="P36" s="52" t="n">
        <v>4</v>
      </c>
      <c r="Q36" s="52" t="n">
        <v>452</v>
      </c>
      <c r="R36" s="52" t="n">
        <v>10</v>
      </c>
      <c r="S36" s="109" t="n">
        <v>10.7542728150293</v>
      </c>
      <c r="T36" s="52" t="inlineStr">
        <is>
          <t>Pass</t>
        </is>
      </c>
      <c r="U36" s="110" t="n">
        <v>0.646604559372055</v>
      </c>
      <c r="V36" s="52" t="inlineStr">
        <is>
          <t>Road</t>
        </is>
      </c>
      <c r="W36" s="52" t="inlineStr">
        <is>
          <t>Route B</t>
        </is>
      </c>
      <c r="X36" s="109" t="n">
        <v>510.358000433524</v>
      </c>
      <c r="Y36" s="111">
        <f>IFERROR(H36/I36,0)</f>
        <v/>
      </c>
      <c r="Z36" s="52">
        <f>IF(H36=0,"STOCKOUT",IF(Y36&gt;=1.933,"Overstocked",IF(Y36&lt;=0.3889,"Understocked","Healthy")))</f>
        <v/>
      </c>
      <c r="AA36" s="52">
        <f>IF(K36&gt;8,"Delayed","On Time")</f>
        <v/>
      </c>
      <c r="AB36" s="52">
        <f>MAX(0,K36-8)</f>
        <v/>
      </c>
      <c r="AC36" s="111">
        <f>IF(T36="Pass",2,IF(T36="Pending",1,0))-(U36/5)</f>
        <v/>
      </c>
      <c r="AD36" s="109">
        <f>IFERROR(X36/E36*1000,0)</f>
        <v/>
      </c>
    </row>
    <row r="37" ht="15" customHeight="1" s="53">
      <c r="A37" s="52" t="inlineStr">
        <is>
          <t>SKU35</t>
        </is>
      </c>
      <c r="B37" s="52" t="inlineStr">
        <is>
          <t>cosmetics</t>
        </is>
      </c>
      <c r="C37" s="109" t="n">
        <v>84.95778681635041</v>
      </c>
      <c r="D37" s="52" t="n">
        <v>11</v>
      </c>
      <c r="E37" s="52" t="n">
        <v>449</v>
      </c>
      <c r="F37" s="109" t="n">
        <v>6541.32934480247</v>
      </c>
      <c r="G37" s="52" t="inlineStr">
        <is>
          <t>Female</t>
        </is>
      </c>
      <c r="H37" s="52" t="n">
        <v>42</v>
      </c>
      <c r="I37" s="52" t="n">
        <v>85</v>
      </c>
      <c r="J37" s="52" t="n">
        <v>27</v>
      </c>
      <c r="K37" s="52" t="n">
        <v>8</v>
      </c>
      <c r="L37" s="52" t="inlineStr">
        <is>
          <t>Carrier C</t>
        </is>
      </c>
      <c r="M37" s="109" t="n">
        <v>5.28818999032741</v>
      </c>
      <c r="N37" s="52" t="inlineStr">
        <is>
          <t>Supplier 1</t>
        </is>
      </c>
      <c r="O37" s="52" t="inlineStr">
        <is>
          <t>Delhi</t>
        </is>
      </c>
      <c r="P37" s="52" t="n">
        <v>3</v>
      </c>
      <c r="Q37" s="52" t="n">
        <v>367</v>
      </c>
      <c r="R37" s="52" t="n">
        <v>2</v>
      </c>
      <c r="S37" s="109" t="n">
        <v>58.0047870447438</v>
      </c>
      <c r="T37" s="52" t="inlineStr">
        <is>
          <t>Pass</t>
        </is>
      </c>
      <c r="U37" s="110" t="n">
        <v>0.541154098060581</v>
      </c>
      <c r="V37" s="52" t="inlineStr">
        <is>
          <t>Sea</t>
        </is>
      </c>
      <c r="W37" s="52" t="inlineStr">
        <is>
          <t>Route C</t>
        </is>
      </c>
      <c r="X37" s="109" t="n">
        <v>553.420471230356</v>
      </c>
      <c r="Y37" s="111">
        <f>IFERROR(H37/I37,0)</f>
        <v/>
      </c>
      <c r="Z37" s="52">
        <f>IF(H37=0,"STOCKOUT",IF(Y37&gt;=1.933,"Overstocked",IF(Y37&lt;=0.3889,"Understocked","Healthy")))</f>
        <v/>
      </c>
      <c r="AA37" s="52">
        <f>IF(K37&gt;8,"Delayed","On Time")</f>
        <v/>
      </c>
      <c r="AB37" s="52">
        <f>MAX(0,K37-8)</f>
        <v/>
      </c>
      <c r="AC37" s="111">
        <f>IF(T37="Pass",2,IF(T37="Pending",1,0))-(U37/5)</f>
        <v/>
      </c>
      <c r="AD37" s="109">
        <f>IFERROR(X37/E37*1000,0)</f>
        <v/>
      </c>
    </row>
    <row r="38" ht="15" customHeight="1" s="53">
      <c r="A38" s="52" t="inlineStr">
        <is>
          <t>SKU36</t>
        </is>
      </c>
      <c r="B38" s="52" t="inlineStr">
        <is>
          <t>skincare</t>
        </is>
      </c>
      <c r="C38" s="109" t="n">
        <v>9.81300257875405</v>
      </c>
      <c r="D38" s="52" t="n">
        <v>34</v>
      </c>
      <c r="E38" s="52" t="n">
        <v>963</v>
      </c>
      <c r="F38" s="109" t="n">
        <v>7573.40245784873</v>
      </c>
      <c r="G38" s="52" t="inlineStr">
        <is>
          <t>Female</t>
        </is>
      </c>
      <c r="H38" s="52" t="n">
        <v>18</v>
      </c>
      <c r="I38" s="52" t="n">
        <v>28</v>
      </c>
      <c r="J38" s="52" t="n">
        <v>23</v>
      </c>
      <c r="K38" s="52" t="n">
        <v>3</v>
      </c>
      <c r="L38" s="52" t="inlineStr">
        <is>
          <t>Carrier B</t>
        </is>
      </c>
      <c r="M38" s="109" t="n">
        <v>2.10795126715908</v>
      </c>
      <c r="N38" s="52" t="inlineStr">
        <is>
          <t>Supplier 2</t>
        </is>
      </c>
      <c r="O38" s="52" t="inlineStr">
        <is>
          <t>Delhi</t>
        </is>
      </c>
      <c r="P38" s="52" t="n">
        <v>26</v>
      </c>
      <c r="Q38" s="52" t="n">
        <v>671</v>
      </c>
      <c r="R38" s="52" t="n">
        <v>19</v>
      </c>
      <c r="S38" s="109" t="n">
        <v>45.5313642371621</v>
      </c>
      <c r="T38" s="52" t="inlineStr">
        <is>
          <t>Fail</t>
        </is>
      </c>
      <c r="U38" s="110" t="n">
        <v>3.80553337924335</v>
      </c>
      <c r="V38" s="52" t="inlineStr">
        <is>
          <t>Air</t>
        </is>
      </c>
      <c r="W38" s="52" t="inlineStr">
        <is>
          <t>Route C</t>
        </is>
      </c>
      <c r="X38" s="109" t="n">
        <v>403.808974248181</v>
      </c>
      <c r="Y38" s="111">
        <f>IFERROR(H38/I38,0)</f>
        <v/>
      </c>
      <c r="Z38" s="52">
        <f>IF(H38=0,"STOCKOUT",IF(Y38&gt;=1.933,"Overstocked",IF(Y38&lt;=0.3889,"Understocked","Healthy")))</f>
        <v/>
      </c>
      <c r="AA38" s="52">
        <f>IF(K38&gt;8,"Delayed","On Time")</f>
        <v/>
      </c>
      <c r="AB38" s="52">
        <f>MAX(0,K38-8)</f>
        <v/>
      </c>
      <c r="AC38" s="111">
        <f>IF(T38="Pass",2,IF(T38="Pending",1,0))-(U38/5)</f>
        <v/>
      </c>
      <c r="AD38" s="109">
        <f>IFERROR(X38/E38*1000,0)</f>
        <v/>
      </c>
    </row>
    <row r="39" ht="15" customHeight="1" s="53">
      <c r="A39" s="52" t="inlineStr">
        <is>
          <t>SKU37</t>
        </is>
      </c>
      <c r="B39" s="52" t="inlineStr">
        <is>
          <t>skincare</t>
        </is>
      </c>
      <c r="C39" s="109" t="n">
        <v>23.3998447526144</v>
      </c>
      <c r="D39" s="52" t="n">
        <v>5</v>
      </c>
      <c r="E39" s="52" t="n">
        <v>963</v>
      </c>
      <c r="F39" s="109" t="n">
        <v>2438.33993047003</v>
      </c>
      <c r="G39" s="52" t="inlineStr">
        <is>
          <t>Female</t>
        </is>
      </c>
      <c r="H39" s="52" t="n">
        <v>25</v>
      </c>
      <c r="I39" s="52" t="n">
        <v>21</v>
      </c>
      <c r="J39" s="52" t="n">
        <v>8</v>
      </c>
      <c r="K39" s="52" t="n">
        <v>9</v>
      </c>
      <c r="L39" s="52" t="inlineStr">
        <is>
          <t>Carrier A</t>
        </is>
      </c>
      <c r="M39" s="109" t="n">
        <v>1.53265527359043</v>
      </c>
      <c r="N39" s="52" t="inlineStr">
        <is>
          <t>Supplier 3</t>
        </is>
      </c>
      <c r="O39" s="52" t="inlineStr">
        <is>
          <t>Kolkata</t>
        </is>
      </c>
      <c r="P39" s="52" t="n">
        <v>24</v>
      </c>
      <c r="Q39" s="52" t="n">
        <v>867</v>
      </c>
      <c r="R39" s="52" t="n">
        <v>15</v>
      </c>
      <c r="S39" s="109" t="n">
        <v>34.3432774650754</v>
      </c>
      <c r="T39" s="52" t="inlineStr">
        <is>
          <t>Pending</t>
        </is>
      </c>
      <c r="U39" s="110" t="n">
        <v>2.61028808484811</v>
      </c>
      <c r="V39" s="52" t="inlineStr">
        <is>
          <t>Sea</t>
        </is>
      </c>
      <c r="W39" s="52" t="inlineStr">
        <is>
          <t>Route A</t>
        </is>
      </c>
      <c r="X39" s="109" t="n">
        <v>183.932968043594</v>
      </c>
      <c r="Y39" s="111">
        <f>IFERROR(H39/I39,0)</f>
        <v/>
      </c>
      <c r="Z39" s="52">
        <f>IF(H39=0,"STOCKOUT",IF(Y39&gt;=1.933,"Overstocked",IF(Y39&lt;=0.3889,"Understocked","Healthy")))</f>
        <v/>
      </c>
      <c r="AA39" s="52">
        <f>IF(K39&gt;8,"Delayed","On Time")</f>
        <v/>
      </c>
      <c r="AB39" s="52">
        <f>MAX(0,K39-8)</f>
        <v/>
      </c>
      <c r="AC39" s="111">
        <f>IF(T39="Pass",2,IF(T39="Pending",1,0))-(U39/5)</f>
        <v/>
      </c>
      <c r="AD39" s="109">
        <f>IFERROR(X39/E39*1000,0)</f>
        <v/>
      </c>
    </row>
    <row r="40" ht="15" customHeight="1" s="53">
      <c r="A40" s="52" t="inlineStr">
        <is>
          <t>SKU38</t>
        </is>
      </c>
      <c r="B40" s="52" t="inlineStr">
        <is>
          <t>cosmetics</t>
        </is>
      </c>
      <c r="C40" s="109" t="n">
        <v>52.0759306827078</v>
      </c>
      <c r="D40" s="52" t="n">
        <v>75</v>
      </c>
      <c r="E40" s="52" t="n">
        <v>705</v>
      </c>
      <c r="F40" s="109" t="n">
        <v>9692.31804021843</v>
      </c>
      <c r="G40" s="52" t="inlineStr">
        <is>
          <t>Non-binary</t>
        </is>
      </c>
      <c r="H40" s="52" t="n">
        <v>69</v>
      </c>
      <c r="I40" s="52" t="n">
        <v>88</v>
      </c>
      <c r="J40" s="52" t="n">
        <v>1</v>
      </c>
      <c r="K40" s="52" t="n">
        <v>5</v>
      </c>
      <c r="L40" s="52" t="inlineStr">
        <is>
          <t>Carrier B</t>
        </is>
      </c>
      <c r="M40" s="109" t="n">
        <v>9.23593143724923</v>
      </c>
      <c r="N40" s="52" t="inlineStr">
        <is>
          <t>Supplier 5</t>
        </is>
      </c>
      <c r="O40" s="52" t="inlineStr">
        <is>
          <t>Mumbai</t>
        </is>
      </c>
      <c r="P40" s="52" t="n">
        <v>10</v>
      </c>
      <c r="Q40" s="52" t="n">
        <v>841</v>
      </c>
      <c r="R40" s="52" t="n">
        <v>12</v>
      </c>
      <c r="S40" s="109" t="n">
        <v>5.93069364552832</v>
      </c>
      <c r="T40" s="52" t="inlineStr">
        <is>
          <t>Pending</t>
        </is>
      </c>
      <c r="U40" s="110" t="n">
        <v>0.613326899164507</v>
      </c>
      <c r="V40" s="52" t="inlineStr">
        <is>
          <t>Air</t>
        </is>
      </c>
      <c r="W40" s="52" t="inlineStr">
        <is>
          <t>Route B</t>
        </is>
      </c>
      <c r="X40" s="109" t="n">
        <v>339.672869948606</v>
      </c>
      <c r="Y40" s="111">
        <f>IFERROR(H40/I40,0)</f>
        <v/>
      </c>
      <c r="Z40" s="52">
        <f>IF(H40=0,"STOCKOUT",IF(Y40&gt;=1.933,"Overstocked",IF(Y40&lt;=0.3889,"Understocked","Healthy")))</f>
        <v/>
      </c>
      <c r="AA40" s="52">
        <f>IF(K40&gt;8,"Delayed","On Time")</f>
        <v/>
      </c>
      <c r="AB40" s="52">
        <f>MAX(0,K40-8)</f>
        <v/>
      </c>
      <c r="AC40" s="111">
        <f>IF(T40="Pass",2,IF(T40="Pending",1,0))-(U40/5)</f>
        <v/>
      </c>
      <c r="AD40" s="109">
        <f>IFERROR(X40/E40*1000,0)</f>
        <v/>
      </c>
    </row>
    <row r="41" ht="15" customHeight="1" s="53">
      <c r="A41" s="52" t="inlineStr">
        <is>
          <t>SKU39</t>
        </is>
      </c>
      <c r="B41" s="52" t="inlineStr">
        <is>
          <t>skincare</t>
        </is>
      </c>
      <c r="C41" s="109" t="n">
        <v>19.1274772658233</v>
      </c>
      <c r="D41" s="52" t="n">
        <v>26</v>
      </c>
      <c r="E41" s="52" t="n">
        <v>176</v>
      </c>
      <c r="F41" s="109" t="n">
        <v>1912.46566310076</v>
      </c>
      <c r="G41" s="52" t="inlineStr">
        <is>
          <t>Female</t>
        </is>
      </c>
      <c r="H41" s="52" t="n">
        <v>78</v>
      </c>
      <c r="I41" s="52" t="n">
        <v>34</v>
      </c>
      <c r="J41" s="52" t="n">
        <v>29</v>
      </c>
      <c r="K41" s="52" t="n">
        <v>3</v>
      </c>
      <c r="L41" s="52" t="inlineStr">
        <is>
          <t>Carrier A</t>
        </is>
      </c>
      <c r="M41" s="109" t="n">
        <v>5.56250377883038</v>
      </c>
      <c r="N41" s="52" t="inlineStr">
        <is>
          <t>Supplier 2</t>
        </is>
      </c>
      <c r="O41" s="52" t="inlineStr">
        <is>
          <t>Kolkata</t>
        </is>
      </c>
      <c r="P41" s="52" t="n">
        <v>30</v>
      </c>
      <c r="Q41" s="52" t="n">
        <v>791</v>
      </c>
      <c r="R41" s="52" t="n">
        <v>6</v>
      </c>
      <c r="S41" s="109" t="n">
        <v>9.00580742878164</v>
      </c>
      <c r="T41" s="52" t="inlineStr">
        <is>
          <t>Fail</t>
        </is>
      </c>
      <c r="U41" s="110" t="n">
        <v>1.45197220399682</v>
      </c>
      <c r="V41" s="52" t="inlineStr">
        <is>
          <t>Air</t>
        </is>
      </c>
      <c r="W41" s="52" t="inlineStr">
        <is>
          <t>Route B</t>
        </is>
      </c>
      <c r="X41" s="109" t="n">
        <v>653.6729945520329</v>
      </c>
      <c r="Y41" s="111">
        <f>IFERROR(H41/I41,0)</f>
        <v/>
      </c>
      <c r="Z41" s="52">
        <f>IF(H41=0,"STOCKOUT",IF(Y41&gt;=1.933,"Overstocked",IF(Y41&lt;=0.3889,"Understocked","Healthy")))</f>
        <v/>
      </c>
      <c r="AA41" s="52">
        <f>IF(K41&gt;8,"Delayed","On Time")</f>
        <v/>
      </c>
      <c r="AB41" s="52">
        <f>MAX(0,K41-8)</f>
        <v/>
      </c>
      <c r="AC41" s="111">
        <f>IF(T41="Pass",2,IF(T41="Pending",1,0))-(U41/5)</f>
        <v/>
      </c>
      <c r="AD41" s="109">
        <f>IFERROR(X41/E41*1000,0)</f>
        <v/>
      </c>
    </row>
    <row r="42" ht="15" customHeight="1" s="53">
      <c r="A42" s="52" t="inlineStr">
        <is>
          <t>SKU40</t>
        </is>
      </c>
      <c r="B42" s="52" t="inlineStr">
        <is>
          <t>skincare</t>
        </is>
      </c>
      <c r="C42" s="109" t="n">
        <v>80.5414241709403</v>
      </c>
      <c r="D42" s="52" t="n">
        <v>97</v>
      </c>
      <c r="E42" s="52" t="n">
        <v>933</v>
      </c>
      <c r="F42" s="109" t="n">
        <v>5724.95935045627</v>
      </c>
      <c r="G42" s="52" t="inlineStr">
        <is>
          <t>Female</t>
        </is>
      </c>
      <c r="H42" s="52" t="n">
        <v>90</v>
      </c>
      <c r="I42" s="52" t="n">
        <v>39</v>
      </c>
      <c r="J42" s="52" t="n">
        <v>20</v>
      </c>
      <c r="K42" s="52" t="n">
        <v>8</v>
      </c>
      <c r="L42" s="52" t="inlineStr">
        <is>
          <t>Carrier C</t>
        </is>
      </c>
      <c r="M42" s="109" t="n">
        <v>7.22959513973647</v>
      </c>
      <c r="N42" s="52" t="inlineStr">
        <is>
          <t>Supplier 1</t>
        </is>
      </c>
      <c r="O42" s="52" t="inlineStr">
        <is>
          <t>Kolkata</t>
        </is>
      </c>
      <c r="P42" s="52" t="n">
        <v>18</v>
      </c>
      <c r="Q42" s="52" t="n">
        <v>793</v>
      </c>
      <c r="R42" s="52" t="n">
        <v>1</v>
      </c>
      <c r="S42" s="109" t="n">
        <v>88.1794071042175</v>
      </c>
      <c r="T42" s="52" t="inlineStr">
        <is>
          <t>Pending</t>
        </is>
      </c>
      <c r="U42" s="110" t="n">
        <v>4.21326943058657</v>
      </c>
      <c r="V42" s="52" t="inlineStr">
        <is>
          <t>Road</t>
        </is>
      </c>
      <c r="W42" s="52" t="inlineStr">
        <is>
          <t>Route A</t>
        </is>
      </c>
      <c r="X42" s="109" t="n">
        <v>529.808723980692</v>
      </c>
      <c r="Y42" s="111">
        <f>IFERROR(H42/I42,0)</f>
        <v/>
      </c>
      <c r="Z42" s="52">
        <f>IF(H42=0,"STOCKOUT",IF(Y42&gt;=1.933,"Overstocked",IF(Y42&lt;=0.3889,"Understocked","Healthy")))</f>
        <v/>
      </c>
      <c r="AA42" s="52">
        <f>IF(K42&gt;8,"Delayed","On Time")</f>
        <v/>
      </c>
      <c r="AB42" s="52">
        <f>MAX(0,K42-8)</f>
        <v/>
      </c>
      <c r="AC42" s="111">
        <f>IF(T42="Pass",2,IF(T42="Pending",1,0))-(U42/5)</f>
        <v/>
      </c>
      <c r="AD42" s="109">
        <f>IFERROR(X42/E42*1000,0)</f>
        <v/>
      </c>
    </row>
    <row r="43" ht="15" customHeight="1" s="53">
      <c r="A43" s="52" t="inlineStr">
        <is>
          <t>SKU41</t>
        </is>
      </c>
      <c r="B43" s="52" t="inlineStr">
        <is>
          <t>skincare</t>
        </is>
      </c>
      <c r="C43" s="109" t="n">
        <v>99.11329161531719</v>
      </c>
      <c r="D43" s="52" t="n">
        <v>35</v>
      </c>
      <c r="E43" s="52" t="n">
        <v>556</v>
      </c>
      <c r="F43" s="109" t="n">
        <v>5521.20525901097</v>
      </c>
      <c r="G43" s="52" t="inlineStr">
        <is>
          <t>Female</t>
        </is>
      </c>
      <c r="H43" s="52" t="n">
        <v>64</v>
      </c>
      <c r="I43" s="52" t="n">
        <v>38</v>
      </c>
      <c r="J43" s="52" t="n">
        <v>19</v>
      </c>
      <c r="K43" s="52" t="n">
        <v>8</v>
      </c>
      <c r="L43" s="52" t="inlineStr">
        <is>
          <t>Carrier B</t>
        </is>
      </c>
      <c r="M43" s="109" t="n">
        <v>5.77326374376665</v>
      </c>
      <c r="N43" s="52" t="inlineStr">
        <is>
          <t>Supplier 4</t>
        </is>
      </c>
      <c r="O43" s="52" t="inlineStr">
        <is>
          <t>Chennai</t>
        </is>
      </c>
      <c r="P43" s="52" t="n">
        <v>18</v>
      </c>
      <c r="Q43" s="52" t="n">
        <v>892</v>
      </c>
      <c r="R43" s="52" t="n">
        <v>7</v>
      </c>
      <c r="S43" s="109" t="n">
        <v>95.33206454877249</v>
      </c>
      <c r="T43" s="52" t="inlineStr">
        <is>
          <t>Fail</t>
        </is>
      </c>
      <c r="U43" s="110" t="n">
        <v>0.0453022623982596</v>
      </c>
      <c r="V43" s="52" t="inlineStr">
        <is>
          <t>Sea</t>
        </is>
      </c>
      <c r="W43" s="52" t="inlineStr">
        <is>
          <t>Route A</t>
        </is>
      </c>
      <c r="X43" s="109" t="n">
        <v>275.52437113131</v>
      </c>
      <c r="Y43" s="111">
        <f>IFERROR(H43/I43,0)</f>
        <v/>
      </c>
      <c r="Z43" s="52">
        <f>IF(H43=0,"STOCKOUT",IF(Y43&gt;=1.933,"Overstocked",IF(Y43&lt;=0.3889,"Understocked","Healthy")))</f>
        <v/>
      </c>
      <c r="AA43" s="52">
        <f>IF(K43&gt;8,"Delayed","On Time")</f>
        <v/>
      </c>
      <c r="AB43" s="52">
        <f>MAX(0,K43-8)</f>
        <v/>
      </c>
      <c r="AC43" s="111">
        <f>IF(T43="Pass",2,IF(T43="Pending",1,0))-(U43/5)</f>
        <v/>
      </c>
      <c r="AD43" s="109">
        <f>IFERROR(X43/E43*1000,0)</f>
        <v/>
      </c>
    </row>
    <row r="44" ht="15" customHeight="1" s="53">
      <c r="A44" s="52" t="inlineStr">
        <is>
          <t>SKU42</t>
        </is>
      </c>
      <c r="B44" s="52" t="inlineStr">
        <is>
          <t>skincare</t>
        </is>
      </c>
      <c r="C44" s="109" t="n">
        <v>46.5291676145168</v>
      </c>
      <c r="D44" s="52" t="n">
        <v>98</v>
      </c>
      <c r="E44" s="52" t="n">
        <v>155</v>
      </c>
      <c r="F44" s="109" t="n">
        <v>1839.60942585676</v>
      </c>
      <c r="G44" s="52" t="inlineStr">
        <is>
          <t>Female</t>
        </is>
      </c>
      <c r="H44" s="52" t="n">
        <v>22</v>
      </c>
      <c r="I44" s="52" t="n">
        <v>57</v>
      </c>
      <c r="J44" s="52" t="n">
        <v>27</v>
      </c>
      <c r="K44" s="52" t="n">
        <v>4</v>
      </c>
      <c r="L44" s="52" t="inlineStr">
        <is>
          <t>Carrier C</t>
        </is>
      </c>
      <c r="M44" s="109" t="n">
        <v>7.52624832685151</v>
      </c>
      <c r="N44" s="52" t="inlineStr">
        <is>
          <t>Supplier 5</t>
        </is>
      </c>
      <c r="O44" s="52" t="inlineStr">
        <is>
          <t>Bangalore</t>
        </is>
      </c>
      <c r="P44" s="52" t="n">
        <v>26</v>
      </c>
      <c r="Q44" s="52" t="n">
        <v>179</v>
      </c>
      <c r="R44" s="52" t="n">
        <v>7</v>
      </c>
      <c r="S44" s="109" t="n">
        <v>96.4228206395719</v>
      </c>
      <c r="T44" s="52" t="inlineStr">
        <is>
          <t>Fail</t>
        </is>
      </c>
      <c r="U44" s="110" t="n">
        <v>4.93925528862095</v>
      </c>
      <c r="V44" s="52" t="inlineStr">
        <is>
          <t>Road</t>
        </is>
      </c>
      <c r="W44" s="52" t="inlineStr">
        <is>
          <t>Route A</t>
        </is>
      </c>
      <c r="X44" s="109" t="n">
        <v>635.657120501992</v>
      </c>
      <c r="Y44" s="111">
        <f>IFERROR(H44/I44,0)</f>
        <v/>
      </c>
      <c r="Z44" s="52">
        <f>IF(H44=0,"STOCKOUT",IF(Y44&gt;=1.933,"Overstocked",IF(Y44&lt;=0.3889,"Understocked","Healthy")))</f>
        <v/>
      </c>
      <c r="AA44" s="52">
        <f>IF(K44&gt;8,"Delayed","On Time")</f>
        <v/>
      </c>
      <c r="AB44" s="52">
        <f>MAX(0,K44-8)</f>
        <v/>
      </c>
      <c r="AC44" s="111">
        <f>IF(T44="Pass",2,IF(T44="Pending",1,0))-(U44/5)</f>
        <v/>
      </c>
      <c r="AD44" s="109">
        <f>IFERROR(X44/E44*1000,0)</f>
        <v/>
      </c>
    </row>
    <row r="45" ht="15" customHeight="1" s="53">
      <c r="A45" s="52" t="inlineStr">
        <is>
          <t>SKU43</t>
        </is>
      </c>
      <c r="B45" s="52" t="inlineStr">
        <is>
          <t>haircare</t>
        </is>
      </c>
      <c r="C45" s="109" t="n">
        <v>11.7432717763092</v>
      </c>
      <c r="D45" s="52" t="n">
        <v>6</v>
      </c>
      <c r="E45" s="52" t="n">
        <v>598</v>
      </c>
      <c r="F45" s="109" t="n">
        <v>5737.42559911902</v>
      </c>
      <c r="G45" s="52" t="inlineStr">
        <is>
          <t>Unknown</t>
        </is>
      </c>
      <c r="H45" s="52" t="n">
        <v>36</v>
      </c>
      <c r="I45" s="52" t="n">
        <v>85</v>
      </c>
      <c r="J45" s="52" t="n">
        <v>29</v>
      </c>
      <c r="K45" s="52" t="n">
        <v>9</v>
      </c>
      <c r="L45" s="52" t="inlineStr">
        <is>
          <t>Carrier B</t>
        </is>
      </c>
      <c r="M45" s="109" t="n">
        <v>3.69402126838845</v>
      </c>
      <c r="N45" s="52" t="inlineStr">
        <is>
          <t>Supplier 5</t>
        </is>
      </c>
      <c r="O45" s="52" t="inlineStr">
        <is>
          <t>Mumbai</t>
        </is>
      </c>
      <c r="P45" s="52" t="n">
        <v>1</v>
      </c>
      <c r="Q45" s="52" t="n">
        <v>206</v>
      </c>
      <c r="R45" s="52" t="n">
        <v>23</v>
      </c>
      <c r="S45" s="109" t="n">
        <v>26.2773659573324</v>
      </c>
      <c r="T45" s="52" t="inlineStr">
        <is>
          <t>Pending</t>
        </is>
      </c>
      <c r="U45" s="110" t="n">
        <v>0.372304767985098</v>
      </c>
      <c r="V45" s="52" t="inlineStr">
        <is>
          <t>Air</t>
        </is>
      </c>
      <c r="W45" s="52" t="inlineStr">
        <is>
          <t>Route A</t>
        </is>
      </c>
      <c r="X45" s="109" t="n">
        <v>716.044119759341</v>
      </c>
      <c r="Y45" s="111">
        <f>IFERROR(H45/I45,0)</f>
        <v/>
      </c>
      <c r="Z45" s="52">
        <f>IF(H45=0,"STOCKOUT",IF(Y45&gt;=1.933,"Overstocked",IF(Y45&lt;=0.3889,"Understocked","Healthy")))</f>
        <v/>
      </c>
      <c r="AA45" s="52">
        <f>IF(K45&gt;8,"Delayed","On Time")</f>
        <v/>
      </c>
      <c r="AB45" s="52">
        <f>MAX(0,K45-8)</f>
        <v/>
      </c>
      <c r="AC45" s="111">
        <f>IF(T45="Pass",2,IF(T45="Pending",1,0))-(U45/5)</f>
        <v/>
      </c>
      <c r="AD45" s="109">
        <f>IFERROR(X45/E45*1000,0)</f>
        <v/>
      </c>
    </row>
    <row r="46" ht="15" customHeight="1" s="53">
      <c r="A46" s="52" t="inlineStr">
        <is>
          <t>SKU44</t>
        </is>
      </c>
      <c r="B46" s="52" t="inlineStr">
        <is>
          <t>cosmetics</t>
        </is>
      </c>
      <c r="C46" s="109" t="n">
        <v>51.3557909131104</v>
      </c>
      <c r="D46" s="52" t="n">
        <v>34</v>
      </c>
      <c r="E46" s="52" t="n">
        <v>919</v>
      </c>
      <c r="F46" s="109" t="n">
        <v>7152.28604943552</v>
      </c>
      <c r="G46" s="52" t="inlineStr">
        <is>
          <t>Female</t>
        </is>
      </c>
      <c r="H46" s="52" t="n">
        <v>13</v>
      </c>
      <c r="I46" s="52" t="n">
        <v>72</v>
      </c>
      <c r="J46" s="52" t="n">
        <v>19</v>
      </c>
      <c r="K46" s="52" t="n">
        <v>6</v>
      </c>
      <c r="L46" s="52" t="inlineStr">
        <is>
          <t>Carrier C</t>
        </is>
      </c>
      <c r="M46" s="109" t="n">
        <v>7.57744965737669</v>
      </c>
      <c r="N46" s="52" t="inlineStr">
        <is>
          <t>Supplier 2</t>
        </is>
      </c>
      <c r="O46" s="52" t="inlineStr">
        <is>
          <t>Delhi</t>
        </is>
      </c>
      <c r="P46" s="52" t="n">
        <v>7</v>
      </c>
      <c r="Q46" s="52" t="n">
        <v>834</v>
      </c>
      <c r="R46" s="52" t="n">
        <v>18</v>
      </c>
      <c r="S46" s="109" t="n">
        <v>22.5541066208877</v>
      </c>
      <c r="T46" s="52" t="inlineStr">
        <is>
          <t>Fail</t>
        </is>
      </c>
      <c r="U46" s="110" t="n">
        <v>2.96262632045488</v>
      </c>
      <c r="V46" s="52" t="inlineStr">
        <is>
          <t>Rail</t>
        </is>
      </c>
      <c r="W46" s="52" t="inlineStr">
        <is>
          <t>Route A</t>
        </is>
      </c>
      <c r="X46" s="109" t="n">
        <v>610.453269619228</v>
      </c>
      <c r="Y46" s="111">
        <f>IFERROR(H46/I46,0)</f>
        <v/>
      </c>
      <c r="Z46" s="52">
        <f>IF(H46=0,"STOCKOUT",IF(Y46&gt;=1.933,"Overstocked",IF(Y46&lt;=0.3889,"Understocked","Healthy")))</f>
        <v/>
      </c>
      <c r="AA46" s="52">
        <f>IF(K46&gt;8,"Delayed","On Time")</f>
        <v/>
      </c>
      <c r="AB46" s="52">
        <f>MAX(0,K46-8)</f>
        <v/>
      </c>
      <c r="AC46" s="111">
        <f>IF(T46="Pass",2,IF(T46="Pending",1,0))-(U46/5)</f>
        <v/>
      </c>
      <c r="AD46" s="109">
        <f>IFERROR(X46/E46*1000,0)</f>
        <v/>
      </c>
    </row>
    <row r="47" ht="15" customHeight="1" s="53">
      <c r="A47" s="52" t="inlineStr">
        <is>
          <t>SKU45</t>
        </is>
      </c>
      <c r="B47" s="52" t="inlineStr">
        <is>
          <t>haircare</t>
        </is>
      </c>
      <c r="C47" s="109" t="n">
        <v>33.7841380330655</v>
      </c>
      <c r="D47" s="52" t="n">
        <v>1</v>
      </c>
      <c r="E47" s="52" t="n">
        <v>24</v>
      </c>
      <c r="F47" s="109" t="n">
        <v>5267.95680751052</v>
      </c>
      <c r="G47" s="52" t="inlineStr">
        <is>
          <t>Male</t>
        </is>
      </c>
      <c r="H47" s="52" t="n">
        <v>93</v>
      </c>
      <c r="I47" s="52" t="n">
        <v>52</v>
      </c>
      <c r="J47" s="52" t="n">
        <v>7</v>
      </c>
      <c r="K47" s="52" t="n">
        <v>6</v>
      </c>
      <c r="L47" s="52" t="inlineStr">
        <is>
          <t>Carrier B</t>
        </is>
      </c>
      <c r="M47" s="109" t="n">
        <v>5.21515500871191</v>
      </c>
      <c r="N47" s="52" t="inlineStr">
        <is>
          <t>Supplier 2</t>
        </is>
      </c>
      <c r="O47" s="52" t="inlineStr">
        <is>
          <t>Chennai</t>
        </is>
      </c>
      <c r="P47" s="52" t="n">
        <v>25</v>
      </c>
      <c r="Q47" s="52" t="n">
        <v>794</v>
      </c>
      <c r="R47" s="52" t="n">
        <v>25</v>
      </c>
      <c r="S47" s="109" t="n">
        <v>66.3125444399917</v>
      </c>
      <c r="T47" s="52" t="inlineStr">
        <is>
          <t>Pass</t>
        </is>
      </c>
      <c r="U47" s="110" t="n">
        <v>3.21960461208411</v>
      </c>
      <c r="V47" s="52" t="inlineStr">
        <is>
          <t>Rail</t>
        </is>
      </c>
      <c r="W47" s="52" t="inlineStr">
        <is>
          <t>Route A</t>
        </is>
      </c>
      <c r="X47" s="109" t="n">
        <v>495.305697028474</v>
      </c>
      <c r="Y47" s="111">
        <f>IFERROR(H47/I47,0)</f>
        <v/>
      </c>
      <c r="Z47" s="52">
        <f>IF(H47=0,"STOCKOUT",IF(Y47&gt;=1.933,"Overstocked",IF(Y47&lt;=0.3889,"Understocked","Healthy")))</f>
        <v/>
      </c>
      <c r="AA47" s="52">
        <f>IF(K47&gt;8,"Delayed","On Time")</f>
        <v/>
      </c>
      <c r="AB47" s="52">
        <f>MAX(0,K47-8)</f>
        <v/>
      </c>
      <c r="AC47" s="111">
        <f>IF(T47="Pass",2,IF(T47="Pending",1,0))-(U47/5)</f>
        <v/>
      </c>
      <c r="AD47" s="109">
        <f>IFERROR(X47/E47*1000,0)</f>
        <v/>
      </c>
    </row>
    <row r="48" ht="15" customHeight="1" s="53">
      <c r="A48" s="52" t="inlineStr">
        <is>
          <t>SKU46</t>
        </is>
      </c>
      <c r="B48" s="52" t="inlineStr">
        <is>
          <t>haircare</t>
        </is>
      </c>
      <c r="C48" s="109" t="n">
        <v>27.0822071998889</v>
      </c>
      <c r="D48" s="52" t="n">
        <v>75</v>
      </c>
      <c r="E48" s="52" t="n">
        <v>859</v>
      </c>
      <c r="F48" s="109" t="n">
        <v>2556.7673606336</v>
      </c>
      <c r="G48" s="52" t="inlineStr">
        <is>
          <t>Non-binary</t>
        </is>
      </c>
      <c r="H48" s="52" t="n">
        <v>92</v>
      </c>
      <c r="I48" s="52" t="n">
        <v>6</v>
      </c>
      <c r="J48" s="52" t="n">
        <v>29</v>
      </c>
      <c r="K48" s="52" t="n">
        <v>8</v>
      </c>
      <c r="L48" s="52" t="inlineStr">
        <is>
          <t>Carrier B</t>
        </is>
      </c>
      <c r="M48" s="109" t="n">
        <v>4.07095583708408</v>
      </c>
      <c r="N48" s="52" t="inlineStr">
        <is>
          <t>Supplier 3</t>
        </is>
      </c>
      <c r="O48" s="52" t="inlineStr">
        <is>
          <t>Chennai</t>
        </is>
      </c>
      <c r="P48" s="52" t="n">
        <v>18</v>
      </c>
      <c r="Q48" s="52" t="n">
        <v>870</v>
      </c>
      <c r="R48" s="52" t="n">
        <v>23</v>
      </c>
      <c r="S48" s="109" t="n">
        <v>77.32235321105161</v>
      </c>
      <c r="T48" s="52" t="inlineStr">
        <is>
          <t>Pending</t>
        </is>
      </c>
      <c r="U48" s="110" t="n">
        <v>3.6486105925362</v>
      </c>
      <c r="V48" s="52" t="inlineStr">
        <is>
          <t>Road</t>
        </is>
      </c>
      <c r="W48" s="52" t="inlineStr">
        <is>
          <t>Route B</t>
        </is>
      </c>
      <c r="X48" s="109" t="n">
        <v>380.435937111964</v>
      </c>
      <c r="Y48" s="111">
        <f>IFERROR(H48/I48,0)</f>
        <v/>
      </c>
      <c r="Z48" s="52">
        <f>IF(H48=0,"STOCKOUT",IF(Y48&gt;=1.933,"Overstocked",IF(Y48&lt;=0.3889,"Understocked","Healthy")))</f>
        <v/>
      </c>
      <c r="AA48" s="52">
        <f>IF(K48&gt;8,"Delayed","On Time")</f>
        <v/>
      </c>
      <c r="AB48" s="52">
        <f>MAX(0,K48-8)</f>
        <v/>
      </c>
      <c r="AC48" s="111">
        <f>IF(T48="Pass",2,IF(T48="Pending",1,0))-(U48/5)</f>
        <v/>
      </c>
      <c r="AD48" s="109">
        <f>IFERROR(X48/E48*1000,0)</f>
        <v/>
      </c>
    </row>
    <row r="49" ht="15" customHeight="1" s="53">
      <c r="A49" s="52" t="inlineStr">
        <is>
          <t>SKU47</t>
        </is>
      </c>
      <c r="B49" s="52" t="inlineStr">
        <is>
          <t>skincare</t>
        </is>
      </c>
      <c r="C49" s="109" t="n">
        <v>95.7121358809361</v>
      </c>
      <c r="D49" s="52" t="n">
        <v>93</v>
      </c>
      <c r="E49" s="52" t="n">
        <v>910</v>
      </c>
      <c r="F49" s="109" t="n">
        <v>7089.47424993419</v>
      </c>
      <c r="G49" s="52" t="inlineStr">
        <is>
          <t>Male</t>
        </is>
      </c>
      <c r="H49" s="52" t="n">
        <v>4</v>
      </c>
      <c r="I49" s="52" t="n">
        <v>51</v>
      </c>
      <c r="J49" s="52" t="n">
        <v>15</v>
      </c>
      <c r="K49" s="52" t="n">
        <v>9</v>
      </c>
      <c r="L49" s="52" t="inlineStr">
        <is>
          <t>Carrier B</t>
        </is>
      </c>
      <c r="M49" s="109" t="n">
        <v>8.978750755949971</v>
      </c>
      <c r="N49" s="52" t="inlineStr">
        <is>
          <t>Supplier 1</t>
        </is>
      </c>
      <c r="O49" s="52" t="inlineStr">
        <is>
          <t>Kolkata</t>
        </is>
      </c>
      <c r="P49" s="52" t="n">
        <v>10</v>
      </c>
      <c r="Q49" s="52" t="n">
        <v>964</v>
      </c>
      <c r="R49" s="52" t="n">
        <v>20</v>
      </c>
      <c r="S49" s="109" t="n">
        <v>19.7129929112937</v>
      </c>
      <c r="T49" s="52" t="inlineStr">
        <is>
          <t>Pending</t>
        </is>
      </c>
      <c r="U49" s="110" t="n">
        <v>0.380573586713214</v>
      </c>
      <c r="V49" s="52" t="inlineStr">
        <is>
          <t>Rail</t>
        </is>
      </c>
      <c r="W49" s="52" t="inlineStr">
        <is>
          <t>Route A</t>
        </is>
      </c>
      <c r="X49" s="109" t="n">
        <v>581.602355050587</v>
      </c>
      <c r="Y49" s="111">
        <f>IFERROR(H49/I49,0)</f>
        <v/>
      </c>
      <c r="Z49" s="52">
        <f>IF(H49=0,"STOCKOUT",IF(Y49&gt;=1.933,"Overstocked",IF(Y49&lt;=0.3889,"Understocked","Healthy")))</f>
        <v/>
      </c>
      <c r="AA49" s="52">
        <f>IF(K49&gt;8,"Delayed","On Time")</f>
        <v/>
      </c>
      <c r="AB49" s="52">
        <f>MAX(0,K49-8)</f>
        <v/>
      </c>
      <c r="AC49" s="111">
        <f>IF(T49="Pass",2,IF(T49="Pending",1,0))-(U49/5)</f>
        <v/>
      </c>
      <c r="AD49" s="109">
        <f>IFERROR(X49/E49*1000,0)</f>
        <v/>
      </c>
    </row>
    <row r="50" ht="15" customHeight="1" s="53">
      <c r="A50" s="52" t="inlineStr">
        <is>
          <t>SKU48</t>
        </is>
      </c>
      <c r="B50" s="52" t="inlineStr">
        <is>
          <t>haircare</t>
        </is>
      </c>
      <c r="C50" s="109" t="n">
        <v>76.0355444268917</v>
      </c>
      <c r="D50" s="52" t="n">
        <v>28</v>
      </c>
      <c r="E50" s="52" t="n">
        <v>29</v>
      </c>
      <c r="F50" s="109" t="n">
        <v>7397.07100458718</v>
      </c>
      <c r="G50" s="52" t="inlineStr">
        <is>
          <t>Non-binary</t>
        </is>
      </c>
      <c r="H50" s="52" t="n">
        <v>30</v>
      </c>
      <c r="I50" s="52" t="n">
        <v>9</v>
      </c>
      <c r="J50" s="52" t="n">
        <v>16</v>
      </c>
      <c r="K50" s="52" t="n">
        <v>3</v>
      </c>
      <c r="L50" s="52" t="inlineStr">
        <is>
          <t>Carrier C</t>
        </is>
      </c>
      <c r="M50" s="109" t="n">
        <v>7.09583315655514</v>
      </c>
      <c r="N50" s="52" t="inlineStr">
        <is>
          <t>Supplier 2</t>
        </is>
      </c>
      <c r="O50" s="52" t="inlineStr">
        <is>
          <t>Mumbai</t>
        </is>
      </c>
      <c r="P50" s="52" t="n">
        <v>9</v>
      </c>
      <c r="Q50" s="52" t="n">
        <v>109</v>
      </c>
      <c r="R50" s="52" t="n">
        <v>18</v>
      </c>
      <c r="S50" s="109" t="n">
        <v>23.1263635824648</v>
      </c>
      <c r="T50" s="52" t="inlineStr">
        <is>
          <t>Fail</t>
        </is>
      </c>
      <c r="U50" s="110" t="n">
        <v>1.6981125407144</v>
      </c>
      <c r="V50" s="52" t="inlineStr">
        <is>
          <t>Rail</t>
        </is>
      </c>
      <c r="W50" s="52" t="inlineStr">
        <is>
          <t>Route B</t>
        </is>
      </c>
      <c r="X50" s="109" t="n">
        <v>768.65191395437</v>
      </c>
      <c r="Y50" s="111">
        <f>IFERROR(H50/I50,0)</f>
        <v/>
      </c>
      <c r="Z50" s="52">
        <f>IF(H50=0,"STOCKOUT",IF(Y50&gt;=1.933,"Overstocked",IF(Y50&lt;=0.3889,"Understocked","Healthy")))</f>
        <v/>
      </c>
      <c r="AA50" s="52">
        <f>IF(K50&gt;8,"Delayed","On Time")</f>
        <v/>
      </c>
      <c r="AB50" s="52">
        <f>MAX(0,K50-8)</f>
        <v/>
      </c>
      <c r="AC50" s="111">
        <f>IF(T50="Pass",2,IF(T50="Pending",1,0))-(U50/5)</f>
        <v/>
      </c>
      <c r="AD50" s="109">
        <f>IFERROR(X50/E50*1000,0)</f>
        <v/>
      </c>
    </row>
    <row r="51" ht="15" customHeight="1" s="53">
      <c r="A51" s="52" t="inlineStr">
        <is>
          <t>SKU49</t>
        </is>
      </c>
      <c r="B51" s="52" t="inlineStr">
        <is>
          <t>cosmetics</t>
        </is>
      </c>
      <c r="C51" s="109" t="n">
        <v>78.89791320563999</v>
      </c>
      <c r="D51" s="52" t="n">
        <v>19</v>
      </c>
      <c r="E51" s="52" t="n">
        <v>99</v>
      </c>
      <c r="F51" s="109" t="n">
        <v>8001.613206519</v>
      </c>
      <c r="G51" s="52" t="inlineStr">
        <is>
          <t>Unknown</t>
        </is>
      </c>
      <c r="H51" s="52" t="n">
        <v>97</v>
      </c>
      <c r="I51" s="52" t="n">
        <v>9</v>
      </c>
      <c r="J51" s="52" t="n">
        <v>24</v>
      </c>
      <c r="K51" s="52" t="n">
        <v>6</v>
      </c>
      <c r="L51" s="52" t="inlineStr">
        <is>
          <t>Carrier C</t>
        </is>
      </c>
      <c r="M51" s="109" t="n">
        <v>2.50562103290092</v>
      </c>
      <c r="N51" s="52" t="inlineStr">
        <is>
          <t>Supplier 5</t>
        </is>
      </c>
      <c r="O51" s="52" t="inlineStr">
        <is>
          <t>Delhi</t>
        </is>
      </c>
      <c r="P51" s="52" t="n">
        <v>28</v>
      </c>
      <c r="Q51" s="52" t="n">
        <v>177</v>
      </c>
      <c r="R51" s="52" t="n">
        <v>28</v>
      </c>
      <c r="S51" s="109" t="n">
        <v>14.1478154439792</v>
      </c>
      <c r="T51" s="52" t="inlineStr">
        <is>
          <t>Pass</t>
        </is>
      </c>
      <c r="U51" s="110" t="n">
        <v>2.82581398540013</v>
      </c>
      <c r="V51" s="52" t="inlineStr">
        <is>
          <t>Rail</t>
        </is>
      </c>
      <c r="W51" s="52" t="inlineStr">
        <is>
          <t>Route A</t>
        </is>
      </c>
      <c r="X51" s="109" t="n">
        <v>336.890168519978</v>
      </c>
      <c r="Y51" s="111">
        <f>IFERROR(H51/I51,0)</f>
        <v/>
      </c>
      <c r="Z51" s="52">
        <f>IF(H51=0,"STOCKOUT",IF(Y51&gt;=1.933,"Overstocked",IF(Y51&lt;=0.3889,"Understocked","Healthy")))</f>
        <v/>
      </c>
      <c r="AA51" s="52">
        <f>IF(K51&gt;8,"Delayed","On Time")</f>
        <v/>
      </c>
      <c r="AB51" s="52">
        <f>MAX(0,K51-8)</f>
        <v/>
      </c>
      <c r="AC51" s="111">
        <f>IF(T51="Pass",2,IF(T51="Pending",1,0))-(U51/5)</f>
        <v/>
      </c>
      <c r="AD51" s="109">
        <f>IFERROR(X51/E51*1000,0)</f>
        <v/>
      </c>
    </row>
    <row r="52" ht="15" customHeight="1" s="53">
      <c r="A52" s="52" t="inlineStr">
        <is>
          <t>SKU50</t>
        </is>
      </c>
      <c r="B52" s="52" t="inlineStr">
        <is>
          <t>cosmetics</t>
        </is>
      </c>
      <c r="C52" s="109" t="n">
        <v>14.203484264803</v>
      </c>
      <c r="D52" s="52" t="n">
        <v>91</v>
      </c>
      <c r="E52" s="52" t="n">
        <v>633</v>
      </c>
      <c r="F52" s="109" t="n">
        <v>5910.8853896689</v>
      </c>
      <c r="G52" s="52" t="inlineStr">
        <is>
          <t>Female</t>
        </is>
      </c>
      <c r="H52" s="52" t="n">
        <v>31</v>
      </c>
      <c r="I52" s="52" t="n">
        <v>82</v>
      </c>
      <c r="J52" s="52" t="n">
        <v>23</v>
      </c>
      <c r="K52" s="52" t="n">
        <v>10</v>
      </c>
      <c r="L52" s="52" t="inlineStr">
        <is>
          <t>Carrier A</t>
        </is>
      </c>
      <c r="M52" s="109" t="n">
        <v>6.24786091497599</v>
      </c>
      <c r="N52" s="52" t="inlineStr">
        <is>
          <t>Supplier 2</t>
        </is>
      </c>
      <c r="O52" s="52" t="inlineStr">
        <is>
          <t>Delhi</t>
        </is>
      </c>
      <c r="P52" s="52" t="n">
        <v>20</v>
      </c>
      <c r="Q52" s="52" t="n">
        <v>306</v>
      </c>
      <c r="R52" s="52" t="n">
        <v>21</v>
      </c>
      <c r="S52" s="109" t="n">
        <v>45.1787579246345</v>
      </c>
      <c r="T52" s="52" t="inlineStr">
        <is>
          <t>Fail</t>
        </is>
      </c>
      <c r="U52" s="110" t="n">
        <v>4.75480080467119</v>
      </c>
      <c r="V52" s="52" t="inlineStr">
        <is>
          <t>Rail</t>
        </is>
      </c>
      <c r="W52" s="52" t="inlineStr">
        <is>
          <t>Route B</t>
        </is>
      </c>
      <c r="X52" s="109" t="n">
        <v>496.248650291941</v>
      </c>
      <c r="Y52" s="111">
        <f>IFERROR(H52/I52,0)</f>
        <v/>
      </c>
      <c r="Z52" s="52">
        <f>IF(H52=0,"STOCKOUT",IF(Y52&gt;=1.933,"Overstocked",IF(Y52&lt;=0.3889,"Understocked","Healthy")))</f>
        <v/>
      </c>
      <c r="AA52" s="52">
        <f>IF(K52&gt;8,"Delayed","On Time")</f>
        <v/>
      </c>
      <c r="AB52" s="52">
        <f>MAX(0,K52-8)</f>
        <v/>
      </c>
      <c r="AC52" s="111">
        <f>IF(T52="Pass",2,IF(T52="Pending",1,0))-(U52/5)</f>
        <v/>
      </c>
      <c r="AD52" s="109">
        <f>IFERROR(X52/E52*1000,0)</f>
        <v/>
      </c>
    </row>
    <row r="53" ht="15" customHeight="1" s="53">
      <c r="A53" s="52" t="inlineStr">
        <is>
          <t>SKU51</t>
        </is>
      </c>
      <c r="B53" s="52" t="inlineStr">
        <is>
          <t>haircare</t>
        </is>
      </c>
      <c r="C53" s="109" t="n">
        <v>26.7007609724617</v>
      </c>
      <c r="D53" s="52" t="n">
        <v>61</v>
      </c>
      <c r="E53" s="52" t="n">
        <v>154</v>
      </c>
      <c r="F53" s="109" t="n">
        <v>9866.465457979701</v>
      </c>
      <c r="G53" s="52" t="inlineStr">
        <is>
          <t>Male</t>
        </is>
      </c>
      <c r="H53" s="52" t="n">
        <v>100</v>
      </c>
      <c r="I53" s="52" t="n">
        <v>52</v>
      </c>
      <c r="J53" s="52" t="n">
        <v>4</v>
      </c>
      <c r="K53" s="52" t="n">
        <v>1</v>
      </c>
      <c r="L53" s="52" t="inlineStr">
        <is>
          <t>Carrier A</t>
        </is>
      </c>
      <c r="M53" s="109" t="n">
        <v>4.78300055794767</v>
      </c>
      <c r="N53" s="52" t="inlineStr">
        <is>
          <t>Supplier 5</t>
        </is>
      </c>
      <c r="O53" s="52" t="inlineStr">
        <is>
          <t>Bangalore</t>
        </is>
      </c>
      <c r="P53" s="52" t="n">
        <v>18</v>
      </c>
      <c r="Q53" s="52" t="n">
        <v>673</v>
      </c>
      <c r="R53" s="52" t="n">
        <v>28</v>
      </c>
      <c r="S53" s="109" t="n">
        <v>14.19032834457</v>
      </c>
      <c r="T53" s="52" t="inlineStr">
        <is>
          <t>Pending</t>
        </is>
      </c>
      <c r="U53" s="110" t="n">
        <v>1.77295117208356</v>
      </c>
      <c r="V53" s="52" t="inlineStr">
        <is>
          <t>Road</t>
        </is>
      </c>
      <c r="W53" s="52" t="inlineStr">
        <is>
          <t>Route A</t>
        </is>
      </c>
      <c r="X53" s="109" t="n">
        <v>694.982317579446</v>
      </c>
      <c r="Y53" s="111">
        <f>IFERROR(H53/I53,0)</f>
        <v/>
      </c>
      <c r="Z53" s="52">
        <f>IF(H53=0,"STOCKOUT",IF(Y53&gt;=1.933,"Overstocked",IF(Y53&lt;=0.3889,"Understocked","Healthy")))</f>
        <v/>
      </c>
      <c r="AA53" s="52">
        <f>IF(K53&gt;8,"Delayed","On Time")</f>
        <v/>
      </c>
      <c r="AB53" s="52">
        <f>MAX(0,K53-8)</f>
        <v/>
      </c>
      <c r="AC53" s="111">
        <f>IF(T53="Pass",2,IF(T53="Pending",1,0))-(U53/5)</f>
        <v/>
      </c>
      <c r="AD53" s="109">
        <f>IFERROR(X53/E53*1000,0)</f>
        <v/>
      </c>
    </row>
    <row r="54" ht="15" customHeight="1" s="53">
      <c r="A54" s="52" t="inlineStr">
        <is>
          <t>SKU52</t>
        </is>
      </c>
      <c r="B54" s="52" t="inlineStr">
        <is>
          <t>skincare</t>
        </is>
      </c>
      <c r="C54" s="109" t="n">
        <v>98.03182965646511</v>
      </c>
      <c r="D54" s="52" t="n">
        <v>1</v>
      </c>
      <c r="E54" s="52" t="n">
        <v>820</v>
      </c>
      <c r="F54" s="109" t="n">
        <v>9435.76260891213</v>
      </c>
      <c r="G54" s="52" t="inlineStr">
        <is>
          <t>Male</t>
        </is>
      </c>
      <c r="H54" s="52" t="n">
        <v>64</v>
      </c>
      <c r="I54" s="52" t="n">
        <v>11</v>
      </c>
      <c r="J54" s="52" t="n">
        <v>11</v>
      </c>
      <c r="K54" s="52" t="n">
        <v>1</v>
      </c>
      <c r="L54" s="52" t="inlineStr">
        <is>
          <t>Carrier B</t>
        </is>
      </c>
      <c r="M54" s="109" t="n">
        <v>8.63105217976895</v>
      </c>
      <c r="N54" s="52" t="inlineStr">
        <is>
          <t>Supplier 1</t>
        </is>
      </c>
      <c r="O54" s="52" t="inlineStr">
        <is>
          <t>Mumbai</t>
        </is>
      </c>
      <c r="P54" s="52" t="n">
        <v>10</v>
      </c>
      <c r="Q54" s="52" t="n">
        <v>727</v>
      </c>
      <c r="R54" s="52" t="n">
        <v>27</v>
      </c>
      <c r="S54" s="109" t="n">
        <v>9.16684914859715</v>
      </c>
      <c r="T54" s="52" t="inlineStr">
        <is>
          <t>Pending</t>
        </is>
      </c>
      <c r="U54" s="110" t="n">
        <v>2.12247161914383</v>
      </c>
      <c r="V54" s="52" t="inlineStr">
        <is>
          <t>Air</t>
        </is>
      </c>
      <c r="W54" s="52" t="inlineStr">
        <is>
          <t>Route C</t>
        </is>
      </c>
      <c r="X54" s="109" t="n">
        <v>602.898498838383</v>
      </c>
      <c r="Y54" s="111">
        <f>IFERROR(H54/I54,0)</f>
        <v/>
      </c>
      <c r="Z54" s="52">
        <f>IF(H54=0,"STOCKOUT",IF(Y54&gt;=1.933,"Overstocked",IF(Y54&lt;=0.3889,"Understocked","Healthy")))</f>
        <v/>
      </c>
      <c r="AA54" s="52">
        <f>IF(K54&gt;8,"Delayed","On Time")</f>
        <v/>
      </c>
      <c r="AB54" s="52">
        <f>MAX(0,K54-8)</f>
        <v/>
      </c>
      <c r="AC54" s="111">
        <f>IF(T54="Pass",2,IF(T54="Pending",1,0))-(U54/5)</f>
        <v/>
      </c>
      <c r="AD54" s="109">
        <f>IFERROR(X54/E54*1000,0)</f>
        <v/>
      </c>
    </row>
    <row r="55" ht="15" customHeight="1" s="53">
      <c r="A55" s="52" t="inlineStr">
        <is>
          <t>SKU53</t>
        </is>
      </c>
      <c r="B55" s="52" t="inlineStr">
        <is>
          <t>skincare</t>
        </is>
      </c>
      <c r="C55" s="109" t="n">
        <v>30.3414707112142</v>
      </c>
      <c r="D55" s="52" t="n">
        <v>93</v>
      </c>
      <c r="E55" s="52" t="n">
        <v>242</v>
      </c>
      <c r="F55" s="109" t="n">
        <v>8232.334829425819</v>
      </c>
      <c r="G55" s="52" t="inlineStr">
        <is>
          <t>Male</t>
        </is>
      </c>
      <c r="H55" s="52" t="n">
        <v>96</v>
      </c>
      <c r="I55" s="52" t="n">
        <v>54</v>
      </c>
      <c r="J55" s="52" t="n">
        <v>25</v>
      </c>
      <c r="K55" s="52" t="n">
        <v>3</v>
      </c>
      <c r="L55" s="52" t="inlineStr">
        <is>
          <t>Carrier B</t>
        </is>
      </c>
      <c r="M55" s="109" t="n">
        <v>1.0134865660959</v>
      </c>
      <c r="N55" s="52" t="inlineStr">
        <is>
          <t>Supplier 1</t>
        </is>
      </c>
      <c r="O55" s="52" t="inlineStr">
        <is>
          <t>Delhi</t>
        </is>
      </c>
      <c r="P55" s="52" t="n">
        <v>1</v>
      </c>
      <c r="Q55" s="52" t="n">
        <v>631</v>
      </c>
      <c r="R55" s="52" t="n">
        <v>17</v>
      </c>
      <c r="S55" s="109" t="n">
        <v>83.344058991678</v>
      </c>
      <c r="T55" s="52" t="inlineStr">
        <is>
          <t>Pending</t>
        </is>
      </c>
      <c r="U55" s="110" t="n">
        <v>1.41034757607603</v>
      </c>
      <c r="V55" s="52" t="inlineStr">
        <is>
          <t>Air</t>
        </is>
      </c>
      <c r="W55" s="52" t="inlineStr">
        <is>
          <t>Route B</t>
        </is>
      </c>
      <c r="X55" s="109" t="n">
        <v>750.737840668271</v>
      </c>
      <c r="Y55" s="111">
        <f>IFERROR(H55/I55,0)</f>
        <v/>
      </c>
      <c r="Z55" s="52">
        <f>IF(H55=0,"STOCKOUT",IF(Y55&gt;=1.933,"Overstocked",IF(Y55&lt;=0.3889,"Understocked","Healthy")))</f>
        <v/>
      </c>
      <c r="AA55" s="52">
        <f>IF(K55&gt;8,"Delayed","On Time")</f>
        <v/>
      </c>
      <c r="AB55" s="52">
        <f>MAX(0,K55-8)</f>
        <v/>
      </c>
      <c r="AC55" s="111">
        <f>IF(T55="Pass",2,IF(T55="Pending",1,0))-(U55/5)</f>
        <v/>
      </c>
      <c r="AD55" s="109">
        <f>IFERROR(X55/E55*1000,0)</f>
        <v/>
      </c>
    </row>
    <row r="56" ht="15" customHeight="1" s="53">
      <c r="A56" s="52" t="inlineStr">
        <is>
          <t>SKU54</t>
        </is>
      </c>
      <c r="B56" s="52" t="inlineStr">
        <is>
          <t>haircare</t>
        </is>
      </c>
      <c r="C56" s="109" t="n">
        <v>31.1462431602409</v>
      </c>
      <c r="D56" s="52" t="n">
        <v>11</v>
      </c>
      <c r="E56" s="52" t="n">
        <v>622</v>
      </c>
      <c r="F56" s="109" t="n">
        <v>6088.02147994086</v>
      </c>
      <c r="G56" s="52" t="inlineStr">
        <is>
          <t>Non-binary</t>
        </is>
      </c>
      <c r="H56" s="52" t="n">
        <v>33</v>
      </c>
      <c r="I56" s="52" t="n">
        <v>61</v>
      </c>
      <c r="J56" s="52" t="n">
        <v>22</v>
      </c>
      <c r="K56" s="52" t="n">
        <v>3</v>
      </c>
      <c r="L56" s="52" t="inlineStr">
        <is>
          <t>Carrier B</t>
        </is>
      </c>
      <c r="M56" s="109" t="n">
        <v>4.30510347128764</v>
      </c>
      <c r="N56" s="52" t="inlineStr">
        <is>
          <t>Supplier 1</t>
        </is>
      </c>
      <c r="O56" s="52" t="inlineStr">
        <is>
          <t>Kolkata</t>
        </is>
      </c>
      <c r="P56" s="52" t="n">
        <v>26</v>
      </c>
      <c r="Q56" s="52" t="n">
        <v>497</v>
      </c>
      <c r="R56" s="52" t="n">
        <v>29</v>
      </c>
      <c r="S56" s="109" t="n">
        <v>30.1860233758225</v>
      </c>
      <c r="T56" s="52" t="inlineStr">
        <is>
          <t>Pass</t>
        </is>
      </c>
      <c r="U56" s="110" t="n">
        <v>2.47877197553975</v>
      </c>
      <c r="V56" s="52" t="inlineStr">
        <is>
          <t>Road</t>
        </is>
      </c>
      <c r="W56" s="52" t="inlineStr">
        <is>
          <t>Route B</t>
        </is>
      </c>
      <c r="X56" s="109" t="n">
        <v>814.069996582188</v>
      </c>
      <c r="Y56" s="111">
        <f>IFERROR(H56/I56,0)</f>
        <v/>
      </c>
      <c r="Z56" s="52">
        <f>IF(H56=0,"STOCKOUT",IF(Y56&gt;=1.933,"Overstocked",IF(Y56&lt;=0.3889,"Understocked","Healthy")))</f>
        <v/>
      </c>
      <c r="AA56" s="52">
        <f>IF(K56&gt;8,"Delayed","On Time")</f>
        <v/>
      </c>
      <c r="AB56" s="52">
        <f>MAX(0,K56-8)</f>
        <v/>
      </c>
      <c r="AC56" s="111">
        <f>IF(T56="Pass",2,IF(T56="Pending",1,0))-(U56/5)</f>
        <v/>
      </c>
      <c r="AD56" s="109">
        <f>IFERROR(X56/E56*1000,0)</f>
        <v/>
      </c>
    </row>
    <row r="57" ht="15" customHeight="1" s="53">
      <c r="A57" s="52" t="inlineStr">
        <is>
          <t>SKU55</t>
        </is>
      </c>
      <c r="B57" s="52" t="inlineStr">
        <is>
          <t>haircare</t>
        </is>
      </c>
      <c r="C57" s="109" t="n">
        <v>79.8550583407894</v>
      </c>
      <c r="D57" s="52" t="n">
        <v>16</v>
      </c>
      <c r="E57" s="52" t="n">
        <v>701</v>
      </c>
      <c r="F57" s="109" t="n">
        <v>2925.67517030381</v>
      </c>
      <c r="G57" s="52" t="inlineStr">
        <is>
          <t>Male</t>
        </is>
      </c>
      <c r="H57" s="52" t="n">
        <v>97</v>
      </c>
      <c r="I57" s="52" t="n">
        <v>11</v>
      </c>
      <c r="J57" s="52" t="n">
        <v>11</v>
      </c>
      <c r="K57" s="52" t="n">
        <v>5</v>
      </c>
      <c r="L57" s="52" t="inlineStr">
        <is>
          <t>Carrier A</t>
        </is>
      </c>
      <c r="M57" s="109" t="n">
        <v>5.01436495503091</v>
      </c>
      <c r="N57" s="52" t="inlineStr">
        <is>
          <t>Supplier 2</t>
        </is>
      </c>
      <c r="O57" s="52" t="inlineStr">
        <is>
          <t>Delhi</t>
        </is>
      </c>
      <c r="P57" s="52" t="n">
        <v>27</v>
      </c>
      <c r="Q57" s="52" t="n">
        <v>918</v>
      </c>
      <c r="R57" s="52" t="n">
        <v>5</v>
      </c>
      <c r="S57" s="109" t="n">
        <v>30.3235452566165</v>
      </c>
      <c r="T57" s="52" t="inlineStr">
        <is>
          <t>Fail</t>
        </is>
      </c>
      <c r="U57" s="110" t="n">
        <v>4.54891965939639</v>
      </c>
      <c r="V57" s="52" t="inlineStr">
        <is>
          <t>Sea</t>
        </is>
      </c>
      <c r="W57" s="52" t="inlineStr">
        <is>
          <t>Route B</t>
        </is>
      </c>
      <c r="X57" s="109" t="n">
        <v>323.012927952479</v>
      </c>
      <c r="Y57" s="111">
        <f>IFERROR(H57/I57,0)</f>
        <v/>
      </c>
      <c r="Z57" s="52">
        <f>IF(H57=0,"STOCKOUT",IF(Y57&gt;=1.933,"Overstocked",IF(Y57&lt;=0.3889,"Understocked","Healthy")))</f>
        <v/>
      </c>
      <c r="AA57" s="52">
        <f>IF(K57&gt;8,"Delayed","On Time")</f>
        <v/>
      </c>
      <c r="AB57" s="52">
        <f>MAX(0,K57-8)</f>
        <v/>
      </c>
      <c r="AC57" s="111">
        <f>IF(T57="Pass",2,IF(T57="Pending",1,0))-(U57/5)</f>
        <v/>
      </c>
      <c r="AD57" s="109">
        <f>IFERROR(X57/E57*1000,0)</f>
        <v/>
      </c>
    </row>
    <row r="58" ht="15" customHeight="1" s="53">
      <c r="A58" s="52" t="inlineStr">
        <is>
          <t>SKU56</t>
        </is>
      </c>
      <c r="B58" s="52" t="inlineStr">
        <is>
          <t>skincare</t>
        </is>
      </c>
      <c r="C58" s="109" t="n">
        <v>20.9863860370434</v>
      </c>
      <c r="D58" s="52" t="n">
        <v>90</v>
      </c>
      <c r="E58" s="52" t="n">
        <v>93</v>
      </c>
      <c r="F58" s="109" t="n">
        <v>4767.02048434414</v>
      </c>
      <c r="G58" s="52" t="inlineStr">
        <is>
          <t>Non-binary</t>
        </is>
      </c>
      <c r="H58" s="52" t="n">
        <v>25</v>
      </c>
      <c r="I58" s="52" t="n">
        <v>83</v>
      </c>
      <c r="J58" s="52" t="n">
        <v>23</v>
      </c>
      <c r="K58" s="52" t="n">
        <v>5</v>
      </c>
      <c r="L58" s="52" t="inlineStr">
        <is>
          <t>Carrier C</t>
        </is>
      </c>
      <c r="M58" s="109" t="n">
        <v>1.77442971407174</v>
      </c>
      <c r="N58" s="52" t="inlineStr">
        <is>
          <t>Supplier 1</t>
        </is>
      </c>
      <c r="O58" s="52" t="inlineStr">
        <is>
          <t>Mumbai</t>
        </is>
      </c>
      <c r="P58" s="52" t="n">
        <v>24</v>
      </c>
      <c r="Q58" s="52" t="n">
        <v>826</v>
      </c>
      <c r="R58" s="52" t="n">
        <v>28</v>
      </c>
      <c r="S58" s="109" t="n">
        <v>12.8362845728328</v>
      </c>
      <c r="T58" s="52" t="inlineStr">
        <is>
          <t>Pass</t>
        </is>
      </c>
      <c r="U58" s="110" t="n">
        <v>1.17375549538745</v>
      </c>
      <c r="V58" s="52" t="inlineStr">
        <is>
          <t>Air</t>
        </is>
      </c>
      <c r="W58" s="52" t="inlineStr">
        <is>
          <t>Route B</t>
        </is>
      </c>
      <c r="X58" s="109" t="n">
        <v>832.210808706022</v>
      </c>
      <c r="Y58" s="111">
        <f>IFERROR(H58/I58,0)</f>
        <v/>
      </c>
      <c r="Z58" s="52">
        <f>IF(H58=0,"STOCKOUT",IF(Y58&gt;=1.933,"Overstocked",IF(Y58&lt;=0.3889,"Understocked","Healthy")))</f>
        <v/>
      </c>
      <c r="AA58" s="52">
        <f>IF(K58&gt;8,"Delayed","On Time")</f>
        <v/>
      </c>
      <c r="AB58" s="52">
        <f>MAX(0,K58-8)</f>
        <v/>
      </c>
      <c r="AC58" s="111">
        <f>IF(T58="Pass",2,IF(T58="Pending",1,0))-(U58/5)</f>
        <v/>
      </c>
      <c r="AD58" s="109">
        <f>IFERROR(X58/E58*1000,0)</f>
        <v/>
      </c>
    </row>
    <row r="59" ht="15" customHeight="1" s="53">
      <c r="A59" s="52" t="inlineStr">
        <is>
          <t>SKU57</t>
        </is>
      </c>
      <c r="B59" s="52" t="inlineStr">
        <is>
          <t>haircare</t>
        </is>
      </c>
      <c r="C59" s="109" t="n">
        <v>49.2632053507342</v>
      </c>
      <c r="D59" s="52" t="n">
        <v>65</v>
      </c>
      <c r="E59" s="52" t="n">
        <v>227</v>
      </c>
      <c r="F59" s="109" t="n">
        <v>1605.86690039241</v>
      </c>
      <c r="G59" s="52" t="inlineStr">
        <is>
          <t>Unknown</t>
        </is>
      </c>
      <c r="H59" s="52" t="n">
        <v>5</v>
      </c>
      <c r="I59" s="52" t="n">
        <v>51</v>
      </c>
      <c r="J59" s="52" t="n">
        <v>18</v>
      </c>
      <c r="K59" s="52" t="n">
        <v>1</v>
      </c>
      <c r="L59" s="52" t="inlineStr">
        <is>
          <t>Carrier B</t>
        </is>
      </c>
      <c r="M59" s="109" t="n">
        <v>9.16055853538187</v>
      </c>
      <c r="N59" s="52" t="inlineStr">
        <is>
          <t>Supplier 2</t>
        </is>
      </c>
      <c r="O59" s="52" t="inlineStr">
        <is>
          <t>Delhi</t>
        </is>
      </c>
      <c r="P59" s="52" t="n">
        <v>21</v>
      </c>
      <c r="Q59" s="52" t="n">
        <v>588</v>
      </c>
      <c r="R59" s="52" t="n">
        <v>25</v>
      </c>
      <c r="S59" s="109" t="n">
        <v>67.7796229870781</v>
      </c>
      <c r="T59" s="52" t="inlineStr">
        <is>
          <t>Pending</t>
        </is>
      </c>
      <c r="U59" s="110" t="n">
        <v>2.51117483021271</v>
      </c>
      <c r="V59" s="52" t="inlineStr">
        <is>
          <t>Rail</t>
        </is>
      </c>
      <c r="W59" s="52" t="inlineStr">
        <is>
          <t>Route A</t>
        </is>
      </c>
      <c r="X59" s="109" t="n">
        <v>482.191238602528</v>
      </c>
      <c r="Y59" s="111">
        <f>IFERROR(H59/I59,0)</f>
        <v/>
      </c>
      <c r="Z59" s="52">
        <f>IF(H59=0,"STOCKOUT",IF(Y59&gt;=1.933,"Overstocked",IF(Y59&lt;=0.3889,"Understocked","Healthy")))</f>
        <v/>
      </c>
      <c r="AA59" s="52">
        <f>IF(K59&gt;8,"Delayed","On Time")</f>
        <v/>
      </c>
      <c r="AB59" s="52">
        <f>MAX(0,K59-8)</f>
        <v/>
      </c>
      <c r="AC59" s="111">
        <f>IF(T59="Pass",2,IF(T59="Pending",1,0))-(U59/5)</f>
        <v/>
      </c>
      <c r="AD59" s="109">
        <f>IFERROR(X59/E59*1000,0)</f>
        <v/>
      </c>
    </row>
    <row r="60" ht="15" customHeight="1" s="53">
      <c r="A60" s="52" t="inlineStr">
        <is>
          <t>SKU58</t>
        </is>
      </c>
      <c r="B60" s="52" t="inlineStr">
        <is>
          <t>skincare</t>
        </is>
      </c>
      <c r="C60" s="109" t="n">
        <v>59.8415613772893</v>
      </c>
      <c r="D60" s="52" t="n">
        <v>81</v>
      </c>
      <c r="E60" s="52" t="n">
        <v>896</v>
      </c>
      <c r="F60" s="109" t="n">
        <v>2021.14981033711</v>
      </c>
      <c r="G60" s="52" t="inlineStr">
        <is>
          <t>Non-binary</t>
        </is>
      </c>
      <c r="H60" s="52" t="n">
        <v>10</v>
      </c>
      <c r="I60" s="52" t="n">
        <v>44</v>
      </c>
      <c r="J60" s="52" t="n">
        <v>5</v>
      </c>
      <c r="K60" s="52" t="n">
        <v>7</v>
      </c>
      <c r="L60" s="52" t="inlineStr">
        <is>
          <t>Carrier A</t>
        </is>
      </c>
      <c r="M60" s="109" t="n">
        <v>4.93843856471209</v>
      </c>
      <c r="N60" s="52" t="inlineStr">
        <is>
          <t>Supplier 3</t>
        </is>
      </c>
      <c r="O60" s="52" t="inlineStr">
        <is>
          <t>Delhi</t>
        </is>
      </c>
      <c r="P60" s="52" t="n">
        <v>18</v>
      </c>
      <c r="Q60" s="52" t="n">
        <v>396</v>
      </c>
      <c r="R60" s="52" t="n">
        <v>7</v>
      </c>
      <c r="S60" s="109" t="n">
        <v>65.0474150946915</v>
      </c>
      <c r="T60" s="52" t="inlineStr">
        <is>
          <t>Fail</t>
        </is>
      </c>
      <c r="U60" s="110" t="n">
        <v>1.7303747198592</v>
      </c>
      <c r="V60" s="52" t="inlineStr">
        <is>
          <t>Road</t>
        </is>
      </c>
      <c r="W60" s="52" t="inlineStr">
        <is>
          <t>Route B</t>
        </is>
      </c>
      <c r="X60" s="109" t="n">
        <v>110.364335231365</v>
      </c>
      <c r="Y60" s="111">
        <f>IFERROR(H60/I60,0)</f>
        <v/>
      </c>
      <c r="Z60" s="52">
        <f>IF(H60=0,"STOCKOUT",IF(Y60&gt;=1.933,"Overstocked",IF(Y60&lt;=0.3889,"Understocked","Healthy")))</f>
        <v/>
      </c>
      <c r="AA60" s="52">
        <f>IF(K60&gt;8,"Delayed","On Time")</f>
        <v/>
      </c>
      <c r="AB60" s="52">
        <f>MAX(0,K60-8)</f>
        <v/>
      </c>
      <c r="AC60" s="111">
        <f>IF(T60="Pass",2,IF(T60="Pending",1,0))-(U60/5)</f>
        <v/>
      </c>
      <c r="AD60" s="109">
        <f>IFERROR(X60/E60*1000,0)</f>
        <v/>
      </c>
    </row>
    <row r="61" ht="15" customHeight="1" s="53">
      <c r="A61" s="52" t="inlineStr">
        <is>
          <t>SKU59</t>
        </is>
      </c>
      <c r="B61" s="52" t="inlineStr">
        <is>
          <t>cosmetics</t>
        </is>
      </c>
      <c r="C61" s="109" t="n">
        <v>63.828398347711</v>
      </c>
      <c r="D61" s="52" t="n">
        <v>30</v>
      </c>
      <c r="E61" s="52" t="n">
        <v>484</v>
      </c>
      <c r="F61" s="109" t="n">
        <v>1061.61852301329</v>
      </c>
      <c r="G61" s="52" t="inlineStr">
        <is>
          <t>Non-binary</t>
        </is>
      </c>
      <c r="H61" s="52" t="n">
        <v>100</v>
      </c>
      <c r="I61" s="52" t="n">
        <v>26</v>
      </c>
      <c r="J61" s="52" t="n">
        <v>16</v>
      </c>
      <c r="K61" s="52" t="n">
        <v>7</v>
      </c>
      <c r="L61" s="52" t="inlineStr">
        <is>
          <t>Carrier B</t>
        </is>
      </c>
      <c r="M61" s="109" t="n">
        <v>7.29372259686773</v>
      </c>
      <c r="N61" s="52" t="inlineStr">
        <is>
          <t>Supplier 1</t>
        </is>
      </c>
      <c r="O61" s="52" t="inlineStr">
        <is>
          <t>Kolkata</t>
        </is>
      </c>
      <c r="P61" s="52" t="n">
        <v>11</v>
      </c>
      <c r="Q61" s="52" t="n">
        <v>176</v>
      </c>
      <c r="R61" s="52" t="n">
        <v>4</v>
      </c>
      <c r="S61" s="109" t="n">
        <v>1.90076224351946</v>
      </c>
      <c r="T61" s="52" t="inlineStr">
        <is>
          <t>Fail</t>
        </is>
      </c>
      <c r="U61" s="110" t="n">
        <v>0.447194015463823</v>
      </c>
      <c r="V61" s="52" t="inlineStr">
        <is>
          <t>Air</t>
        </is>
      </c>
      <c r="W61" s="52" t="inlineStr">
        <is>
          <t>Route A</t>
        </is>
      </c>
      <c r="X61" s="109" t="n">
        <v>312.574273610093</v>
      </c>
      <c r="Y61" s="111">
        <f>IFERROR(H61/I61,0)</f>
        <v/>
      </c>
      <c r="Z61" s="52">
        <f>IF(H61=0,"STOCKOUT",IF(Y61&gt;=1.933,"Overstocked",IF(Y61&lt;=0.3889,"Understocked","Healthy")))</f>
        <v/>
      </c>
      <c r="AA61" s="52">
        <f>IF(K61&gt;8,"Delayed","On Time")</f>
        <v/>
      </c>
      <c r="AB61" s="52">
        <f>MAX(0,K61-8)</f>
        <v/>
      </c>
      <c r="AC61" s="111">
        <f>IF(T61="Pass",2,IF(T61="Pending",1,0))-(U61/5)</f>
        <v/>
      </c>
      <c r="AD61" s="109">
        <f>IFERROR(X61/E61*1000,0)</f>
        <v/>
      </c>
    </row>
    <row r="62" ht="15" customHeight="1" s="53">
      <c r="A62" s="52" t="inlineStr">
        <is>
          <t>SKU60</t>
        </is>
      </c>
      <c r="B62" s="52" t="inlineStr">
        <is>
          <t>skincare</t>
        </is>
      </c>
      <c r="C62" s="109" t="n">
        <v>17.0280279201887</v>
      </c>
      <c r="D62" s="52" t="n">
        <v>16</v>
      </c>
      <c r="E62" s="52" t="n">
        <v>380</v>
      </c>
      <c r="F62" s="109" t="n">
        <v>8864.084349586439</v>
      </c>
      <c r="G62" s="52" t="inlineStr">
        <is>
          <t>Female</t>
        </is>
      </c>
      <c r="H62" s="52" t="n">
        <v>41</v>
      </c>
      <c r="I62" s="52" t="n">
        <v>72</v>
      </c>
      <c r="J62" s="52" t="n">
        <v>27</v>
      </c>
      <c r="K62" s="52" t="n">
        <v>8</v>
      </c>
      <c r="L62" s="52" t="inlineStr">
        <is>
          <t>Carrier C</t>
        </is>
      </c>
      <c r="M62" s="109" t="n">
        <v>4.38136815810232</v>
      </c>
      <c r="N62" s="52" t="inlineStr">
        <is>
          <t>Supplier 4</t>
        </is>
      </c>
      <c r="O62" s="52" t="inlineStr">
        <is>
          <t>Mumbai</t>
        </is>
      </c>
      <c r="P62" s="52" t="n">
        <v>29</v>
      </c>
      <c r="Q62" s="52" t="n">
        <v>929</v>
      </c>
      <c r="R62" s="52" t="n">
        <v>24</v>
      </c>
      <c r="S62" s="109" t="n">
        <v>87.2130578151357</v>
      </c>
      <c r="T62" s="52" t="inlineStr">
        <is>
          <t>Fail</t>
        </is>
      </c>
      <c r="U62" s="110" t="n">
        <v>2.85309061664905</v>
      </c>
      <c r="V62" s="52" t="inlineStr">
        <is>
          <t>Rail</t>
        </is>
      </c>
      <c r="W62" s="52" t="inlineStr">
        <is>
          <t>Route A</t>
        </is>
      </c>
      <c r="X62" s="109" t="n">
        <v>430.169096975137</v>
      </c>
      <c r="Y62" s="111">
        <f>IFERROR(H62/I62,0)</f>
        <v/>
      </c>
      <c r="Z62" s="52">
        <f>IF(H62=0,"STOCKOUT",IF(Y62&gt;=1.933,"Overstocked",IF(Y62&lt;=0.3889,"Understocked","Healthy")))</f>
        <v/>
      </c>
      <c r="AA62" s="52">
        <f>IF(K62&gt;8,"Delayed","On Time")</f>
        <v/>
      </c>
      <c r="AB62" s="52">
        <f>MAX(0,K62-8)</f>
        <v/>
      </c>
      <c r="AC62" s="111">
        <f>IF(T62="Pass",2,IF(T62="Pending",1,0))-(U62/5)</f>
        <v/>
      </c>
      <c r="AD62" s="109">
        <f>IFERROR(X62/E62*1000,0)</f>
        <v/>
      </c>
    </row>
    <row r="63" ht="15" customHeight="1" s="53">
      <c r="A63" s="52" t="inlineStr">
        <is>
          <t>SKU61</t>
        </is>
      </c>
      <c r="B63" s="52" t="inlineStr">
        <is>
          <t>haircare</t>
        </is>
      </c>
      <c r="C63" s="109" t="n">
        <v>52.0287499032949</v>
      </c>
      <c r="D63" s="52" t="n">
        <v>23</v>
      </c>
      <c r="E63" s="52" t="n">
        <v>117</v>
      </c>
      <c r="F63" s="109" t="n">
        <v>6885.58935089625</v>
      </c>
      <c r="G63" s="52" t="inlineStr">
        <is>
          <t>Unknown</t>
        </is>
      </c>
      <c r="H63" s="52" t="n">
        <v>32</v>
      </c>
      <c r="I63" s="52" t="n">
        <v>36</v>
      </c>
      <c r="J63" s="52" t="n">
        <v>23</v>
      </c>
      <c r="K63" s="52" t="n">
        <v>7</v>
      </c>
      <c r="L63" s="52" t="inlineStr">
        <is>
          <t>Carrier C</t>
        </is>
      </c>
      <c r="M63" s="109" t="n">
        <v>9.030340422521951</v>
      </c>
      <c r="N63" s="52" t="inlineStr">
        <is>
          <t>Supplier 4</t>
        </is>
      </c>
      <c r="O63" s="52" t="inlineStr">
        <is>
          <t>Kolkata</t>
        </is>
      </c>
      <c r="P63" s="52" t="n">
        <v>14</v>
      </c>
      <c r="Q63" s="52" t="n">
        <v>480</v>
      </c>
      <c r="R63" s="52" t="n">
        <v>12</v>
      </c>
      <c r="S63" s="109" t="n">
        <v>78.70239396887889</v>
      </c>
      <c r="T63" s="52" t="inlineStr">
        <is>
          <t>Fail</t>
        </is>
      </c>
      <c r="U63" s="110" t="n">
        <v>4.36747053820505</v>
      </c>
      <c r="V63" s="52" t="inlineStr">
        <is>
          <t>Air</t>
        </is>
      </c>
      <c r="W63" s="52" t="inlineStr">
        <is>
          <t>Route A</t>
        </is>
      </c>
      <c r="X63" s="109" t="n">
        <v>164.366528243419</v>
      </c>
      <c r="Y63" s="111">
        <f>IFERROR(H63/I63,0)</f>
        <v/>
      </c>
      <c r="Z63" s="52">
        <f>IF(H63=0,"STOCKOUT",IF(Y63&gt;=1.933,"Overstocked",IF(Y63&lt;=0.3889,"Understocked","Healthy")))</f>
        <v/>
      </c>
      <c r="AA63" s="52">
        <f>IF(K63&gt;8,"Delayed","On Time")</f>
        <v/>
      </c>
      <c r="AB63" s="52">
        <f>MAX(0,K63-8)</f>
        <v/>
      </c>
      <c r="AC63" s="111">
        <f>IF(T63="Pass",2,IF(T63="Pending",1,0))-(U63/5)</f>
        <v/>
      </c>
      <c r="AD63" s="109">
        <f>IFERROR(X63/E63*1000,0)</f>
        <v/>
      </c>
    </row>
    <row r="64" ht="15" customHeight="1" s="53">
      <c r="A64" s="52" t="inlineStr">
        <is>
          <t>SKU62</t>
        </is>
      </c>
      <c r="B64" s="52" t="inlineStr">
        <is>
          <t>cosmetics</t>
        </is>
      </c>
      <c r="C64" s="109" t="n">
        <v>72.79635395558741</v>
      </c>
      <c r="D64" s="52" t="n">
        <v>89</v>
      </c>
      <c r="E64" s="52" t="n">
        <v>270</v>
      </c>
      <c r="F64" s="109" t="n">
        <v>3899.74683372922</v>
      </c>
      <c r="G64" s="52" t="inlineStr">
        <is>
          <t>Unknown</t>
        </is>
      </c>
      <c r="H64" s="52" t="n">
        <v>86</v>
      </c>
      <c r="I64" s="52" t="n">
        <v>40</v>
      </c>
      <c r="J64" s="52" t="n">
        <v>2</v>
      </c>
      <c r="K64" s="52" t="n">
        <v>7</v>
      </c>
      <c r="L64" s="52" t="inlineStr">
        <is>
          <t>Carrier C</t>
        </is>
      </c>
      <c r="M64" s="109" t="n">
        <v>7.29170138877678</v>
      </c>
      <c r="N64" s="52" t="inlineStr">
        <is>
          <t>Supplier 2</t>
        </is>
      </c>
      <c r="O64" s="52" t="inlineStr">
        <is>
          <t>Mumbai</t>
        </is>
      </c>
      <c r="P64" s="52" t="n">
        <v>13</v>
      </c>
      <c r="Q64" s="52" t="n">
        <v>751</v>
      </c>
      <c r="R64" s="52" t="n">
        <v>14</v>
      </c>
      <c r="S64" s="109" t="n">
        <v>21.0486427251686</v>
      </c>
      <c r="T64" s="52" t="inlineStr">
        <is>
          <t>Pass</t>
        </is>
      </c>
      <c r="U64" s="110" t="n">
        <v>1.87400140404438</v>
      </c>
      <c r="V64" s="52" t="inlineStr">
        <is>
          <t>Sea</t>
        </is>
      </c>
      <c r="W64" s="52" t="inlineStr">
        <is>
          <t>Route C</t>
        </is>
      </c>
      <c r="X64" s="109" t="n">
        <v>320.846515759112</v>
      </c>
      <c r="Y64" s="111">
        <f>IFERROR(H64/I64,0)</f>
        <v/>
      </c>
      <c r="Z64" s="52">
        <f>IF(H64=0,"STOCKOUT",IF(Y64&gt;=1.933,"Overstocked",IF(Y64&lt;=0.3889,"Understocked","Healthy")))</f>
        <v/>
      </c>
      <c r="AA64" s="52">
        <f>IF(K64&gt;8,"Delayed","On Time")</f>
        <v/>
      </c>
      <c r="AB64" s="52">
        <f>MAX(0,K64-8)</f>
        <v/>
      </c>
      <c r="AC64" s="111">
        <f>IF(T64="Pass",2,IF(T64="Pending",1,0))-(U64/5)</f>
        <v/>
      </c>
      <c r="AD64" s="109">
        <f>IFERROR(X64/E64*1000,0)</f>
        <v/>
      </c>
    </row>
    <row r="65" ht="15" customHeight="1" s="53">
      <c r="A65" s="52" t="inlineStr">
        <is>
          <t>SKU63</t>
        </is>
      </c>
      <c r="B65" s="52" t="inlineStr">
        <is>
          <t>skincare</t>
        </is>
      </c>
      <c r="C65" s="109" t="n">
        <v>13.0173767852879</v>
      </c>
      <c r="D65" s="52" t="n">
        <v>55</v>
      </c>
      <c r="E65" s="52" t="n">
        <v>246</v>
      </c>
      <c r="F65" s="109" t="n">
        <v>4256.94914085023</v>
      </c>
      <c r="G65" s="52" t="inlineStr">
        <is>
          <t>Non-binary</t>
        </is>
      </c>
      <c r="H65" s="52" t="n">
        <v>54</v>
      </c>
      <c r="I65" s="52" t="n">
        <v>10</v>
      </c>
      <c r="J65" s="52" t="n">
        <v>19</v>
      </c>
      <c r="K65" s="52" t="n">
        <v>4</v>
      </c>
      <c r="L65" s="52" t="inlineStr">
        <is>
          <t>Carrier A</t>
        </is>
      </c>
      <c r="M65" s="109" t="n">
        <v>2.45793352798733</v>
      </c>
      <c r="N65" s="52" t="inlineStr">
        <is>
          <t>Supplier 3</t>
        </is>
      </c>
      <c r="O65" s="52" t="inlineStr">
        <is>
          <t>Bangalore</t>
        </is>
      </c>
      <c r="P65" s="52" t="n">
        <v>18</v>
      </c>
      <c r="Q65" s="52" t="n">
        <v>736</v>
      </c>
      <c r="R65" s="52" t="n">
        <v>10</v>
      </c>
      <c r="S65" s="109" t="n">
        <v>20.0750039756305</v>
      </c>
      <c r="T65" s="52" t="inlineStr">
        <is>
          <t>Pending</t>
        </is>
      </c>
      <c r="U65" s="110" t="n">
        <v>3.63284329038213</v>
      </c>
      <c r="V65" s="52" t="inlineStr">
        <is>
          <t>Sea</t>
        </is>
      </c>
      <c r="W65" s="52" t="inlineStr">
        <is>
          <t>Route A</t>
        </is>
      </c>
      <c r="X65" s="109" t="n">
        <v>687.286177866417</v>
      </c>
      <c r="Y65" s="111">
        <f>IFERROR(H65/I65,0)</f>
        <v/>
      </c>
      <c r="Z65" s="52">
        <f>IF(H65=0,"STOCKOUT",IF(Y65&gt;=1.933,"Overstocked",IF(Y65&lt;=0.3889,"Understocked","Healthy")))</f>
        <v/>
      </c>
      <c r="AA65" s="52">
        <f>IF(K65&gt;8,"Delayed","On Time")</f>
        <v/>
      </c>
      <c r="AB65" s="52">
        <f>MAX(0,K65-8)</f>
        <v/>
      </c>
      <c r="AC65" s="111">
        <f>IF(T65="Pass",2,IF(T65="Pending",1,0))-(U65/5)</f>
        <v/>
      </c>
      <c r="AD65" s="109">
        <f>IFERROR(X65/E65*1000,0)</f>
        <v/>
      </c>
    </row>
    <row r="66" ht="15" customHeight="1" s="53">
      <c r="A66" s="52" t="inlineStr">
        <is>
          <t>SKU64</t>
        </is>
      </c>
      <c r="B66" s="52" t="inlineStr">
        <is>
          <t>skincare</t>
        </is>
      </c>
      <c r="C66" s="109" t="n">
        <v>89.6340956081353</v>
      </c>
      <c r="D66" s="52" t="n">
        <v>11</v>
      </c>
      <c r="E66" s="52" t="n">
        <v>134</v>
      </c>
      <c r="F66" s="109" t="n">
        <v>8458.73087836718</v>
      </c>
      <c r="G66" s="52" t="inlineStr">
        <is>
          <t>Female</t>
        </is>
      </c>
      <c r="H66" s="52" t="n">
        <v>73</v>
      </c>
      <c r="I66" s="52" t="n">
        <v>75</v>
      </c>
      <c r="J66" s="52" t="n">
        <v>27</v>
      </c>
      <c r="K66" s="52" t="n">
        <v>6</v>
      </c>
      <c r="L66" s="52" t="inlineStr">
        <is>
          <t>Carrier C</t>
        </is>
      </c>
      <c r="M66" s="109" t="n">
        <v>4.58535346819465</v>
      </c>
      <c r="N66" s="52" t="inlineStr">
        <is>
          <t>Supplier 1</t>
        </is>
      </c>
      <c r="O66" s="52" t="inlineStr">
        <is>
          <t>Delhi</t>
        </is>
      </c>
      <c r="P66" s="52" t="n">
        <v>17</v>
      </c>
      <c r="Q66" s="52" t="n">
        <v>328</v>
      </c>
      <c r="R66" s="52" t="n">
        <v>6</v>
      </c>
      <c r="S66" s="109" t="n">
        <v>8.693042425877289</v>
      </c>
      <c r="T66" s="52" t="inlineStr">
        <is>
          <t>Fail</t>
        </is>
      </c>
      <c r="U66" s="110" t="n">
        <v>0.159486314717515</v>
      </c>
      <c r="V66" s="52" t="inlineStr">
        <is>
          <t>Air</t>
        </is>
      </c>
      <c r="W66" s="52" t="inlineStr">
        <is>
          <t>Route C</t>
        </is>
      </c>
      <c r="X66" s="109" t="n">
        <v>771.225084681158</v>
      </c>
      <c r="Y66" s="111">
        <f>IFERROR(H66/I66,0)</f>
        <v/>
      </c>
      <c r="Z66" s="52">
        <f>IF(H66=0,"STOCKOUT",IF(Y66&gt;=1.933,"Overstocked",IF(Y66&lt;=0.3889,"Understocked","Healthy")))</f>
        <v/>
      </c>
      <c r="AA66" s="52">
        <f>IF(K66&gt;8,"Delayed","On Time")</f>
        <v/>
      </c>
      <c r="AB66" s="52">
        <f>MAX(0,K66-8)</f>
        <v/>
      </c>
      <c r="AC66" s="111">
        <f>IF(T66="Pass",2,IF(T66="Pending",1,0))-(U66/5)</f>
        <v/>
      </c>
      <c r="AD66" s="109">
        <f>IFERROR(X66/E66*1000,0)</f>
        <v/>
      </c>
    </row>
    <row r="67" ht="15" customHeight="1" s="53">
      <c r="A67" s="52" t="inlineStr">
        <is>
          <t>SKU65</t>
        </is>
      </c>
      <c r="B67" s="52" t="inlineStr">
        <is>
          <t>skincare</t>
        </is>
      </c>
      <c r="C67" s="109" t="n">
        <v>33.6977172066431</v>
      </c>
      <c r="D67" s="52" t="n">
        <v>72</v>
      </c>
      <c r="E67" s="52" t="n">
        <v>457</v>
      </c>
      <c r="F67" s="109" t="n">
        <v>8354.579686482</v>
      </c>
      <c r="G67" s="52" t="inlineStr">
        <is>
          <t>Male</t>
        </is>
      </c>
      <c r="H67" s="52" t="n">
        <v>57</v>
      </c>
      <c r="I67" s="52" t="n">
        <v>54</v>
      </c>
      <c r="J67" s="52" t="n">
        <v>24</v>
      </c>
      <c r="K67" s="52" t="n">
        <v>8</v>
      </c>
      <c r="L67" s="52" t="inlineStr">
        <is>
          <t>Carrier C</t>
        </is>
      </c>
      <c r="M67" s="109" t="n">
        <v>6.5805413478846</v>
      </c>
      <c r="N67" s="52" t="inlineStr">
        <is>
          <t>Supplier 5</t>
        </is>
      </c>
      <c r="O67" s="52" t="inlineStr">
        <is>
          <t>Kolkata</t>
        </is>
      </c>
      <c r="P67" s="52" t="n">
        <v>16</v>
      </c>
      <c r="Q67" s="52" t="n">
        <v>358</v>
      </c>
      <c r="R67" s="52" t="n">
        <v>21</v>
      </c>
      <c r="S67" s="109" t="n">
        <v>1.59722274305068</v>
      </c>
      <c r="T67" s="52" t="inlineStr">
        <is>
          <t>Fail</t>
        </is>
      </c>
      <c r="U67" s="110" t="n">
        <v>4.91109595484233</v>
      </c>
      <c r="V67" s="52" t="inlineStr">
        <is>
          <t>Rail</t>
        </is>
      </c>
      <c r="W67" s="52" t="inlineStr">
        <is>
          <t>Route C</t>
        </is>
      </c>
      <c r="X67" s="109" t="n">
        <v>555.859103671744</v>
      </c>
      <c r="Y67" s="111">
        <f>IFERROR(H67/I67,0)</f>
        <v/>
      </c>
      <c r="Z67" s="52">
        <f>IF(H67=0,"STOCKOUT",IF(Y67&gt;=1.933,"Overstocked",IF(Y67&lt;=0.3889,"Understocked","Healthy")))</f>
        <v/>
      </c>
      <c r="AA67" s="52">
        <f>IF(K67&gt;8,"Delayed","On Time")</f>
        <v/>
      </c>
      <c r="AB67" s="52">
        <f>MAX(0,K67-8)</f>
        <v/>
      </c>
      <c r="AC67" s="111">
        <f>IF(T67="Pass",2,IF(T67="Pending",1,0))-(U67/5)</f>
        <v/>
      </c>
      <c r="AD67" s="109">
        <f>IFERROR(X67/E67*1000,0)</f>
        <v/>
      </c>
    </row>
    <row r="68" ht="15" customHeight="1" s="53">
      <c r="A68" s="52" t="inlineStr">
        <is>
          <t>SKU66</t>
        </is>
      </c>
      <c r="B68" s="52" t="inlineStr">
        <is>
          <t>skincare</t>
        </is>
      </c>
      <c r="C68" s="109" t="n">
        <v>26.0348697739621</v>
      </c>
      <c r="D68" s="52" t="n">
        <v>52</v>
      </c>
      <c r="E68" s="52" t="n">
        <v>704</v>
      </c>
      <c r="F68" s="109" t="n">
        <v>8367.72161802015</v>
      </c>
      <c r="G68" s="52" t="inlineStr">
        <is>
          <t>Female</t>
        </is>
      </c>
      <c r="H68" s="52" t="n">
        <v>13</v>
      </c>
      <c r="I68" s="52" t="n">
        <v>19</v>
      </c>
      <c r="J68" s="52" t="n">
        <v>17</v>
      </c>
      <c r="K68" s="52" t="n">
        <v>8</v>
      </c>
      <c r="L68" s="52" t="inlineStr">
        <is>
          <t>Carrier A</t>
        </is>
      </c>
      <c r="M68" s="109" t="n">
        <v>2.21614272877136</v>
      </c>
      <c r="N68" s="52" t="inlineStr">
        <is>
          <t>Supplier 5</t>
        </is>
      </c>
      <c r="O68" s="52" t="inlineStr">
        <is>
          <t>Kolkata</t>
        </is>
      </c>
      <c r="P68" s="52" t="n">
        <v>24</v>
      </c>
      <c r="Q68" s="52" t="n">
        <v>867</v>
      </c>
      <c r="R68" s="52" t="n">
        <v>28</v>
      </c>
      <c r="S68" s="109" t="n">
        <v>42.08443673831</v>
      </c>
      <c r="T68" s="52" t="inlineStr">
        <is>
          <t>Fail</t>
        </is>
      </c>
      <c r="U68" s="110" t="n">
        <v>3.44806328834026</v>
      </c>
      <c r="V68" s="52" t="inlineStr">
        <is>
          <t>Road</t>
        </is>
      </c>
      <c r="W68" s="52" t="inlineStr">
        <is>
          <t>Route A</t>
        </is>
      </c>
      <c r="X68" s="109" t="n">
        <v>393.843348578428</v>
      </c>
      <c r="Y68" s="111">
        <f>IFERROR(H68/I68,0)</f>
        <v/>
      </c>
      <c r="Z68" s="52">
        <f>IF(H68=0,"STOCKOUT",IF(Y68&gt;=1.933,"Overstocked",IF(Y68&lt;=0.3889,"Understocked","Healthy")))</f>
        <v/>
      </c>
      <c r="AA68" s="52">
        <f>IF(K68&gt;8,"Delayed","On Time")</f>
        <v/>
      </c>
      <c r="AB68" s="52">
        <f>MAX(0,K68-8)</f>
        <v/>
      </c>
      <c r="AC68" s="111">
        <f>IF(T68="Pass",2,IF(T68="Pending",1,0))-(U68/5)</f>
        <v/>
      </c>
      <c r="AD68" s="109">
        <f>IFERROR(X68/E68*1000,0)</f>
        <v/>
      </c>
    </row>
    <row r="69" ht="15" customHeight="1" s="53">
      <c r="A69" s="52" t="inlineStr">
        <is>
          <t>SKU67</t>
        </is>
      </c>
      <c r="B69" s="52" t="inlineStr">
        <is>
          <t>skincare</t>
        </is>
      </c>
      <c r="C69" s="109" t="n">
        <v>87.7554323540011</v>
      </c>
      <c r="D69" s="52" t="n">
        <v>16</v>
      </c>
      <c r="E69" s="52" t="n">
        <v>513</v>
      </c>
      <c r="F69" s="109" t="n">
        <v>9473.798032508341</v>
      </c>
      <c r="G69" s="52" t="inlineStr">
        <is>
          <t>Unknown</t>
        </is>
      </c>
      <c r="H69" s="52" t="n">
        <v>12</v>
      </c>
      <c r="I69" s="52" t="n">
        <v>71</v>
      </c>
      <c r="J69" s="52" t="n">
        <v>9</v>
      </c>
      <c r="K69" s="52" t="n">
        <v>9</v>
      </c>
      <c r="L69" s="52" t="inlineStr">
        <is>
          <t>Carrier C</t>
        </is>
      </c>
      <c r="M69" s="109" t="n">
        <v>9.147811544710629</v>
      </c>
      <c r="N69" s="52" t="inlineStr">
        <is>
          <t>Supplier 1</t>
        </is>
      </c>
      <c r="O69" s="52" t="inlineStr">
        <is>
          <t>Mumbai</t>
        </is>
      </c>
      <c r="P69" s="52" t="n">
        <v>10</v>
      </c>
      <c r="Q69" s="52" t="n">
        <v>198</v>
      </c>
      <c r="R69" s="52" t="n">
        <v>11</v>
      </c>
      <c r="S69" s="109" t="n">
        <v>7.05787614697823</v>
      </c>
      <c r="T69" s="52" t="inlineStr">
        <is>
          <t>Pass</t>
        </is>
      </c>
      <c r="U69" s="110" t="n">
        <v>0.131955444311815</v>
      </c>
      <c r="V69" s="52" t="inlineStr">
        <is>
          <t>Sea</t>
        </is>
      </c>
      <c r="W69" s="52" t="inlineStr">
        <is>
          <t>Route C</t>
        </is>
      </c>
      <c r="X69" s="109" t="n">
        <v>169.271801384787</v>
      </c>
      <c r="Y69" s="111">
        <f>IFERROR(H69/I69,0)</f>
        <v/>
      </c>
      <c r="Z69" s="52">
        <f>IF(H69=0,"STOCKOUT",IF(Y69&gt;=1.933,"Overstocked",IF(Y69&lt;=0.3889,"Understocked","Healthy")))</f>
        <v/>
      </c>
      <c r="AA69" s="52">
        <f>IF(K69&gt;8,"Delayed","On Time")</f>
        <v/>
      </c>
      <c r="AB69" s="52">
        <f>MAX(0,K69-8)</f>
        <v/>
      </c>
      <c r="AC69" s="111">
        <f>IF(T69="Pass",2,IF(T69="Pending",1,0))-(U69/5)</f>
        <v/>
      </c>
      <c r="AD69" s="109">
        <f>IFERROR(X69/E69*1000,0)</f>
        <v/>
      </c>
    </row>
    <row r="70" ht="15" customHeight="1" s="53">
      <c r="A70" s="52" t="inlineStr">
        <is>
          <t>SKU68</t>
        </is>
      </c>
      <c r="B70" s="52" t="inlineStr">
        <is>
          <t>haircare</t>
        </is>
      </c>
      <c r="C70" s="109" t="n">
        <v>37.9318123827903</v>
      </c>
      <c r="D70" s="52" t="n">
        <v>29</v>
      </c>
      <c r="E70" s="52" t="n">
        <v>163</v>
      </c>
      <c r="F70" s="109" t="n">
        <v>3550.21843278099</v>
      </c>
      <c r="G70" s="52" t="inlineStr">
        <is>
          <t>Non-binary</t>
        </is>
      </c>
      <c r="H70" s="52" t="n">
        <v>0</v>
      </c>
      <c r="I70" s="52" t="n">
        <v>58</v>
      </c>
      <c r="J70" s="52" t="n">
        <v>8</v>
      </c>
      <c r="K70" s="52" t="n">
        <v>8</v>
      </c>
      <c r="L70" s="52" t="inlineStr">
        <is>
          <t>Carrier B</t>
        </is>
      </c>
      <c r="M70" s="109" t="n">
        <v>1.194251864885</v>
      </c>
      <c r="N70" s="52" t="inlineStr">
        <is>
          <t>Supplier 2</t>
        </is>
      </c>
      <c r="O70" s="52" t="inlineStr">
        <is>
          <t>Bangalore</t>
        </is>
      </c>
      <c r="P70" s="52" t="n">
        <v>2</v>
      </c>
      <c r="Q70" s="52" t="n">
        <v>375</v>
      </c>
      <c r="R70" s="52" t="n">
        <v>18</v>
      </c>
      <c r="S70" s="109" t="n">
        <v>97.1135815634622</v>
      </c>
      <c r="T70" s="52" t="inlineStr">
        <is>
          <t>Fail</t>
        </is>
      </c>
      <c r="U70" s="110" t="n">
        <v>1.98346787217418</v>
      </c>
      <c r="V70" s="52" t="inlineStr">
        <is>
          <t>Rail</t>
        </is>
      </c>
      <c r="W70" s="52" t="inlineStr">
        <is>
          <t>Route A</t>
        </is>
      </c>
      <c r="X70" s="109" t="n">
        <v>299.706303118103</v>
      </c>
      <c r="Y70" s="111">
        <f>IFERROR(H70/I70,0)</f>
        <v/>
      </c>
      <c r="Z70" s="52">
        <f>IF(H70=0,"STOCKOUT",IF(Y70&gt;=1.933,"Overstocked",IF(Y70&lt;=0.3889,"Understocked","Healthy")))</f>
        <v/>
      </c>
      <c r="AA70" s="52">
        <f>IF(K70&gt;8,"Delayed","On Time")</f>
        <v/>
      </c>
      <c r="AB70" s="52">
        <f>MAX(0,K70-8)</f>
        <v/>
      </c>
      <c r="AC70" s="111">
        <f>IF(T70="Pass",2,IF(T70="Pending",1,0))-(U70/5)</f>
        <v/>
      </c>
      <c r="AD70" s="109">
        <f>IFERROR(X70/E70*1000,0)</f>
        <v/>
      </c>
    </row>
    <row r="71" ht="15" customHeight="1" s="53">
      <c r="A71" s="52" t="inlineStr">
        <is>
          <t>SKU69</t>
        </is>
      </c>
      <c r="B71" s="52" t="inlineStr">
        <is>
          <t>skincare</t>
        </is>
      </c>
      <c r="C71" s="109" t="n">
        <v>54.8655285170698</v>
      </c>
      <c r="D71" s="52" t="n">
        <v>62</v>
      </c>
      <c r="E71" s="52" t="n">
        <v>511</v>
      </c>
      <c r="F71" s="109" t="n">
        <v>1752.38108748413</v>
      </c>
      <c r="G71" s="52" t="inlineStr">
        <is>
          <t>Non-binary</t>
        </is>
      </c>
      <c r="H71" s="52" t="n">
        <v>95</v>
      </c>
      <c r="I71" s="52" t="n">
        <v>27</v>
      </c>
      <c r="J71" s="52" t="n">
        <v>1</v>
      </c>
      <c r="K71" s="52" t="n">
        <v>3</v>
      </c>
      <c r="L71" s="52" t="inlineStr">
        <is>
          <t>Carrier B</t>
        </is>
      </c>
      <c r="M71" s="109" t="n">
        <v>9.705286790120351</v>
      </c>
      <c r="N71" s="52" t="inlineStr">
        <is>
          <t>Supplier 4</t>
        </is>
      </c>
      <c r="O71" s="52" t="inlineStr">
        <is>
          <t>Kolkata</t>
        </is>
      </c>
      <c r="P71" s="52" t="n">
        <v>9</v>
      </c>
      <c r="Q71" s="52" t="n">
        <v>862</v>
      </c>
      <c r="R71" s="52" t="n">
        <v>7</v>
      </c>
      <c r="S71" s="109" t="n">
        <v>77.62776581274819</v>
      </c>
      <c r="T71" s="52" t="inlineStr">
        <is>
          <t>Pending</t>
        </is>
      </c>
      <c r="U71" s="110" t="n">
        <v>1.36238798864911</v>
      </c>
      <c r="V71" s="52" t="inlineStr">
        <is>
          <t>Air</t>
        </is>
      </c>
      <c r="W71" s="52" t="inlineStr">
        <is>
          <t>Route A</t>
        </is>
      </c>
      <c r="X71" s="109" t="n">
        <v>207.663206208576</v>
      </c>
      <c r="Y71" s="111">
        <f>IFERROR(H71/I71,0)</f>
        <v/>
      </c>
      <c r="Z71" s="52">
        <f>IF(H71=0,"STOCKOUT",IF(Y71&gt;=1.933,"Overstocked",IF(Y71&lt;=0.3889,"Understocked","Healthy")))</f>
        <v/>
      </c>
      <c r="AA71" s="52">
        <f>IF(K71&gt;8,"Delayed","On Time")</f>
        <v/>
      </c>
      <c r="AB71" s="52">
        <f>MAX(0,K71-8)</f>
        <v/>
      </c>
      <c r="AC71" s="111">
        <f>IF(T71="Pass",2,IF(T71="Pending",1,0))-(U71/5)</f>
        <v/>
      </c>
      <c r="AD71" s="109">
        <f>IFERROR(X71/E71*1000,0)</f>
        <v/>
      </c>
    </row>
    <row r="72" ht="15" customHeight="1" s="53">
      <c r="A72" s="52" t="inlineStr">
        <is>
          <t>SKU70</t>
        </is>
      </c>
      <c r="B72" s="52" t="inlineStr">
        <is>
          <t>haircare</t>
        </is>
      </c>
      <c r="C72" s="109" t="n">
        <v>47.9145418240588</v>
      </c>
      <c r="D72" s="52" t="n">
        <v>90</v>
      </c>
      <c r="E72" s="52" t="n">
        <v>32</v>
      </c>
      <c r="F72" s="109" t="n">
        <v>7014.88798720339</v>
      </c>
      <c r="G72" s="52" t="inlineStr">
        <is>
          <t>Female</t>
        </is>
      </c>
      <c r="H72" s="52" t="n">
        <v>10</v>
      </c>
      <c r="I72" s="52" t="n">
        <v>22</v>
      </c>
      <c r="J72" s="52" t="n">
        <v>12</v>
      </c>
      <c r="K72" s="52" t="n">
        <v>4</v>
      </c>
      <c r="L72" s="52" t="inlineStr">
        <is>
          <t>Carrier B</t>
        </is>
      </c>
      <c r="M72" s="109" t="n">
        <v>6.31571775460072</v>
      </c>
      <c r="N72" s="52" t="inlineStr">
        <is>
          <t>Supplier 1</t>
        </is>
      </c>
      <c r="O72" s="52" t="inlineStr">
        <is>
          <t>Bangalore</t>
        </is>
      </c>
      <c r="P72" s="52" t="n">
        <v>22</v>
      </c>
      <c r="Q72" s="52" t="n">
        <v>775</v>
      </c>
      <c r="R72" s="52" t="n">
        <v>16</v>
      </c>
      <c r="S72" s="109" t="n">
        <v>11.4407818237613</v>
      </c>
      <c r="T72" s="52" t="inlineStr">
        <is>
          <t>Pass</t>
        </is>
      </c>
      <c r="U72" s="110" t="n">
        <v>1.83057559861223</v>
      </c>
      <c r="V72" s="52" t="inlineStr">
        <is>
          <t>Road</t>
        </is>
      </c>
      <c r="W72" s="52" t="inlineStr">
        <is>
          <t>Route C</t>
        </is>
      </c>
      <c r="X72" s="109" t="n">
        <v>183.272898748711</v>
      </c>
      <c r="Y72" s="111">
        <f>IFERROR(H72/I72,0)</f>
        <v/>
      </c>
      <c r="Z72" s="52">
        <f>IF(H72=0,"STOCKOUT",IF(Y72&gt;=1.933,"Overstocked",IF(Y72&lt;=0.3889,"Understocked","Healthy")))</f>
        <v/>
      </c>
      <c r="AA72" s="52">
        <f>IF(K72&gt;8,"Delayed","On Time")</f>
        <v/>
      </c>
      <c r="AB72" s="52">
        <f>MAX(0,K72-8)</f>
        <v/>
      </c>
      <c r="AC72" s="111">
        <f>IF(T72="Pass",2,IF(T72="Pending",1,0))-(U72/5)</f>
        <v/>
      </c>
      <c r="AD72" s="109">
        <f>IFERROR(X72/E72*1000,0)</f>
        <v/>
      </c>
    </row>
    <row r="73" ht="15" customHeight="1" s="53">
      <c r="A73" s="52" t="inlineStr">
        <is>
          <t>SKU71</t>
        </is>
      </c>
      <c r="B73" s="52" t="inlineStr">
        <is>
          <t>cosmetics</t>
        </is>
      </c>
      <c r="C73" s="109" t="n">
        <v>6.38153316274797</v>
      </c>
      <c r="D73" s="52" t="n">
        <v>14</v>
      </c>
      <c r="E73" s="52" t="n">
        <v>637</v>
      </c>
      <c r="F73" s="109" t="n">
        <v>8180.33708542544</v>
      </c>
      <c r="G73" s="52" t="inlineStr">
        <is>
          <t>Female</t>
        </is>
      </c>
      <c r="H73" s="52" t="n">
        <v>76</v>
      </c>
      <c r="I73" s="52" t="n">
        <v>26</v>
      </c>
      <c r="J73" s="52" t="n">
        <v>2</v>
      </c>
      <c r="K73" s="52" t="n">
        <v>6</v>
      </c>
      <c r="L73" s="52" t="inlineStr">
        <is>
          <t>Carrier A</t>
        </is>
      </c>
      <c r="M73" s="109" t="n">
        <v>9.228190317052521</v>
      </c>
      <c r="N73" s="52" t="inlineStr">
        <is>
          <t>Supplier 2</t>
        </is>
      </c>
      <c r="O73" s="52" t="inlineStr">
        <is>
          <t>Bangalore</t>
        </is>
      </c>
      <c r="P73" s="52" t="n">
        <v>2</v>
      </c>
      <c r="Q73" s="52" t="n">
        <v>258</v>
      </c>
      <c r="R73" s="52" t="n">
        <v>10</v>
      </c>
      <c r="S73" s="109" t="n">
        <v>30.6616774778596</v>
      </c>
      <c r="T73" s="52" t="inlineStr">
        <is>
          <t>Pending</t>
        </is>
      </c>
      <c r="U73" s="110" t="n">
        <v>2.07875060787497</v>
      </c>
      <c r="V73" s="52" t="inlineStr">
        <is>
          <t>Road</t>
        </is>
      </c>
      <c r="W73" s="52" t="inlineStr">
        <is>
          <t>Route A</t>
        </is>
      </c>
      <c r="X73" s="109" t="n">
        <v>405.167067888856</v>
      </c>
      <c r="Y73" s="111">
        <f>IFERROR(H73/I73,0)</f>
        <v/>
      </c>
      <c r="Z73" s="52">
        <f>IF(H73=0,"STOCKOUT",IF(Y73&gt;=1.933,"Overstocked",IF(Y73&lt;=0.3889,"Understocked","Healthy")))</f>
        <v/>
      </c>
      <c r="AA73" s="52">
        <f>IF(K73&gt;8,"Delayed","On Time")</f>
        <v/>
      </c>
      <c r="AB73" s="52">
        <f>MAX(0,K73-8)</f>
        <v/>
      </c>
      <c r="AC73" s="111">
        <f>IF(T73="Pass",2,IF(T73="Pending",1,0))-(U73/5)</f>
        <v/>
      </c>
      <c r="AD73" s="109">
        <f>IFERROR(X73/E73*1000,0)</f>
        <v/>
      </c>
    </row>
    <row r="74" ht="15" customHeight="1" s="53">
      <c r="A74" s="52" t="inlineStr">
        <is>
          <t>SKU72</t>
        </is>
      </c>
      <c r="B74" s="52" t="inlineStr">
        <is>
          <t>cosmetics</t>
        </is>
      </c>
      <c r="C74" s="109" t="n">
        <v>90.2044275205281</v>
      </c>
      <c r="D74" s="52" t="n">
        <v>88</v>
      </c>
      <c r="E74" s="52" t="n">
        <v>478</v>
      </c>
      <c r="F74" s="109" t="n">
        <v>2633.12198131226</v>
      </c>
      <c r="G74" s="52" t="inlineStr">
        <is>
          <t>Non-binary</t>
        </is>
      </c>
      <c r="H74" s="52" t="n">
        <v>57</v>
      </c>
      <c r="I74" s="52" t="n">
        <v>77</v>
      </c>
      <c r="J74" s="52" t="n">
        <v>29</v>
      </c>
      <c r="K74" s="52" t="n">
        <v>9</v>
      </c>
      <c r="L74" s="52" t="inlineStr">
        <is>
          <t>Carrier A</t>
        </is>
      </c>
      <c r="M74" s="109" t="n">
        <v>6.59961415968954</v>
      </c>
      <c r="N74" s="52" t="inlineStr">
        <is>
          <t>Supplier 1</t>
        </is>
      </c>
      <c r="O74" s="52" t="inlineStr">
        <is>
          <t>Bangalore</t>
        </is>
      </c>
      <c r="P74" s="52" t="n">
        <v>21</v>
      </c>
      <c r="Q74" s="52" t="n">
        <v>152</v>
      </c>
      <c r="R74" s="52" t="n">
        <v>11</v>
      </c>
      <c r="S74" s="109" t="n">
        <v>55.7604928952442</v>
      </c>
      <c r="T74" s="52" t="inlineStr">
        <is>
          <t>Pending</t>
        </is>
      </c>
      <c r="U74" s="110" t="n">
        <v>3.21332960743831</v>
      </c>
      <c r="V74" s="52" t="inlineStr">
        <is>
          <t>Rail</t>
        </is>
      </c>
      <c r="W74" s="52" t="inlineStr">
        <is>
          <t>Route B</t>
        </is>
      </c>
      <c r="X74" s="109" t="n">
        <v>677.944569846183</v>
      </c>
      <c r="Y74" s="111">
        <f>IFERROR(H74/I74,0)</f>
        <v/>
      </c>
      <c r="Z74" s="52">
        <f>IF(H74=0,"STOCKOUT",IF(Y74&gt;=1.933,"Overstocked",IF(Y74&lt;=0.3889,"Understocked","Healthy")))</f>
        <v/>
      </c>
      <c r="AA74" s="52">
        <f>IF(K74&gt;8,"Delayed","On Time")</f>
        <v/>
      </c>
      <c r="AB74" s="52">
        <f>MAX(0,K74-8)</f>
        <v/>
      </c>
      <c r="AC74" s="111">
        <f>IF(T74="Pass",2,IF(T74="Pending",1,0))-(U74/5)</f>
        <v/>
      </c>
      <c r="AD74" s="109">
        <f>IFERROR(X74/E74*1000,0)</f>
        <v/>
      </c>
    </row>
    <row r="75" ht="15" customHeight="1" s="53">
      <c r="A75" s="52" t="inlineStr">
        <is>
          <t>SKU73</t>
        </is>
      </c>
      <c r="B75" s="52" t="inlineStr">
        <is>
          <t>cosmetics</t>
        </is>
      </c>
      <c r="C75" s="109" t="n">
        <v>83.8510176813046</v>
      </c>
      <c r="D75" s="52" t="n">
        <v>41</v>
      </c>
      <c r="E75" s="52" t="n">
        <v>375</v>
      </c>
      <c r="F75" s="109" t="n">
        <v>7910.88691614069</v>
      </c>
      <c r="G75" s="52" t="inlineStr">
        <is>
          <t>Male</t>
        </is>
      </c>
      <c r="H75" s="52" t="n">
        <v>17</v>
      </c>
      <c r="I75" s="52" t="n">
        <v>66</v>
      </c>
      <c r="J75" s="52" t="n">
        <v>25</v>
      </c>
      <c r="K75" s="52" t="n">
        <v>5</v>
      </c>
      <c r="L75" s="52" t="inlineStr">
        <is>
          <t>Carrier B</t>
        </is>
      </c>
      <c r="M75" s="109" t="n">
        <v>1.51293683691608</v>
      </c>
      <c r="N75" s="52" t="inlineStr">
        <is>
          <t>Supplier 4</t>
        </is>
      </c>
      <c r="O75" s="52" t="inlineStr">
        <is>
          <t>Chennai</t>
        </is>
      </c>
      <c r="P75" s="52" t="n">
        <v>13</v>
      </c>
      <c r="Q75" s="52" t="n">
        <v>444</v>
      </c>
      <c r="R75" s="52" t="n">
        <v>4</v>
      </c>
      <c r="S75" s="109" t="n">
        <v>46.8702387976172</v>
      </c>
      <c r="T75" s="52" t="inlineStr">
        <is>
          <t>Fail</t>
        </is>
      </c>
      <c r="U75" s="110" t="n">
        <v>4.62054606451371</v>
      </c>
      <c r="V75" s="52" t="inlineStr">
        <is>
          <t>Road</t>
        </is>
      </c>
      <c r="W75" s="52" t="inlineStr">
        <is>
          <t>Route A</t>
        </is>
      </c>
      <c r="X75" s="109" t="n">
        <v>866.472800129658</v>
      </c>
      <c r="Y75" s="111">
        <f>IFERROR(H75/I75,0)</f>
        <v/>
      </c>
      <c r="Z75" s="52">
        <f>IF(H75=0,"STOCKOUT",IF(Y75&gt;=1.933,"Overstocked",IF(Y75&lt;=0.3889,"Understocked","Healthy")))</f>
        <v/>
      </c>
      <c r="AA75" s="52">
        <f>IF(K75&gt;8,"Delayed","On Time")</f>
        <v/>
      </c>
      <c r="AB75" s="52">
        <f>MAX(0,K75-8)</f>
        <v/>
      </c>
      <c r="AC75" s="111">
        <f>IF(T75="Pass",2,IF(T75="Pending",1,0))-(U75/5)</f>
        <v/>
      </c>
      <c r="AD75" s="109">
        <f>IFERROR(X75/E75*1000,0)</f>
        <v/>
      </c>
    </row>
    <row r="76" ht="15" customHeight="1" s="53">
      <c r="A76" s="52" t="inlineStr">
        <is>
          <t>SKU74</t>
        </is>
      </c>
      <c r="B76" s="52" t="inlineStr">
        <is>
          <t>haircare</t>
        </is>
      </c>
      <c r="C76" s="109" t="n">
        <v>3.17001141356616</v>
      </c>
      <c r="D76" s="52" t="n">
        <v>64</v>
      </c>
      <c r="E76" s="52" t="n">
        <v>904</v>
      </c>
      <c r="F76" s="109" t="n">
        <v>5709.94529596929</v>
      </c>
      <c r="G76" s="52" t="inlineStr">
        <is>
          <t>Female</t>
        </is>
      </c>
      <c r="H76" s="52" t="n">
        <v>41</v>
      </c>
      <c r="I76" s="52" t="n">
        <v>1</v>
      </c>
      <c r="J76" s="52" t="n">
        <v>6</v>
      </c>
      <c r="K76" s="52" t="n">
        <v>5</v>
      </c>
      <c r="L76" s="52" t="inlineStr">
        <is>
          <t>Carrier A</t>
        </is>
      </c>
      <c r="M76" s="109" t="n">
        <v>5.23765465003745</v>
      </c>
      <c r="N76" s="52" t="inlineStr">
        <is>
          <t>Supplier 4</t>
        </is>
      </c>
      <c r="O76" s="52" t="inlineStr">
        <is>
          <t>Delhi</t>
        </is>
      </c>
      <c r="P76" s="52" t="n">
        <v>1</v>
      </c>
      <c r="Q76" s="52" t="n">
        <v>919</v>
      </c>
      <c r="R76" s="52" t="n">
        <v>9</v>
      </c>
      <c r="S76" s="109" t="n">
        <v>80.5808521564478</v>
      </c>
      <c r="T76" s="52" t="inlineStr">
        <is>
          <t>Fail</t>
        </is>
      </c>
      <c r="U76" s="110" t="n">
        <v>0.396612724109935</v>
      </c>
      <c r="V76" s="52" t="inlineStr">
        <is>
          <t>Rail</t>
        </is>
      </c>
      <c r="W76" s="52" t="inlineStr">
        <is>
          <t>Route A</t>
        </is>
      </c>
      <c r="X76" s="109" t="n">
        <v>341.552656783223</v>
      </c>
      <c r="Y76" s="111">
        <f>IFERROR(H76/I76,0)</f>
        <v/>
      </c>
      <c r="Z76" s="52">
        <f>IF(H76=0,"STOCKOUT",IF(Y76&gt;=1.933,"Overstocked",IF(Y76&lt;=0.3889,"Understocked","Healthy")))</f>
        <v/>
      </c>
      <c r="AA76" s="52">
        <f>IF(K76&gt;8,"Delayed","On Time")</f>
        <v/>
      </c>
      <c r="AB76" s="52">
        <f>MAX(0,K76-8)</f>
        <v/>
      </c>
      <c r="AC76" s="111">
        <f>IF(T76="Pass",2,IF(T76="Pending",1,0))-(U76/5)</f>
        <v/>
      </c>
      <c r="AD76" s="109">
        <f>IFERROR(X76/E76*1000,0)</f>
        <v/>
      </c>
    </row>
    <row r="77" ht="15" customHeight="1" s="53">
      <c r="A77" s="52" t="inlineStr">
        <is>
          <t>SKU75</t>
        </is>
      </c>
      <c r="B77" s="52" t="inlineStr">
        <is>
          <t>skincare</t>
        </is>
      </c>
      <c r="C77" s="109" t="n">
        <v>92.9968842339707</v>
      </c>
      <c r="D77" s="52" t="n">
        <v>29</v>
      </c>
      <c r="E77" s="52" t="n">
        <v>106</v>
      </c>
      <c r="F77" s="109" t="n">
        <v>1889.07358977934</v>
      </c>
      <c r="G77" s="52" t="inlineStr">
        <is>
          <t>Non-binary</t>
        </is>
      </c>
      <c r="H77" s="52" t="n">
        <v>16</v>
      </c>
      <c r="I77" s="52" t="n">
        <v>56</v>
      </c>
      <c r="J77" s="52" t="n">
        <v>20</v>
      </c>
      <c r="K77" s="52" t="n">
        <v>10</v>
      </c>
      <c r="L77" s="52" t="inlineStr">
        <is>
          <t>Carrier C</t>
        </is>
      </c>
      <c r="M77" s="109" t="n">
        <v>2.47389776104546</v>
      </c>
      <c r="N77" s="52" t="inlineStr">
        <is>
          <t>Supplier 1</t>
        </is>
      </c>
      <c r="O77" s="52" t="inlineStr">
        <is>
          <t>Chennai</t>
        </is>
      </c>
      <c r="P77" s="52" t="n">
        <v>25</v>
      </c>
      <c r="Q77" s="52" t="n">
        <v>759</v>
      </c>
      <c r="R77" s="52" t="n">
        <v>11</v>
      </c>
      <c r="S77" s="109" t="n">
        <v>48.0647826400066</v>
      </c>
      <c r="T77" s="52" t="inlineStr">
        <is>
          <t>Pass</t>
        </is>
      </c>
      <c r="U77" s="110" t="n">
        <v>2.03006908866875</v>
      </c>
      <c r="V77" s="52" t="inlineStr">
        <is>
          <t>Air</t>
        </is>
      </c>
      <c r="W77" s="52" t="inlineStr">
        <is>
          <t>Route C</t>
        </is>
      </c>
      <c r="X77" s="109" t="n">
        <v>873.129648017651</v>
      </c>
      <c r="Y77" s="111">
        <f>IFERROR(H77/I77,0)</f>
        <v/>
      </c>
      <c r="Z77" s="52">
        <f>IF(H77=0,"STOCKOUT",IF(Y77&gt;=1.933,"Overstocked",IF(Y77&lt;=0.3889,"Understocked","Healthy")))</f>
        <v/>
      </c>
      <c r="AA77" s="52">
        <f>IF(K77&gt;8,"Delayed","On Time")</f>
        <v/>
      </c>
      <c r="AB77" s="52">
        <f>MAX(0,K77-8)</f>
        <v/>
      </c>
      <c r="AC77" s="111">
        <f>IF(T77="Pass",2,IF(T77="Pending",1,0))-(U77/5)</f>
        <v/>
      </c>
      <c r="AD77" s="109">
        <f>IFERROR(X77/E77*1000,0)</f>
        <v/>
      </c>
    </row>
    <row r="78" ht="15" customHeight="1" s="53">
      <c r="A78" s="52" t="inlineStr">
        <is>
          <t>SKU76</t>
        </is>
      </c>
      <c r="B78" s="52" t="inlineStr">
        <is>
          <t>haircare</t>
        </is>
      </c>
      <c r="C78" s="109" t="n">
        <v>69.10879954743029</v>
      </c>
      <c r="D78" s="52" t="n">
        <v>23</v>
      </c>
      <c r="E78" s="52" t="n">
        <v>241</v>
      </c>
      <c r="F78" s="109" t="n">
        <v>5328.37598429776</v>
      </c>
      <c r="G78" s="52" t="inlineStr">
        <is>
          <t>Male</t>
        </is>
      </c>
      <c r="H78" s="52" t="n">
        <v>38</v>
      </c>
      <c r="I78" s="52" t="n">
        <v>22</v>
      </c>
      <c r="J78" s="52" t="n">
        <v>1</v>
      </c>
      <c r="K78" s="52" t="n">
        <v>10</v>
      </c>
      <c r="L78" s="52" t="inlineStr">
        <is>
          <t>Carrier A</t>
        </is>
      </c>
      <c r="M78" s="109" t="n">
        <v>7.05453833683693</v>
      </c>
      <c r="N78" s="52" t="inlineStr">
        <is>
          <t>Supplier 2</t>
        </is>
      </c>
      <c r="O78" s="52" t="inlineStr">
        <is>
          <t>Bangalore</t>
        </is>
      </c>
      <c r="P78" s="52" t="n">
        <v>25</v>
      </c>
      <c r="Q78" s="52" t="n">
        <v>985</v>
      </c>
      <c r="R78" s="52" t="n">
        <v>24</v>
      </c>
      <c r="S78" s="109" t="n">
        <v>64.32359779560019</v>
      </c>
      <c r="T78" s="52" t="inlineStr">
        <is>
          <t>Pending</t>
        </is>
      </c>
      <c r="U78" s="110" t="n">
        <v>2.18003745158222</v>
      </c>
      <c r="V78" s="52" t="inlineStr">
        <is>
          <t>Rail</t>
        </is>
      </c>
      <c r="W78" s="52" t="inlineStr">
        <is>
          <t>Route A</t>
        </is>
      </c>
      <c r="X78" s="109" t="n">
        <v>997.4134501331951</v>
      </c>
      <c r="Y78" s="111">
        <f>IFERROR(H78/I78,0)</f>
        <v/>
      </c>
      <c r="Z78" s="52">
        <f>IF(H78=0,"STOCKOUT",IF(Y78&gt;=1.933,"Overstocked",IF(Y78&lt;=0.3889,"Understocked","Healthy")))</f>
        <v/>
      </c>
      <c r="AA78" s="52">
        <f>IF(K78&gt;8,"Delayed","On Time")</f>
        <v/>
      </c>
      <c r="AB78" s="52">
        <f>MAX(0,K78-8)</f>
        <v/>
      </c>
      <c r="AC78" s="111">
        <f>IF(T78="Pass",2,IF(T78="Pending",1,0))-(U78/5)</f>
        <v/>
      </c>
      <c r="AD78" s="109">
        <f>IFERROR(X78/E78*1000,0)</f>
        <v/>
      </c>
    </row>
    <row r="79" ht="15" customHeight="1" s="53">
      <c r="A79" s="52" t="inlineStr">
        <is>
          <t>SKU77</t>
        </is>
      </c>
      <c r="B79" s="52" t="inlineStr">
        <is>
          <t>haircare</t>
        </is>
      </c>
      <c r="C79" s="109" t="n">
        <v>57.4497429589715</v>
      </c>
      <c r="D79" s="52" t="n">
        <v>14</v>
      </c>
      <c r="E79" s="52" t="n">
        <v>359</v>
      </c>
      <c r="F79" s="109" t="n">
        <v>2483.7601775428</v>
      </c>
      <c r="G79" s="52" t="inlineStr">
        <is>
          <t>Unknown</t>
        </is>
      </c>
      <c r="H79" s="52" t="n">
        <v>96</v>
      </c>
      <c r="I79" s="52" t="n">
        <v>57</v>
      </c>
      <c r="J79" s="52" t="n">
        <v>28</v>
      </c>
      <c r="K79" s="52" t="n">
        <v>4</v>
      </c>
      <c r="L79" s="52" t="inlineStr">
        <is>
          <t>Carrier B</t>
        </is>
      </c>
      <c r="M79" s="109" t="n">
        <v>6.7809466256179</v>
      </c>
      <c r="N79" s="52" t="inlineStr">
        <is>
          <t>Supplier 1</t>
        </is>
      </c>
      <c r="O79" s="52" t="inlineStr">
        <is>
          <t>Kolkata</t>
        </is>
      </c>
      <c r="P79" s="52" t="n">
        <v>26</v>
      </c>
      <c r="Q79" s="52" t="n">
        <v>334</v>
      </c>
      <c r="R79" s="52" t="n">
        <v>5</v>
      </c>
      <c r="S79" s="109" t="n">
        <v>42.9524447489918</v>
      </c>
      <c r="T79" s="52" t="inlineStr">
        <is>
          <t>Pass</t>
        </is>
      </c>
      <c r="U79" s="110" t="n">
        <v>3.05514181830755</v>
      </c>
      <c r="V79" s="52" t="inlineStr">
        <is>
          <t>Road</t>
        </is>
      </c>
      <c r="W79" s="52" t="inlineStr">
        <is>
          <t>Route B</t>
        </is>
      </c>
      <c r="X79" s="109" t="n">
        <v>852.5680989198499</v>
      </c>
      <c r="Y79" s="111">
        <f>IFERROR(H79/I79,0)</f>
        <v/>
      </c>
      <c r="Z79" s="52">
        <f>IF(H79=0,"STOCKOUT",IF(Y79&gt;=1.933,"Overstocked",IF(Y79&lt;=0.3889,"Understocked","Healthy")))</f>
        <v/>
      </c>
      <c r="AA79" s="52">
        <f>IF(K79&gt;8,"Delayed","On Time")</f>
        <v/>
      </c>
      <c r="AB79" s="52">
        <f>MAX(0,K79-8)</f>
        <v/>
      </c>
      <c r="AC79" s="111">
        <f>IF(T79="Pass",2,IF(T79="Pending",1,0))-(U79/5)</f>
        <v/>
      </c>
      <c r="AD79" s="109">
        <f>IFERROR(X79/E79*1000,0)</f>
        <v/>
      </c>
    </row>
    <row r="80" ht="15" customHeight="1" s="53">
      <c r="A80" s="52" t="inlineStr">
        <is>
          <t>SKU78</t>
        </is>
      </c>
      <c r="B80" s="52" t="inlineStr">
        <is>
          <t>haircare</t>
        </is>
      </c>
      <c r="C80" s="109" t="n">
        <v>6.30688317611192</v>
      </c>
      <c r="D80" s="52" t="n">
        <v>50</v>
      </c>
      <c r="E80" s="52" t="n">
        <v>946</v>
      </c>
      <c r="F80" s="109" t="n">
        <v>1292.45841793776</v>
      </c>
      <c r="G80" s="52" t="inlineStr">
        <is>
          <t>Unknown</t>
        </is>
      </c>
      <c r="H80" s="52" t="n">
        <v>5</v>
      </c>
      <c r="I80" s="52" t="n">
        <v>51</v>
      </c>
      <c r="J80" s="52" t="n">
        <v>4</v>
      </c>
      <c r="K80" s="52" t="n">
        <v>5</v>
      </c>
      <c r="L80" s="52" t="inlineStr">
        <is>
          <t>Carrier B</t>
        </is>
      </c>
      <c r="M80" s="109" t="n">
        <v>8.467049770861991</v>
      </c>
      <c r="N80" s="52" t="inlineStr">
        <is>
          <t>Supplier 5</t>
        </is>
      </c>
      <c r="O80" s="52" t="inlineStr">
        <is>
          <t>Mumbai</t>
        </is>
      </c>
      <c r="P80" s="52" t="n">
        <v>25</v>
      </c>
      <c r="Q80" s="52" t="n">
        <v>858</v>
      </c>
      <c r="R80" s="52" t="n">
        <v>21</v>
      </c>
      <c r="S80" s="109" t="n">
        <v>71.12651472040341</v>
      </c>
      <c r="T80" s="52" t="inlineStr">
        <is>
          <t>Pending</t>
        </is>
      </c>
      <c r="U80" s="110" t="n">
        <v>4.09688133247045</v>
      </c>
      <c r="V80" s="52" t="inlineStr">
        <is>
          <t>Sea</t>
        </is>
      </c>
      <c r="W80" s="52" t="inlineStr">
        <is>
          <t>Route C</t>
        </is>
      </c>
      <c r="X80" s="109" t="n">
        <v>323.592203431322</v>
      </c>
      <c r="Y80" s="111">
        <f>IFERROR(H80/I80,0)</f>
        <v/>
      </c>
      <c r="Z80" s="52">
        <f>IF(H80=0,"STOCKOUT",IF(Y80&gt;=1.933,"Overstocked",IF(Y80&lt;=0.3889,"Understocked","Healthy")))</f>
        <v/>
      </c>
      <c r="AA80" s="52">
        <f>IF(K80&gt;8,"Delayed","On Time")</f>
        <v/>
      </c>
      <c r="AB80" s="52">
        <f>MAX(0,K80-8)</f>
        <v/>
      </c>
      <c r="AC80" s="111">
        <f>IF(T80="Pass",2,IF(T80="Pending",1,0))-(U80/5)</f>
        <v/>
      </c>
      <c r="AD80" s="109">
        <f>IFERROR(X80/E80*1000,0)</f>
        <v/>
      </c>
    </row>
    <row r="81" ht="15" customHeight="1" s="53">
      <c r="A81" s="52" t="inlineStr">
        <is>
          <t>SKU79</t>
        </is>
      </c>
      <c r="B81" s="52" t="inlineStr">
        <is>
          <t>haircare</t>
        </is>
      </c>
      <c r="C81" s="109" t="n">
        <v>57.0570312211032</v>
      </c>
      <c r="D81" s="52" t="n">
        <v>56</v>
      </c>
      <c r="E81" s="52" t="n">
        <v>198</v>
      </c>
      <c r="F81" s="109" t="n">
        <v>7888.72326842708</v>
      </c>
      <c r="G81" s="52" t="inlineStr">
        <is>
          <t>Non-binary</t>
        </is>
      </c>
      <c r="H81" s="52" t="n">
        <v>31</v>
      </c>
      <c r="I81" s="52" t="n">
        <v>20</v>
      </c>
      <c r="J81" s="52" t="n">
        <v>25</v>
      </c>
      <c r="K81" s="52" t="n">
        <v>1</v>
      </c>
      <c r="L81" s="52" t="inlineStr">
        <is>
          <t>Carrier B</t>
        </is>
      </c>
      <c r="M81" s="109" t="n">
        <v>6.49632536429504</v>
      </c>
      <c r="N81" s="52" t="inlineStr">
        <is>
          <t>Supplier 3</t>
        </is>
      </c>
      <c r="O81" s="52" t="inlineStr">
        <is>
          <t>Bangalore</t>
        </is>
      </c>
      <c r="P81" s="52" t="n">
        <v>5</v>
      </c>
      <c r="Q81" s="52" t="n">
        <v>228</v>
      </c>
      <c r="R81" s="52" t="n">
        <v>12</v>
      </c>
      <c r="S81" s="109" t="n">
        <v>57.8709029240363</v>
      </c>
      <c r="T81" s="52" t="inlineStr">
        <is>
          <t>Pending</t>
        </is>
      </c>
      <c r="U81" s="110" t="n">
        <v>0.165871627480608</v>
      </c>
      <c r="V81" s="52" t="inlineStr">
        <is>
          <t>Air</t>
        </is>
      </c>
      <c r="W81" s="52" t="inlineStr">
        <is>
          <t>Route C</t>
        </is>
      </c>
      <c r="X81" s="109" t="n">
        <v>351.504219335039</v>
      </c>
      <c r="Y81" s="111">
        <f>IFERROR(H81/I81,0)</f>
        <v/>
      </c>
      <c r="Z81" s="52">
        <f>IF(H81=0,"STOCKOUT",IF(Y81&gt;=1.933,"Overstocked",IF(Y81&lt;=0.3889,"Understocked","Healthy")))</f>
        <v/>
      </c>
      <c r="AA81" s="52">
        <f>IF(K81&gt;8,"Delayed","On Time")</f>
        <v/>
      </c>
      <c r="AB81" s="52">
        <f>MAX(0,K81-8)</f>
        <v/>
      </c>
      <c r="AC81" s="111">
        <f>IF(T81="Pass",2,IF(T81="Pending",1,0))-(U81/5)</f>
        <v/>
      </c>
      <c r="AD81" s="109">
        <f>IFERROR(X81/E81*1000,0)</f>
        <v/>
      </c>
    </row>
    <row r="82" ht="15" customHeight="1" s="53">
      <c r="A82" s="52" t="inlineStr">
        <is>
          <t>SKU80</t>
        </is>
      </c>
      <c r="B82" s="52" t="inlineStr">
        <is>
          <t>skincare</t>
        </is>
      </c>
      <c r="C82" s="109" t="n">
        <v>91.1283183504443</v>
      </c>
      <c r="D82" s="52" t="n">
        <v>75</v>
      </c>
      <c r="E82" s="52" t="n">
        <v>872</v>
      </c>
      <c r="F82" s="109" t="n">
        <v>8651.672682982069</v>
      </c>
      <c r="G82" s="52" t="inlineStr">
        <is>
          <t>Unknown</t>
        </is>
      </c>
      <c r="H82" s="52" t="n">
        <v>39</v>
      </c>
      <c r="I82" s="52" t="n">
        <v>41</v>
      </c>
      <c r="J82" s="52" t="n">
        <v>14</v>
      </c>
      <c r="K82" s="52" t="n">
        <v>2</v>
      </c>
      <c r="L82" s="52" t="inlineStr">
        <is>
          <t>Carrier C</t>
        </is>
      </c>
      <c r="M82" s="109" t="n">
        <v>2.83318467941898</v>
      </c>
      <c r="N82" s="52" t="inlineStr">
        <is>
          <t>Supplier 3</t>
        </is>
      </c>
      <c r="O82" s="52" t="inlineStr">
        <is>
          <t>Chennai</t>
        </is>
      </c>
      <c r="P82" s="52" t="n">
        <v>8</v>
      </c>
      <c r="Q82" s="52" t="n">
        <v>202</v>
      </c>
      <c r="R82" s="52" t="n">
        <v>5</v>
      </c>
      <c r="S82" s="109" t="n">
        <v>76.96122802382</v>
      </c>
      <c r="T82" s="52" t="inlineStr">
        <is>
          <t>Fail</t>
        </is>
      </c>
      <c r="U82" s="110" t="n">
        <v>2.84966219850533</v>
      </c>
      <c r="V82" s="52" t="inlineStr">
        <is>
          <t>Sea</t>
        </is>
      </c>
      <c r="W82" s="52" t="inlineStr">
        <is>
          <t>Route B</t>
        </is>
      </c>
      <c r="X82" s="109" t="n">
        <v>787.7798504943451</v>
      </c>
      <c r="Y82" s="111">
        <f>IFERROR(H82/I82,0)</f>
        <v/>
      </c>
      <c r="Z82" s="52">
        <f>IF(H82=0,"STOCKOUT",IF(Y82&gt;=1.933,"Overstocked",IF(Y82&lt;=0.3889,"Understocked","Healthy")))</f>
        <v/>
      </c>
      <c r="AA82" s="52">
        <f>IF(K82&gt;8,"Delayed","On Time")</f>
        <v/>
      </c>
      <c r="AB82" s="52">
        <f>MAX(0,K82-8)</f>
        <v/>
      </c>
      <c r="AC82" s="111">
        <f>IF(T82="Pass",2,IF(T82="Pending",1,0))-(U82/5)</f>
        <v/>
      </c>
      <c r="AD82" s="109">
        <f>IFERROR(X82/E82*1000,0)</f>
        <v/>
      </c>
    </row>
    <row r="83" ht="15" customHeight="1" s="53">
      <c r="A83" s="52" t="inlineStr">
        <is>
          <t>SKU81</t>
        </is>
      </c>
      <c r="B83" s="52" t="inlineStr">
        <is>
          <t>haircare</t>
        </is>
      </c>
      <c r="C83" s="109" t="n">
        <v>72.8192069303182</v>
      </c>
      <c r="D83" s="52" t="n">
        <v>9</v>
      </c>
      <c r="E83" s="52" t="n">
        <v>774</v>
      </c>
      <c r="F83" s="109" t="n">
        <v>4384.41340004586</v>
      </c>
      <c r="G83" s="52" t="inlineStr">
        <is>
          <t>Unknown</t>
        </is>
      </c>
      <c r="H83" s="52" t="n">
        <v>48</v>
      </c>
      <c r="I83" s="52" t="n">
        <v>8</v>
      </c>
      <c r="J83" s="52" t="n">
        <v>6</v>
      </c>
      <c r="K83" s="52" t="n">
        <v>5</v>
      </c>
      <c r="L83" s="52" t="inlineStr">
        <is>
          <t>Carrier B</t>
        </is>
      </c>
      <c r="M83" s="109" t="n">
        <v>4.06627750151204</v>
      </c>
      <c r="N83" s="52" t="inlineStr">
        <is>
          <t>Supplier 3</t>
        </is>
      </c>
      <c r="O83" s="52" t="inlineStr">
        <is>
          <t>Delhi</t>
        </is>
      </c>
      <c r="P83" s="52" t="n">
        <v>28</v>
      </c>
      <c r="Q83" s="52" t="n">
        <v>698</v>
      </c>
      <c r="R83" s="52" t="n">
        <v>1</v>
      </c>
      <c r="S83" s="109" t="n">
        <v>19.7895929419036</v>
      </c>
      <c r="T83" s="52" t="inlineStr">
        <is>
          <t>Pending</t>
        </is>
      </c>
      <c r="U83" s="110" t="n">
        <v>2.54754712154871</v>
      </c>
      <c r="V83" s="52" t="inlineStr">
        <is>
          <t>Rail</t>
        </is>
      </c>
      <c r="W83" s="52" t="inlineStr">
        <is>
          <t>Route B</t>
        </is>
      </c>
      <c r="X83" s="109" t="n">
        <v>276.778335946799</v>
      </c>
      <c r="Y83" s="111">
        <f>IFERROR(H83/I83,0)</f>
        <v/>
      </c>
      <c r="Z83" s="52">
        <f>IF(H83=0,"STOCKOUT",IF(Y83&gt;=1.933,"Overstocked",IF(Y83&lt;=0.3889,"Understocked","Healthy")))</f>
        <v/>
      </c>
      <c r="AA83" s="52">
        <f>IF(K83&gt;8,"Delayed","On Time")</f>
        <v/>
      </c>
      <c r="AB83" s="52">
        <f>MAX(0,K83-8)</f>
        <v/>
      </c>
      <c r="AC83" s="111">
        <f>IF(T83="Pass",2,IF(T83="Pending",1,0))-(U83/5)</f>
        <v/>
      </c>
      <c r="AD83" s="109">
        <f>IFERROR(X83/E83*1000,0)</f>
        <v/>
      </c>
    </row>
    <row r="84" ht="15" customHeight="1" s="53">
      <c r="A84" s="52" t="inlineStr">
        <is>
          <t>SKU82</t>
        </is>
      </c>
      <c r="B84" s="52" t="inlineStr">
        <is>
          <t>skincare</t>
        </is>
      </c>
      <c r="C84" s="109" t="n">
        <v>17.0349307394679</v>
      </c>
      <c r="D84" s="52" t="n">
        <v>13</v>
      </c>
      <c r="E84" s="52" t="n">
        <v>336</v>
      </c>
      <c r="F84" s="109" t="n">
        <v>2943.38186760945</v>
      </c>
      <c r="G84" s="52" t="inlineStr">
        <is>
          <t>Unknown</t>
        </is>
      </c>
      <c r="H84" s="52" t="n">
        <v>42</v>
      </c>
      <c r="I84" s="52" t="n">
        <v>72</v>
      </c>
      <c r="J84" s="52" t="n">
        <v>19</v>
      </c>
      <c r="K84" s="52" t="n">
        <v>1</v>
      </c>
      <c r="L84" s="52" t="inlineStr">
        <is>
          <t>Carrier A</t>
        </is>
      </c>
      <c r="M84" s="109" t="n">
        <v>4.70818187354193</v>
      </c>
      <c r="N84" s="52" t="inlineStr">
        <is>
          <t>Supplier 2</t>
        </is>
      </c>
      <c r="O84" s="52" t="inlineStr">
        <is>
          <t>Mumbai</t>
        </is>
      </c>
      <c r="P84" s="52" t="n">
        <v>6</v>
      </c>
      <c r="Q84" s="52" t="n">
        <v>955</v>
      </c>
      <c r="R84" s="52" t="n">
        <v>26</v>
      </c>
      <c r="S84" s="109" t="n">
        <v>4.46527843494324</v>
      </c>
      <c r="T84" s="52" t="inlineStr">
        <is>
          <t>Pending</t>
        </is>
      </c>
      <c r="U84" s="110" t="n">
        <v>4.13787704862236</v>
      </c>
      <c r="V84" s="52" t="inlineStr">
        <is>
          <t>Road</t>
        </is>
      </c>
      <c r="W84" s="52" t="inlineStr">
        <is>
          <t>Route C</t>
        </is>
      </c>
      <c r="X84" s="109" t="n">
        <v>589.978555628041</v>
      </c>
      <c r="Y84" s="111">
        <f>IFERROR(H84/I84,0)</f>
        <v/>
      </c>
      <c r="Z84" s="52">
        <f>IF(H84=0,"STOCKOUT",IF(Y84&gt;=1.933,"Overstocked",IF(Y84&lt;=0.3889,"Understocked","Healthy")))</f>
        <v/>
      </c>
      <c r="AA84" s="52">
        <f>IF(K84&gt;8,"Delayed","On Time")</f>
        <v/>
      </c>
      <c r="AB84" s="52">
        <f>MAX(0,K84-8)</f>
        <v/>
      </c>
      <c r="AC84" s="111">
        <f>IF(T84="Pass",2,IF(T84="Pending",1,0))-(U84/5)</f>
        <v/>
      </c>
      <c r="AD84" s="109">
        <f>IFERROR(X84/E84*1000,0)</f>
        <v/>
      </c>
    </row>
    <row r="85" ht="15" customHeight="1" s="53">
      <c r="A85" s="52" t="inlineStr">
        <is>
          <t>SKU83</t>
        </is>
      </c>
      <c r="B85" s="52" t="inlineStr">
        <is>
          <t>haircare</t>
        </is>
      </c>
      <c r="C85" s="109" t="n">
        <v>68.9112462116063</v>
      </c>
      <c r="D85" s="52" t="n">
        <v>82</v>
      </c>
      <c r="E85" s="52" t="n">
        <v>663</v>
      </c>
      <c r="F85" s="109" t="n">
        <v>2411.75463211049</v>
      </c>
      <c r="G85" s="52" t="inlineStr">
        <is>
          <t>Unknown</t>
        </is>
      </c>
      <c r="H85" s="52" t="n">
        <v>65</v>
      </c>
      <c r="I85" s="52" t="n">
        <v>7</v>
      </c>
      <c r="J85" s="52" t="n">
        <v>24</v>
      </c>
      <c r="K85" s="52" t="n">
        <v>8</v>
      </c>
      <c r="L85" s="52" t="inlineStr">
        <is>
          <t>Carrier B</t>
        </is>
      </c>
      <c r="M85" s="109" t="n">
        <v>4.94983957799695</v>
      </c>
      <c r="N85" s="52" t="inlineStr">
        <is>
          <t>Supplier 1</t>
        </is>
      </c>
      <c r="O85" s="52" t="inlineStr">
        <is>
          <t>Bangalore</t>
        </is>
      </c>
      <c r="P85" s="52" t="n">
        <v>20</v>
      </c>
      <c r="Q85" s="52" t="n">
        <v>443</v>
      </c>
      <c r="R85" s="52" t="n">
        <v>5</v>
      </c>
      <c r="S85" s="109" t="n">
        <v>97.730593800533</v>
      </c>
      <c r="T85" s="52" t="inlineStr">
        <is>
          <t>Fail</t>
        </is>
      </c>
      <c r="U85" s="110" t="n">
        <v>0.7730061340672481</v>
      </c>
      <c r="V85" s="52" t="inlineStr">
        <is>
          <t>Road</t>
        </is>
      </c>
      <c r="W85" s="52" t="inlineStr">
        <is>
          <t>Route A</t>
        </is>
      </c>
      <c r="X85" s="109" t="n">
        <v>682.971018226093</v>
      </c>
      <c r="Y85" s="111">
        <f>IFERROR(H85/I85,0)</f>
        <v/>
      </c>
      <c r="Z85" s="52">
        <f>IF(H85=0,"STOCKOUT",IF(Y85&gt;=1.933,"Overstocked",IF(Y85&lt;=0.3889,"Understocked","Healthy")))</f>
        <v/>
      </c>
      <c r="AA85" s="52">
        <f>IF(K85&gt;8,"Delayed","On Time")</f>
        <v/>
      </c>
      <c r="AB85" s="52">
        <f>MAX(0,K85-8)</f>
        <v/>
      </c>
      <c r="AC85" s="111">
        <f>IF(T85="Pass",2,IF(T85="Pending",1,0))-(U85/5)</f>
        <v/>
      </c>
      <c r="AD85" s="109">
        <f>IFERROR(X85/E85*1000,0)</f>
        <v/>
      </c>
    </row>
    <row r="86" ht="15" customHeight="1" s="53">
      <c r="A86" s="52" t="inlineStr">
        <is>
          <t>SKU84</t>
        </is>
      </c>
      <c r="B86" s="52" t="inlineStr">
        <is>
          <t>haircare</t>
        </is>
      </c>
      <c r="C86" s="109" t="n">
        <v>89.1043672921023</v>
      </c>
      <c r="D86" s="52" t="n">
        <v>99</v>
      </c>
      <c r="E86" s="52" t="n">
        <v>618</v>
      </c>
      <c r="F86" s="109" t="n">
        <v>2048.29009984871</v>
      </c>
      <c r="G86" s="52" t="inlineStr">
        <is>
          <t>Unknown</t>
        </is>
      </c>
      <c r="H86" s="52" t="n">
        <v>73</v>
      </c>
      <c r="I86" s="52" t="n">
        <v>80</v>
      </c>
      <c r="J86" s="52" t="n">
        <v>26</v>
      </c>
      <c r="K86" s="52" t="n">
        <v>10</v>
      </c>
      <c r="L86" s="52" t="inlineStr">
        <is>
          <t>Carrier A</t>
        </is>
      </c>
      <c r="M86" s="109" t="n">
        <v>8.381615624922629</v>
      </c>
      <c r="N86" s="52" t="inlineStr">
        <is>
          <t>Supplier 5</t>
        </is>
      </c>
      <c r="O86" s="52" t="inlineStr">
        <is>
          <t>Chennai</t>
        </is>
      </c>
      <c r="P86" s="52" t="n">
        <v>24</v>
      </c>
      <c r="Q86" s="52" t="n">
        <v>589</v>
      </c>
      <c r="R86" s="52" t="n">
        <v>22</v>
      </c>
      <c r="S86" s="109" t="n">
        <v>33.8086365132091</v>
      </c>
      <c r="T86" s="52" t="inlineStr">
        <is>
          <t>Pass</t>
        </is>
      </c>
      <c r="U86" s="110" t="n">
        <v>4.84345657711804</v>
      </c>
      <c r="V86" s="52" t="inlineStr">
        <is>
          <t>Air</t>
        </is>
      </c>
      <c r="W86" s="52" t="inlineStr">
        <is>
          <t>Route B</t>
        </is>
      </c>
      <c r="X86" s="109" t="n">
        <v>465.457005963688</v>
      </c>
      <c r="Y86" s="111">
        <f>IFERROR(H86/I86,0)</f>
        <v/>
      </c>
      <c r="Z86" s="52">
        <f>IF(H86=0,"STOCKOUT",IF(Y86&gt;=1.933,"Overstocked",IF(Y86&lt;=0.3889,"Understocked","Healthy")))</f>
        <v/>
      </c>
      <c r="AA86" s="52">
        <f>IF(K86&gt;8,"Delayed","On Time")</f>
        <v/>
      </c>
      <c r="AB86" s="52">
        <f>MAX(0,K86-8)</f>
        <v/>
      </c>
      <c r="AC86" s="111">
        <f>IF(T86="Pass",2,IF(T86="Pending",1,0))-(U86/5)</f>
        <v/>
      </c>
      <c r="AD86" s="109">
        <f>IFERROR(X86/E86*1000,0)</f>
        <v/>
      </c>
    </row>
    <row r="87" ht="15" customHeight="1" s="53">
      <c r="A87" s="52" t="inlineStr">
        <is>
          <t>SKU85</t>
        </is>
      </c>
      <c r="B87" s="52" t="inlineStr">
        <is>
          <t>cosmetics</t>
        </is>
      </c>
      <c r="C87" s="109" t="n">
        <v>76.9629944151939</v>
      </c>
      <c r="D87" s="52" t="n">
        <v>83</v>
      </c>
      <c r="E87" s="52" t="n">
        <v>25</v>
      </c>
      <c r="F87" s="109" t="n">
        <v>8684.613059253859</v>
      </c>
      <c r="G87" s="52" t="inlineStr">
        <is>
          <t>Female</t>
        </is>
      </c>
      <c r="H87" s="52" t="n">
        <v>15</v>
      </c>
      <c r="I87" s="52" t="n">
        <v>66</v>
      </c>
      <c r="J87" s="52" t="n">
        <v>18</v>
      </c>
      <c r="K87" s="52" t="n">
        <v>2</v>
      </c>
      <c r="L87" s="52" t="inlineStr">
        <is>
          <t>Carrier C</t>
        </is>
      </c>
      <c r="M87" s="109" t="n">
        <v>8.24916870487173</v>
      </c>
      <c r="N87" s="52" t="inlineStr">
        <is>
          <t>Supplier 5</t>
        </is>
      </c>
      <c r="O87" s="52" t="inlineStr">
        <is>
          <t>Chennai</t>
        </is>
      </c>
      <c r="P87" s="52" t="n">
        <v>4</v>
      </c>
      <c r="Q87" s="52" t="n">
        <v>211</v>
      </c>
      <c r="R87" s="52" t="n">
        <v>2</v>
      </c>
      <c r="S87" s="109" t="n">
        <v>69.92934551867231</v>
      </c>
      <c r="T87" s="52" t="inlineStr">
        <is>
          <t>Fail</t>
        </is>
      </c>
      <c r="U87" s="110" t="n">
        <v>1.37442899974576</v>
      </c>
      <c r="V87" s="52" t="inlineStr">
        <is>
          <t>Road</t>
        </is>
      </c>
      <c r="W87" s="52" t="inlineStr">
        <is>
          <t>Route B</t>
        </is>
      </c>
      <c r="X87" s="109" t="n">
        <v>842.686830004642</v>
      </c>
      <c r="Y87" s="111">
        <f>IFERROR(H87/I87,0)</f>
        <v/>
      </c>
      <c r="Z87" s="52">
        <f>IF(H87=0,"STOCKOUT",IF(Y87&gt;=1.933,"Overstocked",IF(Y87&lt;=0.3889,"Understocked","Healthy")))</f>
        <v/>
      </c>
      <c r="AA87" s="52">
        <f>IF(K87&gt;8,"Delayed","On Time")</f>
        <v/>
      </c>
      <c r="AB87" s="52">
        <f>MAX(0,K87-8)</f>
        <v/>
      </c>
      <c r="AC87" s="111">
        <f>IF(T87="Pass",2,IF(T87="Pending",1,0))-(U87/5)</f>
        <v/>
      </c>
      <c r="AD87" s="109">
        <f>IFERROR(X87/E87*1000,0)</f>
        <v/>
      </c>
    </row>
    <row r="88" ht="15" customHeight="1" s="53">
      <c r="A88" s="52" t="inlineStr">
        <is>
          <t>SKU86</t>
        </is>
      </c>
      <c r="B88" s="52" t="inlineStr">
        <is>
          <t>skincare</t>
        </is>
      </c>
      <c r="C88" s="109" t="n">
        <v>19.9981769404042</v>
      </c>
      <c r="D88" s="52" t="n">
        <v>18</v>
      </c>
      <c r="E88" s="52" t="n">
        <v>223</v>
      </c>
      <c r="F88" s="109" t="n">
        <v>1229.59102856498</v>
      </c>
      <c r="G88" s="52" t="inlineStr">
        <is>
          <t>Unknown</t>
        </is>
      </c>
      <c r="H88" s="52" t="n">
        <v>32</v>
      </c>
      <c r="I88" s="52" t="n">
        <v>22</v>
      </c>
      <c r="J88" s="52" t="n">
        <v>14</v>
      </c>
      <c r="K88" s="52" t="n">
        <v>6</v>
      </c>
      <c r="L88" s="52" t="inlineStr">
        <is>
          <t>Carrier B</t>
        </is>
      </c>
      <c r="M88" s="109" t="n">
        <v>1.45430531015355</v>
      </c>
      <c r="N88" s="52" t="inlineStr">
        <is>
          <t>Supplier 1</t>
        </is>
      </c>
      <c r="O88" s="52" t="inlineStr">
        <is>
          <t>Mumbai</t>
        </is>
      </c>
      <c r="P88" s="52" t="n">
        <v>4</v>
      </c>
      <c r="Q88" s="52" t="n">
        <v>569</v>
      </c>
      <c r="R88" s="52" t="n">
        <v>18</v>
      </c>
      <c r="S88" s="109" t="n">
        <v>74.6089699951947</v>
      </c>
      <c r="T88" s="52" t="inlineStr">
        <is>
          <t>Pass</t>
        </is>
      </c>
      <c r="U88" s="110" t="n">
        <v>2.05151293076625</v>
      </c>
      <c r="V88" s="52" t="inlineStr">
        <is>
          <t>Rail</t>
        </is>
      </c>
      <c r="W88" s="52" t="inlineStr">
        <is>
          <t>Route A</t>
        </is>
      </c>
      <c r="X88" s="109" t="n">
        <v>264.254889835867</v>
      </c>
      <c r="Y88" s="111">
        <f>IFERROR(H88/I88,0)</f>
        <v/>
      </c>
      <c r="Z88" s="52">
        <f>IF(H88=0,"STOCKOUT",IF(Y88&gt;=1.933,"Overstocked",IF(Y88&lt;=0.3889,"Understocked","Healthy")))</f>
        <v/>
      </c>
      <c r="AA88" s="52">
        <f>IF(K88&gt;8,"Delayed","On Time")</f>
        <v/>
      </c>
      <c r="AB88" s="52">
        <f>MAX(0,K88-8)</f>
        <v/>
      </c>
      <c r="AC88" s="111">
        <f>IF(T88="Pass",2,IF(T88="Pending",1,0))-(U88/5)</f>
        <v/>
      </c>
      <c r="AD88" s="109">
        <f>IFERROR(X88/E88*1000,0)</f>
        <v/>
      </c>
    </row>
    <row r="89" ht="15" customHeight="1" s="53">
      <c r="A89" s="52" t="inlineStr">
        <is>
          <t>SKU87</t>
        </is>
      </c>
      <c r="B89" s="52" t="inlineStr">
        <is>
          <t>haircare</t>
        </is>
      </c>
      <c r="C89" s="109" t="n">
        <v>80.4140366503557</v>
      </c>
      <c r="D89" s="52" t="n">
        <v>24</v>
      </c>
      <c r="E89" s="52" t="n">
        <v>79</v>
      </c>
      <c r="F89" s="109" t="n">
        <v>5133.84670108669</v>
      </c>
      <c r="G89" s="52" t="inlineStr">
        <is>
          <t>Male</t>
        </is>
      </c>
      <c r="H89" s="52" t="n">
        <v>5</v>
      </c>
      <c r="I89" s="52" t="n">
        <v>55</v>
      </c>
      <c r="J89" s="52" t="n">
        <v>7</v>
      </c>
      <c r="K89" s="52" t="n">
        <v>10</v>
      </c>
      <c r="L89" s="52" t="inlineStr">
        <is>
          <t>Carrier A</t>
        </is>
      </c>
      <c r="M89" s="109" t="n">
        <v>6.57580379754854</v>
      </c>
      <c r="N89" s="52" t="inlineStr">
        <is>
          <t>Supplier 3</t>
        </is>
      </c>
      <c r="O89" s="52" t="inlineStr">
        <is>
          <t>Chennai</t>
        </is>
      </c>
      <c r="P89" s="52" t="n">
        <v>27</v>
      </c>
      <c r="Q89" s="52" t="n">
        <v>523</v>
      </c>
      <c r="R89" s="52" t="n">
        <v>17</v>
      </c>
      <c r="S89" s="109" t="n">
        <v>28.6969968241432</v>
      </c>
      <c r="T89" s="52" t="inlineStr">
        <is>
          <t>Fail</t>
        </is>
      </c>
      <c r="U89" s="110" t="n">
        <v>3.69373778783928</v>
      </c>
      <c r="V89" s="52" t="inlineStr">
        <is>
          <t>Sea</t>
        </is>
      </c>
      <c r="W89" s="52" t="inlineStr">
        <is>
          <t>Route B</t>
        </is>
      </c>
      <c r="X89" s="109" t="n">
        <v>879.359217734924</v>
      </c>
      <c r="Y89" s="111">
        <f>IFERROR(H89/I89,0)</f>
        <v/>
      </c>
      <c r="Z89" s="52">
        <f>IF(H89=0,"STOCKOUT",IF(Y89&gt;=1.933,"Overstocked",IF(Y89&lt;=0.3889,"Understocked","Healthy")))</f>
        <v/>
      </c>
      <c r="AA89" s="52">
        <f>IF(K89&gt;8,"Delayed","On Time")</f>
        <v/>
      </c>
      <c r="AB89" s="52">
        <f>MAX(0,K89-8)</f>
        <v/>
      </c>
      <c r="AC89" s="111">
        <f>IF(T89="Pass",2,IF(T89="Pending",1,0))-(U89/5)</f>
        <v/>
      </c>
      <c r="AD89" s="109">
        <f>IFERROR(X89/E89*1000,0)</f>
        <v/>
      </c>
    </row>
    <row r="90" ht="15" customHeight="1" s="53">
      <c r="A90" s="52" t="inlineStr">
        <is>
          <t>SKU88</t>
        </is>
      </c>
      <c r="B90" s="52" t="inlineStr">
        <is>
          <t>cosmetics</t>
        </is>
      </c>
      <c r="C90" s="109" t="n">
        <v>75.270406975725</v>
      </c>
      <c r="D90" s="52" t="n">
        <v>58</v>
      </c>
      <c r="E90" s="52" t="n">
        <v>737</v>
      </c>
      <c r="F90" s="109" t="n">
        <v>9444.742033062979</v>
      </c>
      <c r="G90" s="52" t="inlineStr">
        <is>
          <t>Male</t>
        </is>
      </c>
      <c r="H90" s="52" t="n">
        <v>60</v>
      </c>
      <c r="I90" s="52" t="n">
        <v>85</v>
      </c>
      <c r="J90" s="52" t="n">
        <v>18</v>
      </c>
      <c r="K90" s="52" t="n">
        <v>7</v>
      </c>
      <c r="L90" s="52" t="inlineStr">
        <is>
          <t>Carrier A</t>
        </is>
      </c>
      <c r="M90" s="109" t="n">
        <v>3.80125313293108</v>
      </c>
      <c r="N90" s="52" t="inlineStr">
        <is>
          <t>Supplier 2</t>
        </is>
      </c>
      <c r="O90" s="52" t="inlineStr">
        <is>
          <t>Mumbai</t>
        </is>
      </c>
      <c r="P90" s="52" t="n">
        <v>21</v>
      </c>
      <c r="Q90" s="52" t="n">
        <v>953</v>
      </c>
      <c r="R90" s="52" t="n">
        <v>11</v>
      </c>
      <c r="S90" s="109" t="n">
        <v>68.1849190570412</v>
      </c>
      <c r="T90" s="52" t="inlineStr">
        <is>
          <t>Pending</t>
        </is>
      </c>
      <c r="U90" s="110" t="n">
        <v>0.722204401882931</v>
      </c>
      <c r="V90" s="52" t="inlineStr">
        <is>
          <t>Sea</t>
        </is>
      </c>
      <c r="W90" s="52" t="inlineStr">
        <is>
          <t>Route A</t>
        </is>
      </c>
      <c r="X90" s="109" t="n">
        <v>103.916247960705</v>
      </c>
      <c r="Y90" s="111">
        <f>IFERROR(H90/I90,0)</f>
        <v/>
      </c>
      <c r="Z90" s="52">
        <f>IF(H90=0,"STOCKOUT",IF(Y90&gt;=1.933,"Overstocked",IF(Y90&lt;=0.3889,"Understocked","Healthy")))</f>
        <v/>
      </c>
      <c r="AA90" s="52">
        <f>IF(K90&gt;8,"Delayed","On Time")</f>
        <v/>
      </c>
      <c r="AB90" s="52">
        <f>MAX(0,K90-8)</f>
        <v/>
      </c>
      <c r="AC90" s="111">
        <f>IF(T90="Pass",2,IF(T90="Pending",1,0))-(U90/5)</f>
        <v/>
      </c>
      <c r="AD90" s="109">
        <f>IFERROR(X90/E90*1000,0)</f>
        <v/>
      </c>
    </row>
    <row r="91" ht="15" customHeight="1" s="53">
      <c r="A91" s="52" t="inlineStr">
        <is>
          <t>SKU89</t>
        </is>
      </c>
      <c r="B91" s="52" t="inlineStr">
        <is>
          <t>cosmetics</t>
        </is>
      </c>
      <c r="C91" s="109" t="n">
        <v>97.7600855819387</v>
      </c>
      <c r="D91" s="52" t="n">
        <v>10</v>
      </c>
      <c r="E91" s="52" t="n">
        <v>134</v>
      </c>
      <c r="F91" s="109" t="n">
        <v>5924.68256685323</v>
      </c>
      <c r="G91" s="52" t="inlineStr">
        <is>
          <t>Unknown</t>
        </is>
      </c>
      <c r="H91" s="52" t="n">
        <v>90</v>
      </c>
      <c r="I91" s="52" t="n">
        <v>27</v>
      </c>
      <c r="J91" s="52" t="n">
        <v>1</v>
      </c>
      <c r="K91" s="52" t="n">
        <v>8</v>
      </c>
      <c r="L91" s="52" t="inlineStr">
        <is>
          <t>Carrier B</t>
        </is>
      </c>
      <c r="M91" s="109" t="n">
        <v>9.92981624527726</v>
      </c>
      <c r="N91" s="52" t="inlineStr">
        <is>
          <t>Supplier 1</t>
        </is>
      </c>
      <c r="O91" s="52" t="inlineStr">
        <is>
          <t>Kolkata</t>
        </is>
      </c>
      <c r="P91" s="52" t="n">
        <v>23</v>
      </c>
      <c r="Q91" s="52" t="n">
        <v>370</v>
      </c>
      <c r="R91" s="52" t="n">
        <v>11</v>
      </c>
      <c r="S91" s="109" t="n">
        <v>46.6038733816445</v>
      </c>
      <c r="T91" s="52" t="inlineStr">
        <is>
          <t>Pending</t>
        </is>
      </c>
      <c r="U91" s="110" t="n">
        <v>1.90766573395907</v>
      </c>
      <c r="V91" s="52" t="inlineStr">
        <is>
          <t>Rail</t>
        </is>
      </c>
      <c r="W91" s="52" t="inlineStr">
        <is>
          <t>Route B</t>
        </is>
      </c>
      <c r="X91" s="109" t="n">
        <v>517.499973929061</v>
      </c>
      <c r="Y91" s="111">
        <f>IFERROR(H91/I91,0)</f>
        <v/>
      </c>
      <c r="Z91" s="52">
        <f>IF(H91=0,"STOCKOUT",IF(Y91&gt;=1.933,"Overstocked",IF(Y91&lt;=0.3889,"Understocked","Healthy")))</f>
        <v/>
      </c>
      <c r="AA91" s="52">
        <f>IF(K91&gt;8,"Delayed","On Time")</f>
        <v/>
      </c>
      <c r="AB91" s="52">
        <f>MAX(0,K91-8)</f>
        <v/>
      </c>
      <c r="AC91" s="111">
        <f>IF(T91="Pass",2,IF(T91="Pending",1,0))-(U91/5)</f>
        <v/>
      </c>
      <c r="AD91" s="109">
        <f>IFERROR(X91/E91*1000,0)</f>
        <v/>
      </c>
    </row>
    <row r="92" ht="15" customHeight="1" s="53">
      <c r="A92" s="52" t="inlineStr">
        <is>
          <t>SKU90</t>
        </is>
      </c>
      <c r="B92" s="52" t="inlineStr">
        <is>
          <t>skincare</t>
        </is>
      </c>
      <c r="C92" s="109" t="n">
        <v>13.8819135013591</v>
      </c>
      <c r="D92" s="52" t="n">
        <v>56</v>
      </c>
      <c r="E92" s="52" t="n">
        <v>320</v>
      </c>
      <c r="F92" s="109" t="n">
        <v>9592.63357028031</v>
      </c>
      <c r="G92" s="52" t="inlineStr">
        <is>
          <t>Non-binary</t>
        </is>
      </c>
      <c r="H92" s="52" t="n">
        <v>66</v>
      </c>
      <c r="I92" s="52" t="n">
        <v>96</v>
      </c>
      <c r="J92" s="52" t="n">
        <v>18</v>
      </c>
      <c r="K92" s="52" t="n">
        <v>7</v>
      </c>
      <c r="L92" s="52" t="inlineStr">
        <is>
          <t>Carrier B</t>
        </is>
      </c>
      <c r="M92" s="109" t="n">
        <v>7.67443070811269</v>
      </c>
      <c r="N92" s="52" t="inlineStr">
        <is>
          <t>Supplier 3</t>
        </is>
      </c>
      <c r="O92" s="52" t="inlineStr">
        <is>
          <t>Bangalore</t>
        </is>
      </c>
      <c r="P92" s="52" t="n">
        <v>8</v>
      </c>
      <c r="Q92" s="52" t="n">
        <v>585</v>
      </c>
      <c r="R92" s="52" t="n">
        <v>8</v>
      </c>
      <c r="S92" s="109" t="n">
        <v>85.675963335798</v>
      </c>
      <c r="T92" s="52" t="inlineStr">
        <is>
          <t>Pass</t>
        </is>
      </c>
      <c r="U92" s="110" t="n">
        <v>1.21938222440139</v>
      </c>
      <c r="V92" s="52" t="inlineStr">
        <is>
          <t>Rail</t>
        </is>
      </c>
      <c r="W92" s="52" t="inlineStr">
        <is>
          <t>Route B</t>
        </is>
      </c>
      <c r="X92" s="109" t="n">
        <v>990.078472505811</v>
      </c>
      <c r="Y92" s="111">
        <f>IFERROR(H92/I92,0)</f>
        <v/>
      </c>
      <c r="Z92" s="52">
        <f>IF(H92=0,"STOCKOUT",IF(Y92&gt;=1.933,"Overstocked",IF(Y92&lt;=0.3889,"Understocked","Healthy")))</f>
        <v/>
      </c>
      <c r="AA92" s="52">
        <f>IF(K92&gt;8,"Delayed","On Time")</f>
        <v/>
      </c>
      <c r="AB92" s="52">
        <f>MAX(0,K92-8)</f>
        <v/>
      </c>
      <c r="AC92" s="111">
        <f>IF(T92="Pass",2,IF(T92="Pending",1,0))-(U92/5)</f>
        <v/>
      </c>
      <c r="AD92" s="109">
        <f>IFERROR(X92/E92*1000,0)</f>
        <v/>
      </c>
    </row>
    <row r="93" ht="15" customHeight="1" s="53">
      <c r="A93" s="52" t="inlineStr">
        <is>
          <t>SKU91</t>
        </is>
      </c>
      <c r="B93" s="52" t="inlineStr">
        <is>
          <t>cosmetics</t>
        </is>
      </c>
      <c r="C93" s="109" t="n">
        <v>62.1119654639618</v>
      </c>
      <c r="D93" s="52" t="n">
        <v>90</v>
      </c>
      <c r="E93" s="52" t="n">
        <v>916</v>
      </c>
      <c r="F93" s="109" t="n">
        <v>1935.2067935076</v>
      </c>
      <c r="G93" s="52" t="inlineStr">
        <is>
          <t>Male</t>
        </is>
      </c>
      <c r="H93" s="52" t="n">
        <v>98</v>
      </c>
      <c r="I93" s="52" t="n">
        <v>85</v>
      </c>
      <c r="J93" s="52" t="n">
        <v>22</v>
      </c>
      <c r="K93" s="52" t="n">
        <v>7</v>
      </c>
      <c r="L93" s="52" t="inlineStr">
        <is>
          <t>Carrier B</t>
        </is>
      </c>
      <c r="M93" s="109" t="n">
        <v>7.47151408440115</v>
      </c>
      <c r="N93" s="52" t="inlineStr">
        <is>
          <t>Supplier 4</t>
        </is>
      </c>
      <c r="O93" s="52" t="inlineStr">
        <is>
          <t>Delhi</t>
        </is>
      </c>
      <c r="P93" s="52" t="n">
        <v>5</v>
      </c>
      <c r="Q93" s="52" t="n">
        <v>207</v>
      </c>
      <c r="R93" s="52" t="n">
        <v>28</v>
      </c>
      <c r="S93" s="109" t="n">
        <v>39.77288250234</v>
      </c>
      <c r="T93" s="52" t="inlineStr">
        <is>
          <t>Pending</t>
        </is>
      </c>
      <c r="U93" s="110" t="n">
        <v>0.626001858209395</v>
      </c>
      <c r="V93" s="52" t="inlineStr">
        <is>
          <t>Rail</t>
        </is>
      </c>
      <c r="W93" s="52" t="inlineStr">
        <is>
          <t>Route B</t>
        </is>
      </c>
      <c r="X93" s="109" t="n">
        <v>996.778314950624</v>
      </c>
      <c r="Y93" s="111">
        <f>IFERROR(H93/I93,0)</f>
        <v/>
      </c>
      <c r="Z93" s="52">
        <f>IF(H93=0,"STOCKOUT",IF(Y93&gt;=1.933,"Overstocked",IF(Y93&lt;=0.3889,"Understocked","Healthy")))</f>
        <v/>
      </c>
      <c r="AA93" s="52">
        <f>IF(K93&gt;8,"Delayed","On Time")</f>
        <v/>
      </c>
      <c r="AB93" s="52">
        <f>MAX(0,K93-8)</f>
        <v/>
      </c>
      <c r="AC93" s="111">
        <f>IF(T93="Pass",2,IF(T93="Pending",1,0))-(U93/5)</f>
        <v/>
      </c>
      <c r="AD93" s="109">
        <f>IFERROR(X93/E93*1000,0)</f>
        <v/>
      </c>
    </row>
    <row r="94" ht="15" customHeight="1" s="53">
      <c r="A94" s="52" t="inlineStr">
        <is>
          <t>SKU92</t>
        </is>
      </c>
      <c r="B94" s="52" t="inlineStr">
        <is>
          <t>cosmetics</t>
        </is>
      </c>
      <c r="C94" s="109" t="n">
        <v>47.7142330758202</v>
      </c>
      <c r="D94" s="52" t="n">
        <v>44</v>
      </c>
      <c r="E94" s="52" t="n">
        <v>276</v>
      </c>
      <c r="F94" s="109" t="n">
        <v>2100.12975462594</v>
      </c>
      <c r="G94" s="52" t="inlineStr">
        <is>
          <t>Male</t>
        </is>
      </c>
      <c r="H94" s="52" t="n">
        <v>90</v>
      </c>
      <c r="I94" s="52" t="n">
        <v>10</v>
      </c>
      <c r="J94" s="52" t="n">
        <v>25</v>
      </c>
      <c r="K94" s="52" t="n">
        <v>8</v>
      </c>
      <c r="L94" s="52" t="inlineStr">
        <is>
          <t>Carrier B</t>
        </is>
      </c>
      <c r="M94" s="109" t="n">
        <v>4.4695000261236</v>
      </c>
      <c r="N94" s="52" t="inlineStr">
        <is>
          <t>Supplier 2</t>
        </is>
      </c>
      <c r="O94" s="52" t="inlineStr">
        <is>
          <t>Mumbai</t>
        </is>
      </c>
      <c r="P94" s="52" t="n">
        <v>4</v>
      </c>
      <c r="Q94" s="52" t="n">
        <v>671</v>
      </c>
      <c r="R94" s="52" t="n">
        <v>29</v>
      </c>
      <c r="S94" s="109" t="n">
        <v>62.6126903956143</v>
      </c>
      <c r="T94" s="52" t="inlineStr">
        <is>
          <t>Pass</t>
        </is>
      </c>
      <c r="U94" s="110" t="n">
        <v>0.333431825224739</v>
      </c>
      <c r="V94" s="52" t="inlineStr">
        <is>
          <t>Rail</t>
        </is>
      </c>
      <c r="W94" s="52" t="inlineStr">
        <is>
          <t>Route B</t>
        </is>
      </c>
      <c r="X94" s="109" t="n">
        <v>230.092782536763</v>
      </c>
      <c r="Y94" s="111">
        <f>IFERROR(H94/I94,0)</f>
        <v/>
      </c>
      <c r="Z94" s="52">
        <f>IF(H94=0,"STOCKOUT",IF(Y94&gt;=1.933,"Overstocked",IF(Y94&lt;=0.3889,"Understocked","Healthy")))</f>
        <v/>
      </c>
      <c r="AA94" s="52">
        <f>IF(K94&gt;8,"Delayed","On Time")</f>
        <v/>
      </c>
      <c r="AB94" s="52">
        <f>MAX(0,K94-8)</f>
        <v/>
      </c>
      <c r="AC94" s="111">
        <f>IF(T94="Pass",2,IF(T94="Pending",1,0))-(U94/5)</f>
        <v/>
      </c>
      <c r="AD94" s="109">
        <f>IFERROR(X94/E94*1000,0)</f>
        <v/>
      </c>
    </row>
    <row r="95" ht="15" customHeight="1" s="53">
      <c r="A95" s="52" t="inlineStr">
        <is>
          <t>SKU93</t>
        </is>
      </c>
      <c r="B95" s="52" t="inlineStr">
        <is>
          <t>haircare</t>
        </is>
      </c>
      <c r="C95" s="109" t="n">
        <v>69.29083100290551</v>
      </c>
      <c r="D95" s="52" t="n">
        <v>88</v>
      </c>
      <c r="E95" s="52" t="n">
        <v>114</v>
      </c>
      <c r="F95" s="109" t="n">
        <v>4531.40213369191</v>
      </c>
      <c r="G95" s="52" t="inlineStr">
        <is>
          <t>Unknown</t>
        </is>
      </c>
      <c r="H95" s="52" t="n">
        <v>63</v>
      </c>
      <c r="I95" s="52" t="n">
        <v>66</v>
      </c>
      <c r="J95" s="52" t="n">
        <v>17</v>
      </c>
      <c r="K95" s="52" t="n">
        <v>1</v>
      </c>
      <c r="L95" s="52" t="inlineStr">
        <is>
          <t>Carrier C</t>
        </is>
      </c>
      <c r="M95" s="109" t="n">
        <v>7.00643205900439</v>
      </c>
      <c r="N95" s="52" t="inlineStr">
        <is>
          <t>Supplier 4</t>
        </is>
      </c>
      <c r="O95" s="52" t="inlineStr">
        <is>
          <t>Chennai</t>
        </is>
      </c>
      <c r="P95" s="52" t="n">
        <v>21</v>
      </c>
      <c r="Q95" s="52" t="n">
        <v>824</v>
      </c>
      <c r="R95" s="52" t="n">
        <v>20</v>
      </c>
      <c r="S95" s="109" t="n">
        <v>35.6336523433439</v>
      </c>
      <c r="T95" s="52" t="inlineStr">
        <is>
          <t>Fail</t>
        </is>
      </c>
      <c r="U95" s="110" t="n">
        <v>4.16578179542415</v>
      </c>
      <c r="V95" s="52" t="inlineStr">
        <is>
          <t>Air</t>
        </is>
      </c>
      <c r="W95" s="52" t="inlineStr">
        <is>
          <t>Route A</t>
        </is>
      </c>
      <c r="X95" s="109" t="n">
        <v>823.523845888156</v>
      </c>
      <c r="Y95" s="111">
        <f>IFERROR(H95/I95,0)</f>
        <v/>
      </c>
      <c r="Z95" s="52">
        <f>IF(H95=0,"STOCKOUT",IF(Y95&gt;=1.933,"Overstocked",IF(Y95&lt;=0.3889,"Understocked","Healthy")))</f>
        <v/>
      </c>
      <c r="AA95" s="52">
        <f>IF(K95&gt;8,"Delayed","On Time")</f>
        <v/>
      </c>
      <c r="AB95" s="52">
        <f>MAX(0,K95-8)</f>
        <v/>
      </c>
      <c r="AC95" s="111">
        <f>IF(T95="Pass",2,IF(T95="Pending",1,0))-(U95/5)</f>
        <v/>
      </c>
      <c r="AD95" s="109">
        <f>IFERROR(X95/E95*1000,0)</f>
        <v/>
      </c>
    </row>
    <row r="96" ht="15" customHeight="1" s="53">
      <c r="A96" s="52" t="inlineStr">
        <is>
          <t>SKU94</t>
        </is>
      </c>
      <c r="B96" s="52" t="inlineStr">
        <is>
          <t>cosmetics</t>
        </is>
      </c>
      <c r="C96" s="109" t="n">
        <v>3.03768872463141</v>
      </c>
      <c r="D96" s="52" t="n">
        <v>97</v>
      </c>
      <c r="E96" s="52" t="n">
        <v>987</v>
      </c>
      <c r="F96" s="109" t="n">
        <v>7888.35654666187</v>
      </c>
      <c r="G96" s="52" t="inlineStr">
        <is>
          <t>Unknown</t>
        </is>
      </c>
      <c r="H96" s="52" t="n">
        <v>77</v>
      </c>
      <c r="I96" s="52" t="n">
        <v>72</v>
      </c>
      <c r="J96" s="52" t="n">
        <v>26</v>
      </c>
      <c r="K96" s="52" t="n">
        <v>9</v>
      </c>
      <c r="L96" s="52" t="inlineStr">
        <is>
          <t>Carrier B</t>
        </is>
      </c>
      <c r="M96" s="109" t="n">
        <v>6.94294594203258</v>
      </c>
      <c r="N96" s="52" t="inlineStr">
        <is>
          <t>Supplier 2</t>
        </is>
      </c>
      <c r="O96" s="52" t="inlineStr">
        <is>
          <t>Delhi</t>
        </is>
      </c>
      <c r="P96" s="52" t="n">
        <v>12</v>
      </c>
      <c r="Q96" s="52" t="n">
        <v>908</v>
      </c>
      <c r="R96" s="52" t="n">
        <v>14</v>
      </c>
      <c r="S96" s="109" t="n">
        <v>60.3873786148621</v>
      </c>
      <c r="T96" s="52" t="inlineStr">
        <is>
          <t>Pass</t>
        </is>
      </c>
      <c r="U96" s="110" t="n">
        <v>1.46360749847278</v>
      </c>
      <c r="V96" s="52" t="inlineStr">
        <is>
          <t>Rail</t>
        </is>
      </c>
      <c r="W96" s="52" t="inlineStr">
        <is>
          <t>Route B</t>
        </is>
      </c>
      <c r="X96" s="109" t="n">
        <v>846.665256986695</v>
      </c>
      <c r="Y96" s="111">
        <f>IFERROR(H96/I96,0)</f>
        <v/>
      </c>
      <c r="Z96" s="52">
        <f>IF(H96=0,"STOCKOUT",IF(Y96&gt;=1.933,"Overstocked",IF(Y96&lt;=0.3889,"Understocked","Healthy")))</f>
        <v/>
      </c>
      <c r="AA96" s="52">
        <f>IF(K96&gt;8,"Delayed","On Time")</f>
        <v/>
      </c>
      <c r="AB96" s="52">
        <f>MAX(0,K96-8)</f>
        <v/>
      </c>
      <c r="AC96" s="111">
        <f>IF(T96="Pass",2,IF(T96="Pending",1,0))-(U96/5)</f>
        <v/>
      </c>
      <c r="AD96" s="109">
        <f>IFERROR(X96/E96*1000,0)</f>
        <v/>
      </c>
    </row>
    <row r="97" ht="15" customHeight="1" s="53">
      <c r="A97" s="52" t="inlineStr">
        <is>
          <t>SKU95</t>
        </is>
      </c>
      <c r="B97" s="52" t="inlineStr">
        <is>
          <t>haircare</t>
        </is>
      </c>
      <c r="C97" s="109" t="n">
        <v>77.90392721944779</v>
      </c>
      <c r="D97" s="52" t="n">
        <v>65</v>
      </c>
      <c r="E97" s="52" t="n">
        <v>672</v>
      </c>
      <c r="F97" s="109" t="n">
        <v>7386.36394404866</v>
      </c>
      <c r="G97" s="52" t="inlineStr">
        <is>
          <t>Unknown</t>
        </is>
      </c>
      <c r="H97" s="52" t="n">
        <v>15</v>
      </c>
      <c r="I97" s="52" t="n">
        <v>26</v>
      </c>
      <c r="J97" s="52" t="n">
        <v>14</v>
      </c>
      <c r="K97" s="52" t="n">
        <v>9</v>
      </c>
      <c r="L97" s="52" t="inlineStr">
        <is>
          <t>Carrier B</t>
        </is>
      </c>
      <c r="M97" s="109" t="n">
        <v>8.630338869602751</v>
      </c>
      <c r="N97" s="52" t="inlineStr">
        <is>
          <t>Supplier 4</t>
        </is>
      </c>
      <c r="O97" s="52" t="inlineStr">
        <is>
          <t>Mumbai</t>
        </is>
      </c>
      <c r="P97" s="52" t="n">
        <v>18</v>
      </c>
      <c r="Q97" s="52" t="n">
        <v>450</v>
      </c>
      <c r="R97" s="52" t="n">
        <v>26</v>
      </c>
      <c r="S97" s="109" t="n">
        <v>58.89068576859</v>
      </c>
      <c r="T97" s="52" t="inlineStr">
        <is>
          <t>Pending</t>
        </is>
      </c>
      <c r="U97" s="110" t="n">
        <v>1.21088212958507</v>
      </c>
      <c r="V97" s="52" t="inlineStr">
        <is>
          <t>Air</t>
        </is>
      </c>
      <c r="W97" s="52" t="inlineStr">
        <is>
          <t>Route A</t>
        </is>
      </c>
      <c r="X97" s="109" t="n">
        <v>778.864241376648</v>
      </c>
      <c r="Y97" s="111">
        <f>IFERROR(H97/I97,0)</f>
        <v/>
      </c>
      <c r="Z97" s="52">
        <f>IF(H97=0,"STOCKOUT",IF(Y97&gt;=1.933,"Overstocked",IF(Y97&lt;=0.3889,"Understocked","Healthy")))</f>
        <v/>
      </c>
      <c r="AA97" s="52">
        <f>IF(K97&gt;8,"Delayed","On Time")</f>
        <v/>
      </c>
      <c r="AB97" s="52">
        <f>MAX(0,K97-8)</f>
        <v/>
      </c>
      <c r="AC97" s="111">
        <f>IF(T97="Pass",2,IF(T97="Pending",1,0))-(U97/5)</f>
        <v/>
      </c>
      <c r="AD97" s="109">
        <f>IFERROR(X97/E97*1000,0)</f>
        <v/>
      </c>
    </row>
    <row r="98" ht="15" customHeight="1" s="53">
      <c r="A98" s="52" t="inlineStr">
        <is>
          <t>SKU96</t>
        </is>
      </c>
      <c r="B98" s="52" t="inlineStr">
        <is>
          <t>cosmetics</t>
        </is>
      </c>
      <c r="C98" s="109" t="n">
        <v>24.4231314203734</v>
      </c>
      <c r="D98" s="52" t="n">
        <v>29</v>
      </c>
      <c r="E98" s="52" t="n">
        <v>324</v>
      </c>
      <c r="F98" s="109" t="n">
        <v>7698.42476563212</v>
      </c>
      <c r="G98" s="52" t="inlineStr">
        <is>
          <t>Non-binary</t>
        </is>
      </c>
      <c r="H98" s="52" t="n">
        <v>67</v>
      </c>
      <c r="I98" s="52" t="n">
        <v>32</v>
      </c>
      <c r="J98" s="52" t="n">
        <v>2</v>
      </c>
      <c r="K98" s="52" t="n">
        <v>3</v>
      </c>
      <c r="L98" s="52" t="inlineStr">
        <is>
          <t>Carrier C</t>
        </is>
      </c>
      <c r="M98" s="109" t="n">
        <v>5.35287804399681</v>
      </c>
      <c r="N98" s="52" t="inlineStr">
        <is>
          <t>Supplier 3</t>
        </is>
      </c>
      <c r="O98" s="52" t="inlineStr">
        <is>
          <t>Mumbai</t>
        </is>
      </c>
      <c r="P98" s="52" t="n">
        <v>28</v>
      </c>
      <c r="Q98" s="52" t="n">
        <v>648</v>
      </c>
      <c r="R98" s="52" t="n">
        <v>28</v>
      </c>
      <c r="S98" s="109" t="n">
        <v>17.8037563313913</v>
      </c>
      <c r="T98" s="52" t="inlineStr">
        <is>
          <t>Pending</t>
        </is>
      </c>
      <c r="U98" s="110" t="n">
        <v>3.87204768148213</v>
      </c>
      <c r="V98" s="52" t="inlineStr">
        <is>
          <t>Road</t>
        </is>
      </c>
      <c r="W98" s="52" t="inlineStr">
        <is>
          <t>Route A</t>
        </is>
      </c>
      <c r="X98" s="109" t="n">
        <v>188.742141149057</v>
      </c>
      <c r="Y98" s="111">
        <f>IFERROR(H98/I98,0)</f>
        <v/>
      </c>
      <c r="Z98" s="52">
        <f>IF(H98=0,"STOCKOUT",IF(Y98&gt;=1.933,"Overstocked",IF(Y98&lt;=0.3889,"Understocked","Healthy")))</f>
        <v/>
      </c>
      <c r="AA98" s="52">
        <f>IF(K98&gt;8,"Delayed","On Time")</f>
        <v/>
      </c>
      <c r="AB98" s="52">
        <f>MAX(0,K98-8)</f>
        <v/>
      </c>
      <c r="AC98" s="111">
        <f>IF(T98="Pass",2,IF(T98="Pending",1,0))-(U98/5)</f>
        <v/>
      </c>
      <c r="AD98" s="109">
        <f>IFERROR(X98/E98*1000,0)</f>
        <v/>
      </c>
    </row>
    <row r="99" ht="15" customHeight="1" s="53">
      <c r="A99" s="52" t="inlineStr">
        <is>
          <t>SKU97</t>
        </is>
      </c>
      <c r="B99" s="52" t="inlineStr">
        <is>
          <t>haircare</t>
        </is>
      </c>
      <c r="C99" s="109" t="n">
        <v>3.52611125914342</v>
      </c>
      <c r="D99" s="52" t="n">
        <v>56</v>
      </c>
      <c r="E99" s="52" t="n">
        <v>62</v>
      </c>
      <c r="F99" s="109" t="n">
        <v>4370.91657998454</v>
      </c>
      <c r="G99" s="52" t="inlineStr">
        <is>
          <t>Male</t>
        </is>
      </c>
      <c r="H99" s="52" t="n">
        <v>46</v>
      </c>
      <c r="I99" s="52" t="n">
        <v>4</v>
      </c>
      <c r="J99" s="52" t="n">
        <v>19</v>
      </c>
      <c r="K99" s="52" t="n">
        <v>9</v>
      </c>
      <c r="L99" s="52" t="inlineStr">
        <is>
          <t>Carrier A</t>
        </is>
      </c>
      <c r="M99" s="109" t="n">
        <v>7.90484561120968</v>
      </c>
      <c r="N99" s="52" t="inlineStr">
        <is>
          <t>Supplier 4</t>
        </is>
      </c>
      <c r="O99" s="52" t="inlineStr">
        <is>
          <t>Mumbai</t>
        </is>
      </c>
      <c r="P99" s="52" t="n">
        <v>10</v>
      </c>
      <c r="Q99" s="52" t="n">
        <v>535</v>
      </c>
      <c r="R99" s="52" t="n">
        <v>13</v>
      </c>
      <c r="S99" s="109" t="n">
        <v>65.7651559263675</v>
      </c>
      <c r="T99" s="52" t="inlineStr">
        <is>
          <t>Fail</t>
        </is>
      </c>
      <c r="U99" s="110" t="n">
        <v>3.37623783471798</v>
      </c>
      <c r="V99" s="52" t="inlineStr">
        <is>
          <t>Road</t>
        </is>
      </c>
      <c r="W99" s="52" t="inlineStr">
        <is>
          <t>Route A</t>
        </is>
      </c>
      <c r="X99" s="109" t="n">
        <v>540.132422867968</v>
      </c>
      <c r="Y99" s="111">
        <f>IFERROR(H99/I99,0)</f>
        <v/>
      </c>
      <c r="Z99" s="52">
        <f>IF(H99=0,"STOCKOUT",IF(Y99&gt;=1.933,"Overstocked",IF(Y99&lt;=0.3889,"Understocked","Healthy")))</f>
        <v/>
      </c>
      <c r="AA99" s="52">
        <f>IF(K99&gt;8,"Delayed","On Time")</f>
        <v/>
      </c>
      <c r="AB99" s="52">
        <f>MAX(0,K99-8)</f>
        <v/>
      </c>
      <c r="AC99" s="111">
        <f>IF(T99="Pass",2,IF(T99="Pending",1,0))-(U99/5)</f>
        <v/>
      </c>
      <c r="AD99" s="109">
        <f>IFERROR(X99/E99*1000,0)</f>
        <v/>
      </c>
    </row>
    <row r="100" ht="15" customHeight="1" s="53">
      <c r="A100" s="52" t="inlineStr">
        <is>
          <t>SKU98</t>
        </is>
      </c>
      <c r="B100" s="52" t="inlineStr">
        <is>
          <t>skincare</t>
        </is>
      </c>
      <c r="C100" s="109" t="n">
        <v>19.7546048668786</v>
      </c>
      <c r="D100" s="52" t="n">
        <v>43</v>
      </c>
      <c r="E100" s="52" t="n">
        <v>913</v>
      </c>
      <c r="F100" s="109" t="n">
        <v>8525.95255968353</v>
      </c>
      <c r="G100" s="52" t="inlineStr">
        <is>
          <t>Female</t>
        </is>
      </c>
      <c r="H100" s="52" t="n">
        <v>53</v>
      </c>
      <c r="I100" s="52" t="n">
        <v>27</v>
      </c>
      <c r="J100" s="52" t="n">
        <v>1</v>
      </c>
      <c r="K100" s="52" t="n">
        <v>7</v>
      </c>
      <c r="L100" s="52" t="inlineStr">
        <is>
          <t>Carrier B</t>
        </is>
      </c>
      <c r="M100" s="109" t="n">
        <v>1.40980109513807</v>
      </c>
      <c r="N100" s="52" t="inlineStr">
        <is>
          <t>Supplier 5</t>
        </is>
      </c>
      <c r="O100" s="52" t="inlineStr">
        <is>
          <t>Chennai</t>
        </is>
      </c>
      <c r="P100" s="52" t="n">
        <v>28</v>
      </c>
      <c r="Q100" s="52" t="n">
        <v>581</v>
      </c>
      <c r="R100" s="52" t="n">
        <v>9</v>
      </c>
      <c r="S100" s="109" t="n">
        <v>5.60469086437178</v>
      </c>
      <c r="T100" s="52" t="inlineStr">
        <is>
          <t>Pending</t>
        </is>
      </c>
      <c r="U100" s="110" t="n">
        <v>2.90812216935126</v>
      </c>
      <c r="V100" s="52" t="inlineStr">
        <is>
          <t>Rail</t>
        </is>
      </c>
      <c r="W100" s="52" t="inlineStr">
        <is>
          <t>Route A</t>
        </is>
      </c>
      <c r="X100" s="109" t="n">
        <v>882.198863547042</v>
      </c>
      <c r="Y100" s="111">
        <f>IFERROR(H100/I100,0)</f>
        <v/>
      </c>
      <c r="Z100" s="52">
        <f>IF(H100=0,"STOCKOUT",IF(Y100&gt;=1.933,"Overstocked",IF(Y100&lt;=0.3889,"Understocked","Healthy")))</f>
        <v/>
      </c>
      <c r="AA100" s="52">
        <f>IF(K100&gt;8,"Delayed","On Time")</f>
        <v/>
      </c>
      <c r="AB100" s="52">
        <f>MAX(0,K100-8)</f>
        <v/>
      </c>
      <c r="AC100" s="111">
        <f>IF(T100="Pass",2,IF(T100="Pending",1,0))-(U100/5)</f>
        <v/>
      </c>
      <c r="AD100" s="109">
        <f>IFERROR(X100/E100*1000,0)</f>
        <v/>
      </c>
    </row>
    <row r="101" ht="15" customHeight="1" s="53">
      <c r="A101" s="52" t="inlineStr">
        <is>
          <t>SKU99</t>
        </is>
      </c>
      <c r="B101" s="52" t="inlineStr">
        <is>
          <t>haircare</t>
        </is>
      </c>
      <c r="C101" s="109" t="n">
        <v>68.5178326992766</v>
      </c>
      <c r="D101" s="52" t="n">
        <v>17</v>
      </c>
      <c r="E101" s="52" t="n">
        <v>627</v>
      </c>
      <c r="F101" s="109" t="n">
        <v>9185.185829181701</v>
      </c>
      <c r="G101" s="52" t="inlineStr">
        <is>
          <t>Unknown</t>
        </is>
      </c>
      <c r="H101" s="52" t="n">
        <v>55</v>
      </c>
      <c r="I101" s="52" t="n">
        <v>59</v>
      </c>
      <c r="J101" s="52" t="n">
        <v>8</v>
      </c>
      <c r="K101" s="52" t="n">
        <v>6</v>
      </c>
      <c r="L101" s="52" t="inlineStr">
        <is>
          <t>Carrier B</t>
        </is>
      </c>
      <c r="M101" s="109" t="n">
        <v>1.31102375612062</v>
      </c>
      <c r="N101" s="52" t="inlineStr">
        <is>
          <t>Supplier 2</t>
        </is>
      </c>
      <c r="O101" s="52" t="inlineStr">
        <is>
          <t>Chennai</t>
        </is>
      </c>
      <c r="P101" s="52" t="n">
        <v>29</v>
      </c>
      <c r="Q101" s="52" t="n">
        <v>921</v>
      </c>
      <c r="R101" s="52" t="n">
        <v>2</v>
      </c>
      <c r="S101" s="109" t="n">
        <v>38.072898520626</v>
      </c>
      <c r="T101" s="52" t="inlineStr">
        <is>
          <t>Fail</t>
        </is>
      </c>
      <c r="U101" s="110" t="n">
        <v>0.346027290705503</v>
      </c>
      <c r="V101" s="52" t="inlineStr">
        <is>
          <t>Rail</t>
        </is>
      </c>
      <c r="W101" s="52" t="inlineStr">
        <is>
          <t>Route B</t>
        </is>
      </c>
      <c r="X101" s="109" t="n">
        <v>210.743008964246</v>
      </c>
      <c r="Y101" s="111">
        <f>IFERROR(H101/I101,0)</f>
        <v/>
      </c>
      <c r="Z101" s="52">
        <f>IF(H101=0,"STOCKOUT",IF(Y101&gt;=1.933,"Overstocked",IF(Y101&lt;=0.3889,"Understocked","Healthy")))</f>
        <v/>
      </c>
      <c r="AA101" s="52">
        <f>IF(K101&gt;8,"Delayed","On Time")</f>
        <v/>
      </c>
      <c r="AB101" s="52">
        <f>MAX(0,K101-8)</f>
        <v/>
      </c>
      <c r="AC101" s="111">
        <f>IF(T101="Pass",2,IF(T101="Pending",1,0))-(U101/5)</f>
        <v/>
      </c>
      <c r="AD101" s="109">
        <f>IFERROR(X101/E101*1000,0)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2026-06-21T15:01:51Z</dcterms:created>
  <dcterms:modified xmlns:dcterms="http://purl.org/dc/terms/" xmlns:xsi="http://www.w3.org/2001/XMLSchema-instance" xsi:type="dcterms:W3CDTF">2026-06-21T15:28:30Z</dcterms:modified>
  <cp:revision>10</cp:revision>
</cp:coreProperties>
</file>