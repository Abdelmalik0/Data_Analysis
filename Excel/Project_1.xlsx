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PROJECTS\EXCEL\"/>
    </mc:Choice>
  </mc:AlternateContent>
  <xr:revisionPtr revIDLastSave="0" documentId="13_ncr:1_{34BCD5DD-5875-44F3-803D-F7B5E0F1798A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Sheet1" sheetId="1" r:id="rId1"/>
    <sheet name="Dashboard" sheetId="2" r:id="rId2"/>
  </sheets>
  <definedNames>
    <definedName name="_xlchart.v5.0" hidden="1">Dashboard!$C$55</definedName>
    <definedName name="_xlchart.v5.1" hidden="1">Dashboard!$C$57</definedName>
    <definedName name="_xlchart.v5.2" hidden="1">Dashboard!$D$55:$AC$55</definedName>
    <definedName name="_xlchart.v5.3" hidden="1">Dashboard!$D$57:$AC$57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P3" i="1" l="1"/>
  <c r="BE2" i="1"/>
  <c r="BA3" i="1"/>
  <c r="D55" i="2"/>
  <c r="L3" i="1"/>
  <c r="D36" i="1"/>
  <c r="E36" i="1" s="1"/>
  <c r="Z36" i="1" s="1"/>
  <c r="D37" i="1"/>
  <c r="E37" i="1" s="1"/>
  <c r="Z37" i="1" s="1"/>
  <c r="D38" i="1"/>
  <c r="E38" i="1" s="1"/>
  <c r="Z38" i="1" s="1"/>
  <c r="D39" i="1"/>
  <c r="E39" i="1" s="1"/>
  <c r="AA39" i="1" s="1"/>
  <c r="D40" i="1"/>
  <c r="E40" i="1" s="1"/>
  <c r="Z40" i="1" s="1"/>
  <c r="D41" i="1"/>
  <c r="E41" i="1" s="1"/>
  <c r="Z41" i="1" s="1"/>
  <c r="D42" i="1"/>
  <c r="E42" i="1" s="1"/>
  <c r="Z42" i="1" s="1"/>
  <c r="D43" i="1"/>
  <c r="E43" i="1" s="1"/>
  <c r="AA43" i="1" s="1"/>
  <c r="D44" i="1"/>
  <c r="E44" i="1" s="1"/>
  <c r="Z44" i="1" s="1"/>
  <c r="D45" i="1"/>
  <c r="E45" i="1" s="1"/>
  <c r="Z45" i="1" s="1"/>
  <c r="D46" i="1"/>
  <c r="E46" i="1" s="1"/>
  <c r="Z46" i="1" s="1"/>
  <c r="D47" i="1"/>
  <c r="E47" i="1" s="1"/>
  <c r="Z47" i="1" s="1"/>
  <c r="D48" i="1"/>
  <c r="E48" i="1" s="1"/>
  <c r="Z48" i="1" s="1"/>
  <c r="D49" i="1"/>
  <c r="E49" i="1" s="1"/>
  <c r="Z49" i="1" s="1"/>
  <c r="D50" i="1"/>
  <c r="E50" i="1" s="1"/>
  <c r="Z50" i="1" s="1"/>
  <c r="D51" i="1"/>
  <c r="E51" i="1" s="1"/>
  <c r="AA51" i="1" s="1"/>
  <c r="D52" i="1"/>
  <c r="E52" i="1" s="1"/>
  <c r="Z52" i="1" s="1"/>
  <c r="D53" i="1"/>
  <c r="E53" i="1" s="1"/>
  <c r="Z53" i="1" s="1"/>
  <c r="D54" i="1"/>
  <c r="E54" i="1" s="1"/>
  <c r="Z54" i="1" s="1"/>
  <c r="D55" i="1"/>
  <c r="E55" i="1" s="1"/>
  <c r="AA55" i="1" s="1"/>
  <c r="D56" i="1"/>
  <c r="E56" i="1" s="1"/>
  <c r="Z56" i="1" s="1"/>
  <c r="D57" i="1"/>
  <c r="E57" i="1" s="1"/>
  <c r="Z57" i="1" s="1"/>
  <c r="D58" i="1"/>
  <c r="E58" i="1" s="1"/>
  <c r="Z58" i="1" s="1"/>
  <c r="D59" i="1"/>
  <c r="E59" i="1" s="1"/>
  <c r="AA59" i="1" s="1"/>
  <c r="D60" i="1"/>
  <c r="E60" i="1" s="1"/>
  <c r="Z60" i="1" s="1"/>
  <c r="D61" i="1"/>
  <c r="E61" i="1" s="1"/>
  <c r="Z61" i="1" s="1"/>
  <c r="D62" i="1"/>
  <c r="E62" i="1" s="1"/>
  <c r="Z62" i="1" s="1"/>
  <c r="D63" i="1"/>
  <c r="E63" i="1" s="1"/>
  <c r="AA63" i="1" s="1"/>
  <c r="D64" i="1"/>
  <c r="E64" i="1" s="1"/>
  <c r="Z64" i="1" s="1"/>
  <c r="D65" i="1"/>
  <c r="E65" i="1" s="1"/>
  <c r="Z65" i="1" s="1"/>
  <c r="D66" i="1"/>
  <c r="E66" i="1" s="1"/>
  <c r="Z66" i="1" s="1"/>
  <c r="D67" i="1"/>
  <c r="E67" i="1" s="1"/>
  <c r="AA67" i="1" s="1"/>
  <c r="D68" i="1"/>
  <c r="E68" i="1" s="1"/>
  <c r="Z68" i="1" s="1"/>
  <c r="D69" i="1"/>
  <c r="E69" i="1" s="1"/>
  <c r="Z69" i="1" s="1"/>
  <c r="D70" i="1"/>
  <c r="E70" i="1" s="1"/>
  <c r="Z70" i="1" s="1"/>
  <c r="D71" i="1"/>
  <c r="E71" i="1" s="1"/>
  <c r="AA71" i="1" s="1"/>
  <c r="D72" i="1"/>
  <c r="E72" i="1" s="1"/>
  <c r="Z72" i="1" s="1"/>
  <c r="D73" i="1"/>
  <c r="E73" i="1" s="1"/>
  <c r="Z73" i="1" s="1"/>
  <c r="D74" i="1"/>
  <c r="E74" i="1" s="1"/>
  <c r="Z74" i="1" s="1"/>
  <c r="D75" i="1"/>
  <c r="E75" i="1" s="1"/>
  <c r="AA75" i="1" s="1"/>
  <c r="D76" i="1"/>
  <c r="E76" i="1" s="1"/>
  <c r="Z76" i="1" s="1"/>
  <c r="D77" i="1"/>
  <c r="E77" i="1" s="1"/>
  <c r="Z77" i="1" s="1"/>
  <c r="D78" i="1"/>
  <c r="E78" i="1" s="1"/>
  <c r="Z78" i="1" s="1"/>
  <c r="D79" i="1"/>
  <c r="E79" i="1" s="1"/>
  <c r="AA79" i="1" s="1"/>
  <c r="D80" i="1"/>
  <c r="E80" i="1" s="1"/>
  <c r="Z80" i="1" s="1"/>
  <c r="D81" i="1"/>
  <c r="E81" i="1" s="1"/>
  <c r="Z81" i="1" s="1"/>
  <c r="D82" i="1"/>
  <c r="E82" i="1" s="1"/>
  <c r="Z82" i="1" s="1"/>
  <c r="D83" i="1"/>
  <c r="E83" i="1" s="1"/>
  <c r="AA83" i="1" s="1"/>
  <c r="D84" i="1"/>
  <c r="E84" i="1" s="1"/>
  <c r="Z84" i="1" s="1"/>
  <c r="D85" i="1"/>
  <c r="E85" i="1" s="1"/>
  <c r="Z85" i="1" s="1"/>
  <c r="D86" i="1"/>
  <c r="E86" i="1" s="1"/>
  <c r="Z86" i="1" s="1"/>
  <c r="D87" i="1"/>
  <c r="E87" i="1" s="1"/>
  <c r="AA87" i="1" s="1"/>
  <c r="D88" i="1"/>
  <c r="E88" i="1" s="1"/>
  <c r="Z88" i="1" s="1"/>
  <c r="D89" i="1"/>
  <c r="E89" i="1" s="1"/>
  <c r="Z89" i="1" s="1"/>
  <c r="D90" i="1"/>
  <c r="E90" i="1" s="1"/>
  <c r="Z90" i="1" s="1"/>
  <c r="D91" i="1"/>
  <c r="E91" i="1" s="1"/>
  <c r="AA91" i="1" s="1"/>
  <c r="D92" i="1"/>
  <c r="E92" i="1" s="1"/>
  <c r="Z92" i="1" s="1"/>
  <c r="D93" i="1"/>
  <c r="E93" i="1" s="1"/>
  <c r="Z93" i="1" s="1"/>
  <c r="D94" i="1"/>
  <c r="E94" i="1" s="1"/>
  <c r="Z94" i="1" s="1"/>
  <c r="D95" i="1"/>
  <c r="E95" i="1" s="1"/>
  <c r="AA95" i="1" s="1"/>
  <c r="D96" i="1"/>
  <c r="E96" i="1" s="1"/>
  <c r="Z96" i="1" s="1"/>
  <c r="D97" i="1"/>
  <c r="E97" i="1" s="1"/>
  <c r="Z97" i="1" s="1"/>
  <c r="D98" i="1"/>
  <c r="E98" i="1" s="1"/>
  <c r="Z98" i="1" s="1"/>
  <c r="D99" i="1"/>
  <c r="E99" i="1" s="1"/>
  <c r="AA99" i="1" s="1"/>
  <c r="D100" i="1"/>
  <c r="E100" i="1" s="1"/>
  <c r="Z100" i="1" s="1"/>
  <c r="D101" i="1"/>
  <c r="E101" i="1" s="1"/>
  <c r="Z101" i="1" s="1"/>
  <c r="D102" i="1"/>
  <c r="E102" i="1" s="1"/>
  <c r="Z102" i="1" s="1"/>
  <c r="D103" i="1"/>
  <c r="E103" i="1" s="1"/>
  <c r="AA103" i="1" s="1"/>
  <c r="D104" i="1"/>
  <c r="E104" i="1" s="1"/>
  <c r="Z104" i="1" s="1"/>
  <c r="D105" i="1"/>
  <c r="E105" i="1" s="1"/>
  <c r="Z105" i="1" s="1"/>
  <c r="D106" i="1"/>
  <c r="E106" i="1" s="1"/>
  <c r="Z106" i="1" s="1"/>
  <c r="D107" i="1"/>
  <c r="E107" i="1" s="1"/>
  <c r="AA107" i="1" s="1"/>
  <c r="D108" i="1"/>
  <c r="E108" i="1" s="1"/>
  <c r="Z108" i="1" s="1"/>
  <c r="D109" i="1"/>
  <c r="E109" i="1" s="1"/>
  <c r="Z109" i="1" s="1"/>
  <c r="D110" i="1"/>
  <c r="E110" i="1" s="1"/>
  <c r="Z110" i="1" s="1"/>
  <c r="D111" i="1"/>
  <c r="E111" i="1" s="1"/>
  <c r="AA111" i="1" s="1"/>
  <c r="D112" i="1"/>
  <c r="E112" i="1" s="1"/>
  <c r="Z112" i="1" s="1"/>
  <c r="D113" i="1"/>
  <c r="E113" i="1" s="1"/>
  <c r="Z113" i="1" s="1"/>
  <c r="D114" i="1"/>
  <c r="E114" i="1" s="1"/>
  <c r="Z114" i="1" s="1"/>
  <c r="D115" i="1"/>
  <c r="E115" i="1" s="1"/>
  <c r="AA115" i="1" s="1"/>
  <c r="D116" i="1"/>
  <c r="E116" i="1" s="1"/>
  <c r="Z116" i="1" s="1"/>
  <c r="D117" i="1"/>
  <c r="E117" i="1" s="1"/>
  <c r="Z117" i="1" s="1"/>
  <c r="D118" i="1"/>
  <c r="E118" i="1" s="1"/>
  <c r="Z118" i="1" s="1"/>
  <c r="D119" i="1"/>
  <c r="E119" i="1" s="1"/>
  <c r="AA119" i="1" s="1"/>
  <c r="D120" i="1"/>
  <c r="E120" i="1" s="1"/>
  <c r="Z120" i="1" s="1"/>
  <c r="D121" i="1"/>
  <c r="E121" i="1" s="1"/>
  <c r="Z121" i="1" s="1"/>
  <c r="D122" i="1"/>
  <c r="E122" i="1" s="1"/>
  <c r="Z122" i="1" s="1"/>
  <c r="D123" i="1"/>
  <c r="E123" i="1" s="1"/>
  <c r="AA123" i="1" s="1"/>
  <c r="D124" i="1"/>
  <c r="E124" i="1" s="1"/>
  <c r="Z124" i="1" s="1"/>
  <c r="D125" i="1"/>
  <c r="E125" i="1" s="1"/>
  <c r="Z125" i="1" s="1"/>
  <c r="D126" i="1"/>
  <c r="E126" i="1" s="1"/>
  <c r="Z126" i="1" s="1"/>
  <c r="D127" i="1"/>
  <c r="E127" i="1" s="1"/>
  <c r="AA127" i="1" s="1"/>
  <c r="D128" i="1"/>
  <c r="E128" i="1" s="1"/>
  <c r="Z128" i="1" s="1"/>
  <c r="D129" i="1"/>
  <c r="E129" i="1" s="1"/>
  <c r="Z129" i="1" s="1"/>
  <c r="D130" i="1"/>
  <c r="E130" i="1" s="1"/>
  <c r="Z130" i="1" s="1"/>
  <c r="D131" i="1"/>
  <c r="E131" i="1" s="1"/>
  <c r="AA131" i="1" s="1"/>
  <c r="D132" i="1"/>
  <c r="E132" i="1" s="1"/>
  <c r="Z132" i="1" s="1"/>
  <c r="D133" i="1"/>
  <c r="E133" i="1" s="1"/>
  <c r="Z133" i="1" s="1"/>
  <c r="D134" i="1"/>
  <c r="E134" i="1" s="1"/>
  <c r="Z134" i="1" s="1"/>
  <c r="D135" i="1"/>
  <c r="E135" i="1" s="1"/>
  <c r="AA135" i="1" s="1"/>
  <c r="D136" i="1"/>
  <c r="E136" i="1" s="1"/>
  <c r="Z136" i="1" s="1"/>
  <c r="D137" i="1"/>
  <c r="E137" i="1" s="1"/>
  <c r="Z137" i="1" s="1"/>
  <c r="D138" i="1"/>
  <c r="E138" i="1" s="1"/>
  <c r="Z138" i="1" s="1"/>
  <c r="D139" i="1"/>
  <c r="E139" i="1" s="1"/>
  <c r="AA139" i="1" s="1"/>
  <c r="D140" i="1"/>
  <c r="E140" i="1" s="1"/>
  <c r="Z140" i="1" s="1"/>
  <c r="D141" i="1"/>
  <c r="E141" i="1" s="1"/>
  <c r="Z141" i="1" s="1"/>
  <c r="D142" i="1"/>
  <c r="E142" i="1" s="1"/>
  <c r="Z142" i="1" s="1"/>
  <c r="D143" i="1"/>
  <c r="E143" i="1" s="1"/>
  <c r="AA143" i="1" s="1"/>
  <c r="D144" i="1"/>
  <c r="E144" i="1" s="1"/>
  <c r="Z144" i="1" s="1"/>
  <c r="D145" i="1"/>
  <c r="E145" i="1" s="1"/>
  <c r="Z145" i="1" s="1"/>
  <c r="D146" i="1"/>
  <c r="E146" i="1" s="1"/>
  <c r="Z146" i="1" s="1"/>
  <c r="D147" i="1"/>
  <c r="E147" i="1" s="1"/>
  <c r="AA147" i="1" s="1"/>
  <c r="D148" i="1"/>
  <c r="E148" i="1" s="1"/>
  <c r="Z148" i="1" s="1"/>
  <c r="D149" i="1"/>
  <c r="E149" i="1" s="1"/>
  <c r="Z149" i="1" s="1"/>
  <c r="D150" i="1"/>
  <c r="E150" i="1" s="1"/>
  <c r="Z150" i="1" s="1"/>
  <c r="D151" i="1"/>
  <c r="E151" i="1" s="1"/>
  <c r="AA151" i="1" s="1"/>
  <c r="D152" i="1"/>
  <c r="E152" i="1" s="1"/>
  <c r="Z152" i="1" s="1"/>
  <c r="D153" i="1"/>
  <c r="E153" i="1" s="1"/>
  <c r="Z153" i="1" s="1"/>
  <c r="D154" i="1"/>
  <c r="E154" i="1" s="1"/>
  <c r="Z154" i="1" s="1"/>
  <c r="D155" i="1"/>
  <c r="E155" i="1" s="1"/>
  <c r="AA155" i="1" s="1"/>
  <c r="D156" i="1"/>
  <c r="E156" i="1" s="1"/>
  <c r="Z156" i="1" s="1"/>
  <c r="D157" i="1"/>
  <c r="E157" i="1" s="1"/>
  <c r="Z157" i="1" s="1"/>
  <c r="D158" i="1"/>
  <c r="E158" i="1" s="1"/>
  <c r="Z158" i="1" s="1"/>
  <c r="D159" i="1"/>
  <c r="E159" i="1" s="1"/>
  <c r="AA159" i="1" s="1"/>
  <c r="D160" i="1"/>
  <c r="E160" i="1" s="1"/>
  <c r="Z160" i="1" s="1"/>
  <c r="D161" i="1"/>
  <c r="E161" i="1" s="1"/>
  <c r="Z161" i="1" s="1"/>
  <c r="D162" i="1"/>
  <c r="E162" i="1" s="1"/>
  <c r="Z162" i="1" s="1"/>
  <c r="D163" i="1"/>
  <c r="E163" i="1" s="1"/>
  <c r="AA163" i="1" s="1"/>
  <c r="D164" i="1"/>
  <c r="E164" i="1" s="1"/>
  <c r="Z164" i="1" s="1"/>
  <c r="D165" i="1"/>
  <c r="E165" i="1" s="1"/>
  <c r="Z165" i="1" s="1"/>
  <c r="D166" i="1"/>
  <c r="E166" i="1" s="1"/>
  <c r="Z166" i="1" s="1"/>
  <c r="D167" i="1"/>
  <c r="E167" i="1" s="1"/>
  <c r="AA167" i="1" s="1"/>
  <c r="D168" i="1"/>
  <c r="E168" i="1" s="1"/>
  <c r="Z168" i="1" s="1"/>
  <c r="D169" i="1"/>
  <c r="E169" i="1" s="1"/>
  <c r="Z169" i="1" s="1"/>
  <c r="D170" i="1"/>
  <c r="E170" i="1" s="1"/>
  <c r="Z170" i="1" s="1"/>
  <c r="D171" i="1"/>
  <c r="E171" i="1" s="1"/>
  <c r="AA171" i="1" s="1"/>
  <c r="D172" i="1"/>
  <c r="E172" i="1" s="1"/>
  <c r="Z172" i="1" s="1"/>
  <c r="D173" i="1"/>
  <c r="E173" i="1" s="1"/>
  <c r="Z173" i="1" s="1"/>
  <c r="D174" i="1"/>
  <c r="E174" i="1" s="1"/>
  <c r="Z174" i="1" s="1"/>
  <c r="D175" i="1"/>
  <c r="E175" i="1" s="1"/>
  <c r="AA175" i="1" s="1"/>
  <c r="D176" i="1"/>
  <c r="E176" i="1" s="1"/>
  <c r="Z176" i="1" s="1"/>
  <c r="D177" i="1"/>
  <c r="E177" i="1" s="1"/>
  <c r="Z177" i="1" s="1"/>
  <c r="D178" i="1"/>
  <c r="E178" i="1" s="1"/>
  <c r="Z178" i="1" s="1"/>
  <c r="D179" i="1"/>
  <c r="E179" i="1" s="1"/>
  <c r="AA179" i="1" s="1"/>
  <c r="D180" i="1"/>
  <c r="E180" i="1" s="1"/>
  <c r="Z180" i="1" s="1"/>
  <c r="D181" i="1"/>
  <c r="E181" i="1" s="1"/>
  <c r="Z181" i="1" s="1"/>
  <c r="D182" i="1"/>
  <c r="E182" i="1" s="1"/>
  <c r="Z182" i="1" s="1"/>
  <c r="D183" i="1"/>
  <c r="E183" i="1" s="1"/>
  <c r="AA183" i="1" s="1"/>
  <c r="D184" i="1"/>
  <c r="E184" i="1" s="1"/>
  <c r="Z184" i="1" s="1"/>
  <c r="D185" i="1"/>
  <c r="E185" i="1" s="1"/>
  <c r="Z185" i="1" s="1"/>
  <c r="D186" i="1"/>
  <c r="E186" i="1" s="1"/>
  <c r="Z186" i="1" s="1"/>
  <c r="D187" i="1"/>
  <c r="E187" i="1" s="1"/>
  <c r="AA187" i="1" s="1"/>
  <c r="D188" i="1"/>
  <c r="E188" i="1" s="1"/>
  <c r="Z188" i="1" s="1"/>
  <c r="D189" i="1"/>
  <c r="E189" i="1" s="1"/>
  <c r="Z189" i="1" s="1"/>
  <c r="D190" i="1"/>
  <c r="E190" i="1" s="1"/>
  <c r="Z190" i="1" s="1"/>
  <c r="D191" i="1"/>
  <c r="E191" i="1" s="1"/>
  <c r="AA191" i="1" s="1"/>
  <c r="D192" i="1"/>
  <c r="E192" i="1" s="1"/>
  <c r="Z192" i="1" s="1"/>
  <c r="D193" i="1"/>
  <c r="E193" i="1" s="1"/>
  <c r="Z193" i="1" s="1"/>
  <c r="D194" i="1"/>
  <c r="E194" i="1" s="1"/>
  <c r="Z194" i="1" s="1"/>
  <c r="D195" i="1"/>
  <c r="E195" i="1" s="1"/>
  <c r="AA195" i="1" s="1"/>
  <c r="D196" i="1"/>
  <c r="E196" i="1" s="1"/>
  <c r="Z196" i="1" s="1"/>
  <c r="D197" i="1"/>
  <c r="E197" i="1" s="1"/>
  <c r="Z197" i="1" s="1"/>
  <c r="D198" i="1"/>
  <c r="E198" i="1" s="1"/>
  <c r="Z198" i="1" s="1"/>
  <c r="D199" i="1"/>
  <c r="E199" i="1" s="1"/>
  <c r="AA199" i="1" s="1"/>
  <c r="D200" i="1"/>
  <c r="E200" i="1" s="1"/>
  <c r="AA200" i="1" s="1"/>
  <c r="D201" i="1"/>
  <c r="E201" i="1" s="1"/>
  <c r="Z201" i="1" s="1"/>
  <c r="D202" i="1"/>
  <c r="E202" i="1" s="1"/>
  <c r="Z202" i="1" s="1"/>
  <c r="D203" i="1"/>
  <c r="E203" i="1" s="1"/>
  <c r="AA203" i="1" s="1"/>
  <c r="D204" i="1"/>
  <c r="E204" i="1" s="1"/>
  <c r="Z204" i="1" s="1"/>
  <c r="D205" i="1"/>
  <c r="E205" i="1" s="1"/>
  <c r="Z205" i="1" s="1"/>
  <c r="D206" i="1"/>
  <c r="E206" i="1" s="1"/>
  <c r="Z206" i="1" s="1"/>
  <c r="D207" i="1"/>
  <c r="E207" i="1" s="1"/>
  <c r="AA207" i="1" s="1"/>
  <c r="D208" i="1"/>
  <c r="E208" i="1" s="1"/>
  <c r="AA208" i="1" s="1"/>
  <c r="D209" i="1"/>
  <c r="E209" i="1" s="1"/>
  <c r="Z209" i="1" s="1"/>
  <c r="D210" i="1"/>
  <c r="E210" i="1" s="1"/>
  <c r="Z210" i="1" s="1"/>
  <c r="D211" i="1"/>
  <c r="E211" i="1" s="1"/>
  <c r="AA211" i="1" s="1"/>
  <c r="D212" i="1"/>
  <c r="E212" i="1" s="1"/>
  <c r="Z212" i="1" s="1"/>
  <c r="D213" i="1"/>
  <c r="E213" i="1" s="1"/>
  <c r="Z213" i="1" s="1"/>
  <c r="D214" i="1"/>
  <c r="E214" i="1" s="1"/>
  <c r="Z214" i="1" s="1"/>
  <c r="D215" i="1"/>
  <c r="E215" i="1" s="1"/>
  <c r="AA215" i="1" s="1"/>
  <c r="D216" i="1"/>
  <c r="E216" i="1" s="1"/>
  <c r="Z216" i="1" s="1"/>
  <c r="D217" i="1"/>
  <c r="E217" i="1" s="1"/>
  <c r="Z217" i="1" s="1"/>
  <c r="D218" i="1"/>
  <c r="E218" i="1" s="1"/>
  <c r="Z218" i="1" s="1"/>
  <c r="D219" i="1"/>
  <c r="E219" i="1" s="1"/>
  <c r="AA219" i="1" s="1"/>
  <c r="D220" i="1"/>
  <c r="E220" i="1" s="1"/>
  <c r="Z220" i="1" s="1"/>
  <c r="D221" i="1"/>
  <c r="E221" i="1" s="1"/>
  <c r="Z221" i="1" s="1"/>
  <c r="D222" i="1"/>
  <c r="E222" i="1" s="1"/>
  <c r="Z222" i="1" s="1"/>
  <c r="D223" i="1"/>
  <c r="E223" i="1" s="1"/>
  <c r="AA223" i="1" s="1"/>
  <c r="D224" i="1"/>
  <c r="E224" i="1" s="1"/>
  <c r="AA224" i="1" s="1"/>
  <c r="D225" i="1"/>
  <c r="E225" i="1" s="1"/>
  <c r="Z225" i="1" s="1"/>
  <c r="D226" i="1"/>
  <c r="E226" i="1" s="1"/>
  <c r="Z226" i="1" s="1"/>
  <c r="D227" i="1"/>
  <c r="E227" i="1" s="1"/>
  <c r="AA227" i="1" s="1"/>
  <c r="D228" i="1"/>
  <c r="E228" i="1" s="1"/>
  <c r="Z228" i="1" s="1"/>
  <c r="D229" i="1"/>
  <c r="E229" i="1" s="1"/>
  <c r="Z229" i="1" s="1"/>
  <c r="D230" i="1"/>
  <c r="E230" i="1" s="1"/>
  <c r="Z230" i="1" s="1"/>
  <c r="D231" i="1"/>
  <c r="E231" i="1" s="1"/>
  <c r="AA231" i="1" s="1"/>
  <c r="D232" i="1"/>
  <c r="E232" i="1" s="1"/>
  <c r="Z232" i="1" s="1"/>
  <c r="D233" i="1"/>
  <c r="E233" i="1" s="1"/>
  <c r="Z233" i="1" s="1"/>
  <c r="D234" i="1"/>
  <c r="E234" i="1" s="1"/>
  <c r="Z234" i="1" s="1"/>
  <c r="D235" i="1"/>
  <c r="E235" i="1" s="1"/>
  <c r="AA235" i="1" s="1"/>
  <c r="D236" i="1"/>
  <c r="E236" i="1" s="1"/>
  <c r="Z236" i="1" s="1"/>
  <c r="D237" i="1"/>
  <c r="E237" i="1" s="1"/>
  <c r="Z237" i="1" s="1"/>
  <c r="D238" i="1"/>
  <c r="E238" i="1" s="1"/>
  <c r="Z238" i="1" s="1"/>
  <c r="D239" i="1"/>
  <c r="E239" i="1" s="1"/>
  <c r="AA239" i="1" s="1"/>
  <c r="D240" i="1"/>
  <c r="E240" i="1" s="1"/>
  <c r="Z240" i="1" s="1"/>
  <c r="D241" i="1"/>
  <c r="E241" i="1" s="1"/>
  <c r="AA241" i="1" s="1"/>
  <c r="D242" i="1"/>
  <c r="E242" i="1" s="1"/>
  <c r="Z242" i="1" s="1"/>
  <c r="D243" i="1"/>
  <c r="E243" i="1" s="1"/>
  <c r="AA243" i="1" s="1"/>
  <c r="D244" i="1"/>
  <c r="E244" i="1" s="1"/>
  <c r="AA244" i="1" s="1"/>
  <c r="D245" i="1"/>
  <c r="E245" i="1" s="1"/>
  <c r="AA245" i="1" s="1"/>
  <c r="D246" i="1"/>
  <c r="E246" i="1" s="1"/>
  <c r="Z246" i="1" s="1"/>
  <c r="D247" i="1"/>
  <c r="E247" i="1" s="1"/>
  <c r="Z247" i="1" s="1"/>
  <c r="D248" i="1"/>
  <c r="E248" i="1" s="1"/>
  <c r="Z248" i="1" s="1"/>
  <c r="D249" i="1"/>
  <c r="E249" i="1" s="1"/>
  <c r="AA249" i="1" s="1"/>
  <c r="D250" i="1"/>
  <c r="E250" i="1" s="1"/>
  <c r="Z250" i="1" s="1"/>
  <c r="D251" i="1"/>
  <c r="E251" i="1" s="1"/>
  <c r="AA251" i="1" s="1"/>
  <c r="D252" i="1"/>
  <c r="E252" i="1" s="1"/>
  <c r="Z252" i="1" s="1"/>
  <c r="D253" i="1"/>
  <c r="E253" i="1" s="1"/>
  <c r="AA253" i="1" s="1"/>
  <c r="D254" i="1"/>
  <c r="E254" i="1" s="1"/>
  <c r="Z254" i="1" s="1"/>
  <c r="D255" i="1"/>
  <c r="E255" i="1" s="1"/>
  <c r="AA255" i="1" s="1"/>
  <c r="D256" i="1"/>
  <c r="E256" i="1" s="1"/>
  <c r="Z256" i="1" s="1"/>
  <c r="D257" i="1"/>
  <c r="E257" i="1" s="1"/>
  <c r="AA257" i="1" s="1"/>
  <c r="D258" i="1"/>
  <c r="E258" i="1" s="1"/>
  <c r="Z258" i="1" s="1"/>
  <c r="D259" i="1"/>
  <c r="E259" i="1" s="1"/>
  <c r="AA259" i="1" s="1"/>
  <c r="D260" i="1"/>
  <c r="E260" i="1" s="1"/>
  <c r="Z260" i="1" s="1"/>
  <c r="D261" i="1"/>
  <c r="E261" i="1" s="1"/>
  <c r="AA261" i="1" s="1"/>
  <c r="D262" i="1"/>
  <c r="E262" i="1" s="1"/>
  <c r="Z262" i="1" s="1"/>
  <c r="D263" i="1"/>
  <c r="E263" i="1" s="1"/>
  <c r="AA263" i="1" s="1"/>
  <c r="D264" i="1"/>
  <c r="E264" i="1" s="1"/>
  <c r="Z264" i="1" s="1"/>
  <c r="D265" i="1"/>
  <c r="E265" i="1" s="1"/>
  <c r="AA265" i="1" s="1"/>
  <c r="D266" i="1"/>
  <c r="E266" i="1" s="1"/>
  <c r="Z266" i="1" s="1"/>
  <c r="D267" i="1"/>
  <c r="E267" i="1" s="1"/>
  <c r="AA267" i="1" s="1"/>
  <c r="D268" i="1"/>
  <c r="E268" i="1" s="1"/>
  <c r="Z268" i="1" s="1"/>
  <c r="D269" i="1"/>
  <c r="E269" i="1" s="1"/>
  <c r="AA269" i="1" s="1"/>
  <c r="D270" i="1"/>
  <c r="E270" i="1" s="1"/>
  <c r="Z270" i="1" s="1"/>
  <c r="D271" i="1"/>
  <c r="E271" i="1" s="1"/>
  <c r="AA271" i="1" s="1"/>
  <c r="D272" i="1"/>
  <c r="E272" i="1" s="1"/>
  <c r="Z272" i="1" s="1"/>
  <c r="D273" i="1"/>
  <c r="E273" i="1" s="1"/>
  <c r="AA273" i="1" s="1"/>
  <c r="D274" i="1"/>
  <c r="E274" i="1" s="1"/>
  <c r="Z274" i="1" s="1"/>
  <c r="D275" i="1"/>
  <c r="E275" i="1" s="1"/>
  <c r="AA275" i="1" s="1"/>
  <c r="D276" i="1"/>
  <c r="E276" i="1" s="1"/>
  <c r="AA276" i="1" s="1"/>
  <c r="D277" i="1"/>
  <c r="E277" i="1" s="1"/>
  <c r="AA277" i="1" s="1"/>
  <c r="D278" i="1"/>
  <c r="E278" i="1" s="1"/>
  <c r="Z278" i="1" s="1"/>
  <c r="D279" i="1"/>
  <c r="E279" i="1" s="1"/>
  <c r="AA279" i="1" s="1"/>
  <c r="D280" i="1"/>
  <c r="E280" i="1" s="1"/>
  <c r="Z280" i="1" s="1"/>
  <c r="D281" i="1"/>
  <c r="E281" i="1" s="1"/>
  <c r="AA281" i="1" s="1"/>
  <c r="D282" i="1"/>
  <c r="E282" i="1" s="1"/>
  <c r="Z282" i="1" s="1"/>
  <c r="D283" i="1"/>
  <c r="E283" i="1" s="1"/>
  <c r="AA283" i="1" s="1"/>
  <c r="D284" i="1"/>
  <c r="E284" i="1" s="1"/>
  <c r="Z284" i="1" s="1"/>
  <c r="D285" i="1"/>
  <c r="E285" i="1" s="1"/>
  <c r="AA285" i="1" s="1"/>
  <c r="D286" i="1"/>
  <c r="E286" i="1" s="1"/>
  <c r="Z286" i="1" s="1"/>
  <c r="D287" i="1"/>
  <c r="E287" i="1" s="1"/>
  <c r="AA287" i="1" s="1"/>
  <c r="D288" i="1"/>
  <c r="E288" i="1" s="1"/>
  <c r="Z288" i="1" s="1"/>
  <c r="D289" i="1"/>
  <c r="E289" i="1" s="1"/>
  <c r="AA289" i="1" s="1"/>
  <c r="D290" i="1"/>
  <c r="E290" i="1" s="1"/>
  <c r="Z290" i="1" s="1"/>
  <c r="D291" i="1"/>
  <c r="E291" i="1" s="1"/>
  <c r="AA291" i="1" s="1"/>
  <c r="D292" i="1"/>
  <c r="E292" i="1" s="1"/>
  <c r="AA292" i="1" s="1"/>
  <c r="D293" i="1"/>
  <c r="E293" i="1" s="1"/>
  <c r="AA293" i="1" s="1"/>
  <c r="D294" i="1"/>
  <c r="E294" i="1" s="1"/>
  <c r="Z294" i="1" s="1"/>
  <c r="D295" i="1"/>
  <c r="E295" i="1" s="1"/>
  <c r="AA295" i="1" s="1"/>
  <c r="D296" i="1"/>
  <c r="E296" i="1" s="1"/>
  <c r="Z296" i="1" s="1"/>
  <c r="D297" i="1"/>
  <c r="E297" i="1" s="1"/>
  <c r="AA297" i="1" s="1"/>
  <c r="D298" i="1"/>
  <c r="E298" i="1" s="1"/>
  <c r="Z298" i="1" s="1"/>
  <c r="D299" i="1"/>
  <c r="E299" i="1" s="1"/>
  <c r="AA299" i="1" s="1"/>
  <c r="D300" i="1"/>
  <c r="E300" i="1" s="1"/>
  <c r="Z300" i="1" s="1"/>
  <c r="D301" i="1"/>
  <c r="E301" i="1" s="1"/>
  <c r="AA301" i="1" s="1"/>
  <c r="D302" i="1"/>
  <c r="E302" i="1" s="1"/>
  <c r="Z302" i="1" s="1"/>
  <c r="D303" i="1"/>
  <c r="E303" i="1" s="1"/>
  <c r="AA303" i="1" s="1"/>
  <c r="D304" i="1"/>
  <c r="E304" i="1" s="1"/>
  <c r="Z304" i="1" s="1"/>
  <c r="D305" i="1"/>
  <c r="E305" i="1" s="1"/>
  <c r="AA305" i="1" s="1"/>
  <c r="D306" i="1"/>
  <c r="E306" i="1" s="1"/>
  <c r="Z306" i="1" s="1"/>
  <c r="D307" i="1"/>
  <c r="E307" i="1" s="1"/>
  <c r="AA307" i="1" s="1"/>
  <c r="D308" i="1"/>
  <c r="E308" i="1" s="1"/>
  <c r="AA308" i="1" s="1"/>
  <c r="D309" i="1"/>
  <c r="E309" i="1" s="1"/>
  <c r="AA309" i="1" s="1"/>
  <c r="D310" i="1"/>
  <c r="E310" i="1" s="1"/>
  <c r="Z310" i="1" s="1"/>
  <c r="D311" i="1"/>
  <c r="E311" i="1" s="1"/>
  <c r="AA311" i="1" s="1"/>
  <c r="D312" i="1"/>
  <c r="E312" i="1" s="1"/>
  <c r="Z312" i="1" s="1"/>
  <c r="D313" i="1"/>
  <c r="E313" i="1" s="1"/>
  <c r="AA313" i="1" s="1"/>
  <c r="D314" i="1"/>
  <c r="E314" i="1" s="1"/>
  <c r="Z314" i="1" s="1"/>
  <c r="D315" i="1"/>
  <c r="E315" i="1" s="1"/>
  <c r="AA315" i="1" s="1"/>
  <c r="D316" i="1"/>
  <c r="E316" i="1" s="1"/>
  <c r="AA316" i="1" s="1"/>
  <c r="D317" i="1"/>
  <c r="E317" i="1" s="1"/>
  <c r="AA317" i="1" s="1"/>
  <c r="D318" i="1"/>
  <c r="E318" i="1" s="1"/>
  <c r="Z318" i="1" s="1"/>
  <c r="D319" i="1"/>
  <c r="E319" i="1" s="1"/>
  <c r="AA319" i="1" s="1"/>
  <c r="D320" i="1"/>
  <c r="E320" i="1" s="1"/>
  <c r="Z320" i="1" s="1"/>
  <c r="D321" i="1"/>
  <c r="E321" i="1" s="1"/>
  <c r="AA321" i="1" s="1"/>
  <c r="D322" i="1"/>
  <c r="E322" i="1" s="1"/>
  <c r="Z322" i="1" s="1"/>
  <c r="D323" i="1"/>
  <c r="E323" i="1" s="1"/>
  <c r="AA323" i="1" s="1"/>
  <c r="D324" i="1"/>
  <c r="E324" i="1" s="1"/>
  <c r="AA324" i="1" s="1"/>
  <c r="D325" i="1"/>
  <c r="E325" i="1" s="1"/>
  <c r="AA325" i="1" s="1"/>
  <c r="D326" i="1"/>
  <c r="E326" i="1" s="1"/>
  <c r="Z326" i="1" s="1"/>
  <c r="D327" i="1"/>
  <c r="E327" i="1" s="1"/>
  <c r="AA327" i="1" s="1"/>
  <c r="D328" i="1"/>
  <c r="E328" i="1" s="1"/>
  <c r="Z328" i="1" s="1"/>
  <c r="D329" i="1"/>
  <c r="E329" i="1" s="1"/>
  <c r="AA329" i="1" s="1"/>
  <c r="D330" i="1"/>
  <c r="E330" i="1" s="1"/>
  <c r="Z330" i="1" s="1"/>
  <c r="D331" i="1"/>
  <c r="E331" i="1" s="1"/>
  <c r="AA331" i="1" s="1"/>
  <c r="D332" i="1"/>
  <c r="E332" i="1" s="1"/>
  <c r="Z332" i="1" s="1"/>
  <c r="D333" i="1"/>
  <c r="E333" i="1" s="1"/>
  <c r="AA333" i="1" s="1"/>
  <c r="D334" i="1"/>
  <c r="E334" i="1" s="1"/>
  <c r="Z334" i="1" s="1"/>
  <c r="D335" i="1"/>
  <c r="E335" i="1" s="1"/>
  <c r="AA335" i="1" s="1"/>
  <c r="D336" i="1"/>
  <c r="E336" i="1" s="1"/>
  <c r="Z336" i="1" s="1"/>
  <c r="D337" i="1"/>
  <c r="E337" i="1" s="1"/>
  <c r="AA337" i="1" s="1"/>
  <c r="D338" i="1"/>
  <c r="E338" i="1" s="1"/>
  <c r="Z338" i="1" s="1"/>
  <c r="D339" i="1"/>
  <c r="E339" i="1" s="1"/>
  <c r="AA339" i="1" s="1"/>
  <c r="D340" i="1"/>
  <c r="E340" i="1" s="1"/>
  <c r="AA340" i="1" s="1"/>
  <c r="D341" i="1"/>
  <c r="E341" i="1" s="1"/>
  <c r="AA341" i="1" s="1"/>
  <c r="D342" i="1"/>
  <c r="E342" i="1" s="1"/>
  <c r="Z342" i="1" s="1"/>
  <c r="D343" i="1"/>
  <c r="E343" i="1" s="1"/>
  <c r="AA343" i="1" s="1"/>
  <c r="D344" i="1"/>
  <c r="E344" i="1" s="1"/>
  <c r="Z344" i="1" s="1"/>
  <c r="D345" i="1"/>
  <c r="E345" i="1" s="1"/>
  <c r="AA345" i="1" s="1"/>
  <c r="D346" i="1"/>
  <c r="E346" i="1" s="1"/>
  <c r="Z346" i="1" s="1"/>
  <c r="D347" i="1"/>
  <c r="E347" i="1" s="1"/>
  <c r="Z347" i="1" s="1"/>
  <c r="D348" i="1"/>
  <c r="E348" i="1" s="1"/>
  <c r="Z348" i="1" s="1"/>
  <c r="D349" i="1"/>
  <c r="E349" i="1" s="1"/>
  <c r="Z349" i="1" s="1"/>
  <c r="D350" i="1"/>
  <c r="E350" i="1" s="1"/>
  <c r="Z350" i="1" s="1"/>
  <c r="D351" i="1"/>
  <c r="E351" i="1" s="1"/>
  <c r="Z351" i="1" s="1"/>
  <c r="D352" i="1"/>
  <c r="E352" i="1" s="1"/>
  <c r="Z352" i="1" s="1"/>
  <c r="D353" i="1"/>
  <c r="E353" i="1" s="1"/>
  <c r="Z353" i="1" s="1"/>
  <c r="D354" i="1"/>
  <c r="E354" i="1" s="1"/>
  <c r="Z354" i="1" s="1"/>
  <c r="D355" i="1"/>
  <c r="E355" i="1" s="1"/>
  <c r="Z355" i="1" s="1"/>
  <c r="D356" i="1"/>
  <c r="E356" i="1" s="1"/>
  <c r="Z356" i="1" s="1"/>
  <c r="D357" i="1"/>
  <c r="E357" i="1" s="1"/>
  <c r="Z357" i="1" s="1"/>
  <c r="D358" i="1"/>
  <c r="E358" i="1" s="1"/>
  <c r="Z358" i="1" s="1"/>
  <c r="D359" i="1"/>
  <c r="E359" i="1" s="1"/>
  <c r="Z359" i="1" s="1"/>
  <c r="D360" i="1"/>
  <c r="E360" i="1" s="1"/>
  <c r="Z360" i="1" s="1"/>
  <c r="D361" i="1"/>
  <c r="E361" i="1" s="1"/>
  <c r="Z361" i="1" s="1"/>
  <c r="D362" i="1"/>
  <c r="E362" i="1" s="1"/>
  <c r="Z362" i="1" s="1"/>
  <c r="D363" i="1"/>
  <c r="E363" i="1" s="1"/>
  <c r="Z363" i="1" s="1"/>
  <c r="D364" i="1"/>
  <c r="E364" i="1" s="1"/>
  <c r="Z364" i="1" s="1"/>
  <c r="D365" i="1"/>
  <c r="E365" i="1" s="1"/>
  <c r="Z365" i="1" s="1"/>
  <c r="D366" i="1"/>
  <c r="E366" i="1" s="1"/>
  <c r="Z366" i="1" s="1"/>
  <c r="D367" i="1"/>
  <c r="E367" i="1" s="1"/>
  <c r="Z367" i="1" s="1"/>
  <c r="D368" i="1"/>
  <c r="E368" i="1" s="1"/>
  <c r="Z368" i="1" s="1"/>
  <c r="D369" i="1"/>
  <c r="E369" i="1" s="1"/>
  <c r="Z369" i="1" s="1"/>
  <c r="D370" i="1"/>
  <c r="E370" i="1" s="1"/>
  <c r="AA370" i="1" s="1"/>
  <c r="D371" i="1"/>
  <c r="E371" i="1" s="1"/>
  <c r="Z371" i="1" s="1"/>
  <c r="D372" i="1"/>
  <c r="E372" i="1" s="1"/>
  <c r="Z372" i="1" s="1"/>
  <c r="D373" i="1"/>
  <c r="E373" i="1" s="1"/>
  <c r="Z373" i="1" s="1"/>
  <c r="D374" i="1"/>
  <c r="E374" i="1" s="1"/>
  <c r="Z374" i="1" s="1"/>
  <c r="D375" i="1"/>
  <c r="E375" i="1" s="1"/>
  <c r="Z375" i="1" s="1"/>
  <c r="D376" i="1"/>
  <c r="E376" i="1" s="1"/>
  <c r="Z376" i="1" s="1"/>
  <c r="D377" i="1"/>
  <c r="E377" i="1" s="1"/>
  <c r="Z377" i="1" s="1"/>
  <c r="D378" i="1"/>
  <c r="E378" i="1" s="1"/>
  <c r="Z378" i="1" s="1"/>
  <c r="D379" i="1"/>
  <c r="E379" i="1" s="1"/>
  <c r="Z379" i="1" s="1"/>
  <c r="D380" i="1"/>
  <c r="E380" i="1" s="1"/>
  <c r="Z380" i="1" s="1"/>
  <c r="D381" i="1"/>
  <c r="E381" i="1" s="1"/>
  <c r="Z381" i="1" s="1"/>
  <c r="D382" i="1"/>
  <c r="E382" i="1" s="1"/>
  <c r="Z382" i="1" s="1"/>
  <c r="D383" i="1"/>
  <c r="E383" i="1" s="1"/>
  <c r="Z383" i="1" s="1"/>
  <c r="D384" i="1"/>
  <c r="E384" i="1" s="1"/>
  <c r="Z384" i="1" s="1"/>
  <c r="D385" i="1"/>
  <c r="E385" i="1" s="1"/>
  <c r="Z385" i="1" s="1"/>
  <c r="D386" i="1"/>
  <c r="E386" i="1" s="1"/>
  <c r="Z386" i="1" s="1"/>
  <c r="D387" i="1"/>
  <c r="E387" i="1" s="1"/>
  <c r="Z387" i="1" s="1"/>
  <c r="D388" i="1"/>
  <c r="E388" i="1" s="1"/>
  <c r="Z388" i="1" s="1"/>
  <c r="D389" i="1"/>
  <c r="E389" i="1" s="1"/>
  <c r="Z389" i="1" s="1"/>
  <c r="D390" i="1"/>
  <c r="E390" i="1" s="1"/>
  <c r="Z390" i="1" s="1"/>
  <c r="D391" i="1"/>
  <c r="E391" i="1" s="1"/>
  <c r="Z391" i="1" s="1"/>
  <c r="D392" i="1"/>
  <c r="E392" i="1" s="1"/>
  <c r="Z392" i="1" s="1"/>
  <c r="D393" i="1"/>
  <c r="E393" i="1" s="1"/>
  <c r="Z393" i="1" s="1"/>
  <c r="D394" i="1"/>
  <c r="E394" i="1" s="1"/>
  <c r="Z394" i="1" s="1"/>
  <c r="D395" i="1"/>
  <c r="E395" i="1" s="1"/>
  <c r="Z395" i="1" s="1"/>
  <c r="D396" i="1"/>
  <c r="E396" i="1" s="1"/>
  <c r="Z396" i="1" s="1"/>
  <c r="D397" i="1"/>
  <c r="E397" i="1" s="1"/>
  <c r="Z397" i="1" s="1"/>
  <c r="D398" i="1"/>
  <c r="E398" i="1" s="1"/>
  <c r="Z398" i="1" s="1"/>
  <c r="D399" i="1"/>
  <c r="E399" i="1" s="1"/>
  <c r="Z399" i="1" s="1"/>
  <c r="D400" i="1"/>
  <c r="E400" i="1" s="1"/>
  <c r="Z400" i="1" s="1"/>
  <c r="D401" i="1"/>
  <c r="E401" i="1" s="1"/>
  <c r="Z401" i="1" s="1"/>
  <c r="D402" i="1"/>
  <c r="E402" i="1" s="1"/>
  <c r="Z402" i="1" s="1"/>
  <c r="D403" i="1"/>
  <c r="E403" i="1" s="1"/>
  <c r="Z403" i="1" s="1"/>
  <c r="D404" i="1"/>
  <c r="E404" i="1" s="1"/>
  <c r="Z404" i="1" s="1"/>
  <c r="D405" i="1"/>
  <c r="E405" i="1" s="1"/>
  <c r="Z405" i="1" s="1"/>
  <c r="D406" i="1"/>
  <c r="E406" i="1" s="1"/>
  <c r="Z406" i="1" s="1"/>
  <c r="D407" i="1"/>
  <c r="E407" i="1" s="1"/>
  <c r="Z407" i="1" s="1"/>
  <c r="D408" i="1"/>
  <c r="E408" i="1" s="1"/>
  <c r="Z408" i="1" s="1"/>
  <c r="D409" i="1"/>
  <c r="E409" i="1" s="1"/>
  <c r="Z409" i="1" s="1"/>
  <c r="D410" i="1"/>
  <c r="E410" i="1" s="1"/>
  <c r="Z410" i="1" s="1"/>
  <c r="D411" i="1"/>
  <c r="E411" i="1" s="1"/>
  <c r="Z411" i="1" s="1"/>
  <c r="D412" i="1"/>
  <c r="E412" i="1" s="1"/>
  <c r="Z412" i="1" s="1"/>
  <c r="D413" i="1"/>
  <c r="E413" i="1" s="1"/>
  <c r="Z413" i="1" s="1"/>
  <c r="D414" i="1"/>
  <c r="E414" i="1" s="1"/>
  <c r="Z414" i="1" s="1"/>
  <c r="D415" i="1"/>
  <c r="E415" i="1" s="1"/>
  <c r="Z415" i="1" s="1"/>
  <c r="D416" i="1"/>
  <c r="E416" i="1" s="1"/>
  <c r="Z416" i="1" s="1"/>
  <c r="D417" i="1"/>
  <c r="E417" i="1" s="1"/>
  <c r="Z417" i="1" s="1"/>
  <c r="D418" i="1"/>
  <c r="E418" i="1" s="1"/>
  <c r="Z418" i="1" s="1"/>
  <c r="D419" i="1"/>
  <c r="E419" i="1" s="1"/>
  <c r="Z419" i="1" s="1"/>
  <c r="D420" i="1"/>
  <c r="E420" i="1" s="1"/>
  <c r="Z420" i="1" s="1"/>
  <c r="D421" i="1"/>
  <c r="E421" i="1" s="1"/>
  <c r="AA421" i="1" s="1"/>
  <c r="D422" i="1"/>
  <c r="E422" i="1" s="1"/>
  <c r="Z422" i="1" s="1"/>
  <c r="D423" i="1"/>
  <c r="E423" i="1" s="1"/>
  <c r="Z423" i="1" s="1"/>
  <c r="D424" i="1"/>
  <c r="E424" i="1" s="1"/>
  <c r="Z424" i="1" s="1"/>
  <c r="D425" i="1"/>
  <c r="E425" i="1" s="1"/>
  <c r="Z425" i="1" s="1"/>
  <c r="D426" i="1"/>
  <c r="E426" i="1" s="1"/>
  <c r="Z426" i="1" s="1"/>
  <c r="D427" i="1"/>
  <c r="E427" i="1" s="1"/>
  <c r="Z427" i="1" s="1"/>
  <c r="D428" i="1"/>
  <c r="E428" i="1" s="1"/>
  <c r="Z428" i="1" s="1"/>
  <c r="D429" i="1"/>
  <c r="E429" i="1" s="1"/>
  <c r="AA429" i="1" s="1"/>
  <c r="D430" i="1"/>
  <c r="E430" i="1" s="1"/>
  <c r="Z430" i="1" s="1"/>
  <c r="D431" i="1"/>
  <c r="E431" i="1" s="1"/>
  <c r="Z431" i="1" s="1"/>
  <c r="D432" i="1"/>
  <c r="E432" i="1" s="1"/>
  <c r="Z432" i="1" s="1"/>
  <c r="D433" i="1"/>
  <c r="E433" i="1" s="1"/>
  <c r="Z433" i="1" s="1"/>
  <c r="D434" i="1"/>
  <c r="E434" i="1" s="1"/>
  <c r="Z434" i="1" s="1"/>
  <c r="D435" i="1"/>
  <c r="E435" i="1" s="1"/>
  <c r="Z435" i="1" s="1"/>
  <c r="D436" i="1"/>
  <c r="E436" i="1" s="1"/>
  <c r="Z436" i="1" s="1"/>
  <c r="D437" i="1"/>
  <c r="E437" i="1" s="1"/>
  <c r="Z437" i="1" s="1"/>
  <c r="D438" i="1"/>
  <c r="E438" i="1" s="1"/>
  <c r="Z438" i="1" s="1"/>
  <c r="D439" i="1"/>
  <c r="E439" i="1" s="1"/>
  <c r="Z439" i="1" s="1"/>
  <c r="D440" i="1"/>
  <c r="E440" i="1" s="1"/>
  <c r="Z440" i="1" s="1"/>
  <c r="D441" i="1"/>
  <c r="E441" i="1" s="1"/>
  <c r="Z441" i="1" s="1"/>
  <c r="D442" i="1"/>
  <c r="E442" i="1" s="1"/>
  <c r="Z442" i="1" s="1"/>
  <c r="D443" i="1"/>
  <c r="E443" i="1" s="1"/>
  <c r="Z443" i="1" s="1"/>
  <c r="D444" i="1"/>
  <c r="E444" i="1" s="1"/>
  <c r="Z444" i="1" s="1"/>
  <c r="D445" i="1"/>
  <c r="E445" i="1" s="1"/>
  <c r="Z445" i="1" s="1"/>
  <c r="D446" i="1"/>
  <c r="E446" i="1" s="1"/>
  <c r="Z446" i="1" s="1"/>
  <c r="D447" i="1"/>
  <c r="E447" i="1" s="1"/>
  <c r="Z447" i="1" s="1"/>
  <c r="D448" i="1"/>
  <c r="E448" i="1" s="1"/>
  <c r="Z448" i="1" s="1"/>
  <c r="D449" i="1"/>
  <c r="E449" i="1" s="1"/>
  <c r="Z449" i="1" s="1"/>
  <c r="D450" i="1"/>
  <c r="E450" i="1" s="1"/>
  <c r="Z450" i="1" s="1"/>
  <c r="D451" i="1"/>
  <c r="E451" i="1" s="1"/>
  <c r="Z451" i="1" s="1"/>
  <c r="D452" i="1"/>
  <c r="E452" i="1" s="1"/>
  <c r="Z452" i="1" s="1"/>
  <c r="D453" i="1"/>
  <c r="E453" i="1" s="1"/>
  <c r="Z453" i="1" s="1"/>
  <c r="D454" i="1"/>
  <c r="E454" i="1" s="1"/>
  <c r="Z454" i="1" s="1"/>
  <c r="D455" i="1"/>
  <c r="E455" i="1" s="1"/>
  <c r="Z455" i="1" s="1"/>
  <c r="D456" i="1"/>
  <c r="E456" i="1" s="1"/>
  <c r="Z456" i="1" s="1"/>
  <c r="D457" i="1"/>
  <c r="E457" i="1" s="1"/>
  <c r="Z457" i="1" s="1"/>
  <c r="D458" i="1"/>
  <c r="E458" i="1" s="1"/>
  <c r="Z458" i="1" s="1"/>
  <c r="D459" i="1"/>
  <c r="E459" i="1" s="1"/>
  <c r="Z459" i="1" s="1"/>
  <c r="D460" i="1"/>
  <c r="E460" i="1" s="1"/>
  <c r="Z460" i="1" s="1"/>
  <c r="D461" i="1"/>
  <c r="E461" i="1" s="1"/>
  <c r="Z461" i="1" s="1"/>
  <c r="D462" i="1"/>
  <c r="E462" i="1" s="1"/>
  <c r="Z462" i="1" s="1"/>
  <c r="D463" i="1"/>
  <c r="E463" i="1" s="1"/>
  <c r="Z463" i="1" s="1"/>
  <c r="D464" i="1"/>
  <c r="E464" i="1" s="1"/>
  <c r="Z464" i="1" s="1"/>
  <c r="D465" i="1"/>
  <c r="E465" i="1" s="1"/>
  <c r="Z465" i="1" s="1"/>
  <c r="D466" i="1"/>
  <c r="E466" i="1" s="1"/>
  <c r="Z466" i="1" s="1"/>
  <c r="D467" i="1"/>
  <c r="E467" i="1" s="1"/>
  <c r="Z467" i="1" s="1"/>
  <c r="D468" i="1"/>
  <c r="E468" i="1" s="1"/>
  <c r="Z468" i="1" s="1"/>
  <c r="D469" i="1"/>
  <c r="E469" i="1" s="1"/>
  <c r="Z469" i="1" s="1"/>
  <c r="D470" i="1"/>
  <c r="E470" i="1" s="1"/>
  <c r="Z470" i="1" s="1"/>
  <c r="D471" i="1"/>
  <c r="E471" i="1" s="1"/>
  <c r="Z471" i="1" s="1"/>
  <c r="D472" i="1"/>
  <c r="E472" i="1" s="1"/>
  <c r="Z472" i="1" s="1"/>
  <c r="D473" i="1"/>
  <c r="E473" i="1" s="1"/>
  <c r="Z473" i="1" s="1"/>
  <c r="D474" i="1"/>
  <c r="E474" i="1" s="1"/>
  <c r="Z474" i="1" s="1"/>
  <c r="D475" i="1"/>
  <c r="E475" i="1" s="1"/>
  <c r="Z475" i="1" s="1"/>
  <c r="D476" i="1"/>
  <c r="E476" i="1" s="1"/>
  <c r="Z476" i="1" s="1"/>
  <c r="D477" i="1"/>
  <c r="E477" i="1" s="1"/>
  <c r="Z477" i="1" s="1"/>
  <c r="D478" i="1"/>
  <c r="E478" i="1" s="1"/>
  <c r="Z478" i="1" s="1"/>
  <c r="D479" i="1"/>
  <c r="E479" i="1" s="1"/>
  <c r="Z479" i="1" s="1"/>
  <c r="D480" i="1"/>
  <c r="E480" i="1" s="1"/>
  <c r="Z480" i="1" s="1"/>
  <c r="D481" i="1"/>
  <c r="E481" i="1" s="1"/>
  <c r="AA481" i="1" s="1"/>
  <c r="D482" i="1"/>
  <c r="E482" i="1" s="1"/>
  <c r="Z482" i="1" s="1"/>
  <c r="D483" i="1"/>
  <c r="E483" i="1" s="1"/>
  <c r="Z483" i="1" s="1"/>
  <c r="D484" i="1"/>
  <c r="E484" i="1" s="1"/>
  <c r="Z484" i="1" s="1"/>
  <c r="D485" i="1"/>
  <c r="E485" i="1" s="1"/>
  <c r="Z485" i="1" s="1"/>
  <c r="D486" i="1"/>
  <c r="E486" i="1" s="1"/>
  <c r="Z486" i="1" s="1"/>
  <c r="D487" i="1"/>
  <c r="E487" i="1" s="1"/>
  <c r="Z487" i="1" s="1"/>
  <c r="D488" i="1"/>
  <c r="E488" i="1" s="1"/>
  <c r="Z488" i="1" s="1"/>
  <c r="D489" i="1"/>
  <c r="E489" i="1" s="1"/>
  <c r="AA489" i="1" s="1"/>
  <c r="D490" i="1"/>
  <c r="E490" i="1" s="1"/>
  <c r="Z490" i="1" s="1"/>
  <c r="D491" i="1"/>
  <c r="E491" i="1" s="1"/>
  <c r="Z491" i="1" s="1"/>
  <c r="D492" i="1"/>
  <c r="E492" i="1" s="1"/>
  <c r="Z492" i="1" s="1"/>
  <c r="D493" i="1"/>
  <c r="E493" i="1" s="1"/>
  <c r="Z493" i="1" s="1"/>
  <c r="D494" i="1"/>
  <c r="E494" i="1" s="1"/>
  <c r="Z494" i="1" s="1"/>
  <c r="D495" i="1"/>
  <c r="E495" i="1" s="1"/>
  <c r="Z495" i="1" s="1"/>
  <c r="D496" i="1"/>
  <c r="E496" i="1" s="1"/>
  <c r="Z496" i="1" s="1"/>
  <c r="D497" i="1"/>
  <c r="E497" i="1" s="1"/>
  <c r="AA497" i="1" s="1"/>
  <c r="D498" i="1"/>
  <c r="E498" i="1" s="1"/>
  <c r="Z498" i="1" s="1"/>
  <c r="D499" i="1"/>
  <c r="E499" i="1" s="1"/>
  <c r="Z499" i="1" s="1"/>
  <c r="D500" i="1"/>
  <c r="E500" i="1" s="1"/>
  <c r="Z500" i="1" s="1"/>
  <c r="F36" i="1"/>
  <c r="G36" i="1"/>
  <c r="H36" i="1" s="1"/>
  <c r="I36" i="1"/>
  <c r="J36" i="1" s="1"/>
  <c r="K36" i="1"/>
  <c r="L36" i="1"/>
  <c r="M36" i="1"/>
  <c r="N36" i="1"/>
  <c r="O36" i="1" s="1"/>
  <c r="F37" i="1"/>
  <c r="G37" i="1"/>
  <c r="H37" i="1" s="1"/>
  <c r="I37" i="1"/>
  <c r="J37" i="1" s="1"/>
  <c r="K37" i="1"/>
  <c r="L37" i="1"/>
  <c r="M37" i="1"/>
  <c r="N37" i="1"/>
  <c r="O37" i="1" s="1"/>
  <c r="F38" i="1"/>
  <c r="G38" i="1"/>
  <c r="H38" i="1" s="1"/>
  <c r="I38" i="1"/>
  <c r="J38" i="1" s="1"/>
  <c r="K38" i="1"/>
  <c r="L38" i="1"/>
  <c r="M38" i="1"/>
  <c r="P38" i="1" s="1"/>
  <c r="N38" i="1"/>
  <c r="O38" i="1" s="1"/>
  <c r="F39" i="1"/>
  <c r="G39" i="1"/>
  <c r="H39" i="1" s="1"/>
  <c r="I39" i="1"/>
  <c r="J39" i="1" s="1"/>
  <c r="K39" i="1"/>
  <c r="L39" i="1"/>
  <c r="M39" i="1"/>
  <c r="N39" i="1"/>
  <c r="O39" i="1" s="1"/>
  <c r="F40" i="1"/>
  <c r="G40" i="1"/>
  <c r="H40" i="1" s="1"/>
  <c r="I40" i="1"/>
  <c r="J40" i="1" s="1"/>
  <c r="K40" i="1"/>
  <c r="L40" i="1"/>
  <c r="M40" i="1"/>
  <c r="P40" i="1" s="1"/>
  <c r="N40" i="1"/>
  <c r="O40" i="1" s="1"/>
  <c r="F41" i="1"/>
  <c r="G41" i="1"/>
  <c r="H41" i="1" s="1"/>
  <c r="I41" i="1"/>
  <c r="J41" i="1" s="1"/>
  <c r="K41" i="1"/>
  <c r="L41" i="1"/>
  <c r="M41" i="1"/>
  <c r="T41" i="1" s="1"/>
  <c r="AZ41" i="1" s="1"/>
  <c r="N41" i="1"/>
  <c r="O41" i="1" s="1"/>
  <c r="F42" i="1"/>
  <c r="G42" i="1"/>
  <c r="H42" i="1" s="1"/>
  <c r="I42" i="1"/>
  <c r="J42" i="1" s="1"/>
  <c r="K42" i="1"/>
  <c r="L42" i="1"/>
  <c r="M42" i="1"/>
  <c r="U42" i="1" s="1"/>
  <c r="N42" i="1"/>
  <c r="O42" i="1" s="1"/>
  <c r="F43" i="1"/>
  <c r="G43" i="1"/>
  <c r="H43" i="1" s="1"/>
  <c r="I43" i="1"/>
  <c r="J43" i="1" s="1"/>
  <c r="K43" i="1"/>
  <c r="L43" i="1"/>
  <c r="M43" i="1"/>
  <c r="N43" i="1"/>
  <c r="O43" i="1" s="1"/>
  <c r="F44" i="1"/>
  <c r="G44" i="1"/>
  <c r="H44" i="1" s="1"/>
  <c r="I44" i="1"/>
  <c r="J44" i="1" s="1"/>
  <c r="K44" i="1"/>
  <c r="L44" i="1"/>
  <c r="M44" i="1"/>
  <c r="N44" i="1"/>
  <c r="O44" i="1" s="1"/>
  <c r="F45" i="1"/>
  <c r="G45" i="1"/>
  <c r="H45" i="1" s="1"/>
  <c r="I45" i="1"/>
  <c r="J45" i="1" s="1"/>
  <c r="K45" i="1"/>
  <c r="L45" i="1"/>
  <c r="M45" i="1"/>
  <c r="T45" i="1" s="1"/>
  <c r="AZ45" i="1" s="1"/>
  <c r="N45" i="1"/>
  <c r="O45" i="1" s="1"/>
  <c r="F46" i="1"/>
  <c r="G46" i="1"/>
  <c r="H46" i="1" s="1"/>
  <c r="I46" i="1"/>
  <c r="J46" i="1" s="1"/>
  <c r="K46" i="1"/>
  <c r="L46" i="1"/>
  <c r="M46" i="1"/>
  <c r="T46" i="1" s="1"/>
  <c r="AZ46" i="1" s="1"/>
  <c r="N46" i="1"/>
  <c r="O46" i="1" s="1"/>
  <c r="F47" i="1"/>
  <c r="G47" i="1"/>
  <c r="H47" i="1" s="1"/>
  <c r="I47" i="1"/>
  <c r="J47" i="1" s="1"/>
  <c r="K47" i="1"/>
  <c r="L47" i="1"/>
  <c r="M47" i="1"/>
  <c r="N47" i="1"/>
  <c r="O47" i="1" s="1"/>
  <c r="F48" i="1"/>
  <c r="G48" i="1"/>
  <c r="H48" i="1" s="1"/>
  <c r="I48" i="1"/>
  <c r="J48" i="1" s="1"/>
  <c r="K48" i="1"/>
  <c r="L48" i="1"/>
  <c r="M48" i="1"/>
  <c r="P48" i="1" s="1"/>
  <c r="N48" i="1"/>
  <c r="O48" i="1" s="1"/>
  <c r="F49" i="1"/>
  <c r="G49" i="1"/>
  <c r="H49" i="1" s="1"/>
  <c r="I49" i="1"/>
  <c r="J49" i="1" s="1"/>
  <c r="K49" i="1"/>
  <c r="L49" i="1"/>
  <c r="M49" i="1"/>
  <c r="N49" i="1"/>
  <c r="O49" i="1" s="1"/>
  <c r="F50" i="1"/>
  <c r="G50" i="1"/>
  <c r="H50" i="1" s="1"/>
  <c r="I50" i="1"/>
  <c r="J50" i="1" s="1"/>
  <c r="K50" i="1"/>
  <c r="L50" i="1"/>
  <c r="M50" i="1"/>
  <c r="P50" i="1" s="1"/>
  <c r="Q50" i="1" s="1"/>
  <c r="BC50" i="1" s="1"/>
  <c r="BD50" i="1" s="1"/>
  <c r="N50" i="1"/>
  <c r="O50" i="1" s="1"/>
  <c r="F51" i="1"/>
  <c r="G51" i="1"/>
  <c r="H51" i="1" s="1"/>
  <c r="I51" i="1"/>
  <c r="J51" i="1" s="1"/>
  <c r="K51" i="1"/>
  <c r="L51" i="1"/>
  <c r="M51" i="1"/>
  <c r="N51" i="1"/>
  <c r="O51" i="1" s="1"/>
  <c r="F52" i="1"/>
  <c r="G52" i="1"/>
  <c r="H52" i="1" s="1"/>
  <c r="I52" i="1"/>
  <c r="J52" i="1" s="1"/>
  <c r="K52" i="1"/>
  <c r="L52" i="1"/>
  <c r="M52" i="1"/>
  <c r="P52" i="1" s="1"/>
  <c r="N52" i="1"/>
  <c r="O52" i="1" s="1"/>
  <c r="F53" i="1"/>
  <c r="G53" i="1"/>
  <c r="H53" i="1" s="1"/>
  <c r="I53" i="1"/>
  <c r="J53" i="1" s="1"/>
  <c r="K53" i="1"/>
  <c r="L53" i="1"/>
  <c r="M53" i="1"/>
  <c r="N53" i="1"/>
  <c r="O53" i="1" s="1"/>
  <c r="F54" i="1"/>
  <c r="G54" i="1"/>
  <c r="H54" i="1" s="1"/>
  <c r="I54" i="1"/>
  <c r="J54" i="1" s="1"/>
  <c r="K54" i="1"/>
  <c r="L54" i="1"/>
  <c r="M54" i="1"/>
  <c r="P54" i="1" s="1"/>
  <c r="Q54" i="1" s="1"/>
  <c r="BC54" i="1" s="1"/>
  <c r="BD54" i="1" s="1"/>
  <c r="N54" i="1"/>
  <c r="O54" i="1" s="1"/>
  <c r="F55" i="1"/>
  <c r="G55" i="1"/>
  <c r="H55" i="1" s="1"/>
  <c r="I55" i="1"/>
  <c r="J55" i="1" s="1"/>
  <c r="K55" i="1"/>
  <c r="L55" i="1"/>
  <c r="M55" i="1"/>
  <c r="N55" i="1"/>
  <c r="O55" i="1" s="1"/>
  <c r="F56" i="1"/>
  <c r="G56" i="1"/>
  <c r="H56" i="1" s="1"/>
  <c r="I56" i="1"/>
  <c r="J56" i="1" s="1"/>
  <c r="K56" i="1"/>
  <c r="L56" i="1"/>
  <c r="M56" i="1"/>
  <c r="N56" i="1"/>
  <c r="O56" i="1" s="1"/>
  <c r="F57" i="1"/>
  <c r="G57" i="1"/>
  <c r="H57" i="1" s="1"/>
  <c r="I57" i="1"/>
  <c r="J57" i="1" s="1"/>
  <c r="K57" i="1"/>
  <c r="L57" i="1"/>
  <c r="M57" i="1"/>
  <c r="N57" i="1"/>
  <c r="O57" i="1" s="1"/>
  <c r="F58" i="1"/>
  <c r="G58" i="1"/>
  <c r="H58" i="1" s="1"/>
  <c r="I58" i="1"/>
  <c r="J58" i="1" s="1"/>
  <c r="K58" i="1"/>
  <c r="L58" i="1"/>
  <c r="M58" i="1"/>
  <c r="T58" i="1" s="1"/>
  <c r="AZ58" i="1" s="1"/>
  <c r="N58" i="1"/>
  <c r="O58" i="1" s="1"/>
  <c r="F59" i="1"/>
  <c r="G59" i="1"/>
  <c r="H59" i="1" s="1"/>
  <c r="I59" i="1"/>
  <c r="J59" i="1" s="1"/>
  <c r="K59" i="1"/>
  <c r="L59" i="1"/>
  <c r="M59" i="1"/>
  <c r="N59" i="1"/>
  <c r="O59" i="1" s="1"/>
  <c r="F60" i="1"/>
  <c r="G60" i="1"/>
  <c r="H60" i="1" s="1"/>
  <c r="I60" i="1"/>
  <c r="J60" i="1" s="1"/>
  <c r="K60" i="1"/>
  <c r="L60" i="1"/>
  <c r="M60" i="1"/>
  <c r="P60" i="1" s="1"/>
  <c r="N60" i="1"/>
  <c r="O60" i="1" s="1"/>
  <c r="F61" i="1"/>
  <c r="G61" i="1"/>
  <c r="H61" i="1" s="1"/>
  <c r="I61" i="1"/>
  <c r="J61" i="1" s="1"/>
  <c r="K61" i="1"/>
  <c r="L61" i="1"/>
  <c r="M61" i="1"/>
  <c r="N61" i="1"/>
  <c r="O61" i="1" s="1"/>
  <c r="F62" i="1"/>
  <c r="G62" i="1"/>
  <c r="H62" i="1" s="1"/>
  <c r="I62" i="1"/>
  <c r="J62" i="1" s="1"/>
  <c r="K62" i="1"/>
  <c r="L62" i="1"/>
  <c r="M62" i="1"/>
  <c r="N62" i="1"/>
  <c r="O62" i="1" s="1"/>
  <c r="F63" i="1"/>
  <c r="G63" i="1"/>
  <c r="H63" i="1" s="1"/>
  <c r="I63" i="1"/>
  <c r="J63" i="1" s="1"/>
  <c r="K63" i="1"/>
  <c r="L63" i="1"/>
  <c r="M63" i="1"/>
  <c r="N63" i="1"/>
  <c r="O63" i="1" s="1"/>
  <c r="F64" i="1"/>
  <c r="G64" i="1"/>
  <c r="H64" i="1" s="1"/>
  <c r="I64" i="1"/>
  <c r="J64" i="1" s="1"/>
  <c r="K64" i="1"/>
  <c r="L64" i="1"/>
  <c r="M64" i="1"/>
  <c r="P64" i="1" s="1"/>
  <c r="N64" i="1"/>
  <c r="O64" i="1" s="1"/>
  <c r="F65" i="1"/>
  <c r="G65" i="1"/>
  <c r="H65" i="1" s="1"/>
  <c r="I65" i="1"/>
  <c r="J65" i="1" s="1"/>
  <c r="K65" i="1"/>
  <c r="L65" i="1"/>
  <c r="M65" i="1"/>
  <c r="N65" i="1"/>
  <c r="O65" i="1" s="1"/>
  <c r="F66" i="1"/>
  <c r="G66" i="1"/>
  <c r="H66" i="1" s="1"/>
  <c r="I66" i="1"/>
  <c r="J66" i="1" s="1"/>
  <c r="K66" i="1"/>
  <c r="L66" i="1"/>
  <c r="M66" i="1"/>
  <c r="U66" i="1" s="1"/>
  <c r="N66" i="1"/>
  <c r="O66" i="1" s="1"/>
  <c r="F67" i="1"/>
  <c r="G67" i="1"/>
  <c r="H67" i="1" s="1"/>
  <c r="I67" i="1"/>
  <c r="J67" i="1" s="1"/>
  <c r="K67" i="1"/>
  <c r="L67" i="1"/>
  <c r="M67" i="1"/>
  <c r="N67" i="1"/>
  <c r="O67" i="1" s="1"/>
  <c r="F68" i="1"/>
  <c r="G68" i="1"/>
  <c r="H68" i="1" s="1"/>
  <c r="I68" i="1"/>
  <c r="J68" i="1" s="1"/>
  <c r="K68" i="1"/>
  <c r="L68" i="1"/>
  <c r="M68" i="1"/>
  <c r="P68" i="1" s="1"/>
  <c r="N68" i="1"/>
  <c r="O68" i="1" s="1"/>
  <c r="F69" i="1"/>
  <c r="G69" i="1"/>
  <c r="H69" i="1" s="1"/>
  <c r="I69" i="1"/>
  <c r="J69" i="1" s="1"/>
  <c r="K69" i="1"/>
  <c r="L69" i="1"/>
  <c r="M69" i="1"/>
  <c r="N69" i="1"/>
  <c r="O69" i="1" s="1"/>
  <c r="F70" i="1"/>
  <c r="G70" i="1"/>
  <c r="H70" i="1" s="1"/>
  <c r="I70" i="1"/>
  <c r="J70" i="1" s="1"/>
  <c r="K70" i="1"/>
  <c r="L70" i="1"/>
  <c r="M70" i="1"/>
  <c r="T70" i="1" s="1"/>
  <c r="AZ70" i="1" s="1"/>
  <c r="N70" i="1"/>
  <c r="O70" i="1" s="1"/>
  <c r="F71" i="1"/>
  <c r="G71" i="1"/>
  <c r="H71" i="1" s="1"/>
  <c r="I71" i="1"/>
  <c r="J71" i="1" s="1"/>
  <c r="K71" i="1"/>
  <c r="L71" i="1"/>
  <c r="M71" i="1"/>
  <c r="N71" i="1"/>
  <c r="O71" i="1" s="1"/>
  <c r="F72" i="1"/>
  <c r="G72" i="1"/>
  <c r="H72" i="1" s="1"/>
  <c r="I72" i="1"/>
  <c r="J72" i="1" s="1"/>
  <c r="K72" i="1"/>
  <c r="L72" i="1"/>
  <c r="M72" i="1"/>
  <c r="N72" i="1"/>
  <c r="O72" i="1" s="1"/>
  <c r="F73" i="1"/>
  <c r="G73" i="1"/>
  <c r="H73" i="1" s="1"/>
  <c r="I73" i="1"/>
  <c r="J73" i="1" s="1"/>
  <c r="K73" i="1"/>
  <c r="L73" i="1"/>
  <c r="M73" i="1"/>
  <c r="N73" i="1"/>
  <c r="O73" i="1" s="1"/>
  <c r="F74" i="1"/>
  <c r="G74" i="1"/>
  <c r="H74" i="1" s="1"/>
  <c r="I74" i="1"/>
  <c r="J74" i="1" s="1"/>
  <c r="K74" i="1"/>
  <c r="L74" i="1"/>
  <c r="M74" i="1"/>
  <c r="P74" i="1" s="1"/>
  <c r="Q74" i="1" s="1"/>
  <c r="BC74" i="1" s="1"/>
  <c r="BD74" i="1" s="1"/>
  <c r="N74" i="1"/>
  <c r="O74" i="1" s="1"/>
  <c r="F75" i="1"/>
  <c r="G75" i="1"/>
  <c r="H75" i="1" s="1"/>
  <c r="I75" i="1"/>
  <c r="J75" i="1" s="1"/>
  <c r="K75" i="1"/>
  <c r="L75" i="1"/>
  <c r="M75" i="1"/>
  <c r="N75" i="1"/>
  <c r="O75" i="1" s="1"/>
  <c r="F76" i="1"/>
  <c r="G76" i="1"/>
  <c r="H76" i="1" s="1"/>
  <c r="I76" i="1"/>
  <c r="J76" i="1" s="1"/>
  <c r="K76" i="1"/>
  <c r="L76" i="1"/>
  <c r="M76" i="1"/>
  <c r="P76" i="1" s="1"/>
  <c r="N76" i="1"/>
  <c r="O76" i="1" s="1"/>
  <c r="F77" i="1"/>
  <c r="G77" i="1"/>
  <c r="H77" i="1" s="1"/>
  <c r="I77" i="1"/>
  <c r="J77" i="1" s="1"/>
  <c r="K77" i="1"/>
  <c r="L77" i="1"/>
  <c r="M77" i="1"/>
  <c r="N77" i="1"/>
  <c r="O77" i="1" s="1"/>
  <c r="F78" i="1"/>
  <c r="G78" i="1"/>
  <c r="H78" i="1" s="1"/>
  <c r="I78" i="1"/>
  <c r="J78" i="1" s="1"/>
  <c r="K78" i="1"/>
  <c r="L78" i="1"/>
  <c r="M78" i="1"/>
  <c r="U78" i="1" s="1"/>
  <c r="N78" i="1"/>
  <c r="O78" i="1" s="1"/>
  <c r="F79" i="1"/>
  <c r="G79" i="1"/>
  <c r="H79" i="1" s="1"/>
  <c r="I79" i="1"/>
  <c r="J79" i="1" s="1"/>
  <c r="K79" i="1"/>
  <c r="L79" i="1"/>
  <c r="M79" i="1"/>
  <c r="N79" i="1"/>
  <c r="O79" i="1" s="1"/>
  <c r="F80" i="1"/>
  <c r="G80" i="1"/>
  <c r="H80" i="1" s="1"/>
  <c r="I80" i="1"/>
  <c r="J80" i="1" s="1"/>
  <c r="K80" i="1"/>
  <c r="L80" i="1"/>
  <c r="M80" i="1"/>
  <c r="P80" i="1" s="1"/>
  <c r="Q80" i="1" s="1"/>
  <c r="BC80" i="1" s="1"/>
  <c r="BD80" i="1" s="1"/>
  <c r="N80" i="1"/>
  <c r="O80" i="1" s="1"/>
  <c r="F81" i="1"/>
  <c r="G81" i="1"/>
  <c r="H81" i="1" s="1"/>
  <c r="I81" i="1"/>
  <c r="J81" i="1" s="1"/>
  <c r="K81" i="1"/>
  <c r="L81" i="1"/>
  <c r="M81" i="1"/>
  <c r="N81" i="1"/>
  <c r="O81" i="1" s="1"/>
  <c r="F82" i="1"/>
  <c r="G82" i="1"/>
  <c r="H82" i="1" s="1"/>
  <c r="I82" i="1"/>
  <c r="J82" i="1" s="1"/>
  <c r="K82" i="1"/>
  <c r="L82" i="1"/>
  <c r="M82" i="1"/>
  <c r="P82" i="1" s="1"/>
  <c r="N82" i="1"/>
  <c r="O82" i="1" s="1"/>
  <c r="F83" i="1"/>
  <c r="G83" i="1"/>
  <c r="H83" i="1" s="1"/>
  <c r="I83" i="1"/>
  <c r="J83" i="1" s="1"/>
  <c r="K83" i="1"/>
  <c r="L83" i="1"/>
  <c r="M83" i="1"/>
  <c r="N83" i="1"/>
  <c r="O83" i="1" s="1"/>
  <c r="F84" i="1"/>
  <c r="G84" i="1"/>
  <c r="H84" i="1" s="1"/>
  <c r="I84" i="1"/>
  <c r="J84" i="1" s="1"/>
  <c r="K84" i="1"/>
  <c r="L84" i="1"/>
  <c r="M84" i="1"/>
  <c r="N84" i="1"/>
  <c r="O84" i="1" s="1"/>
  <c r="F85" i="1"/>
  <c r="G85" i="1"/>
  <c r="H85" i="1" s="1"/>
  <c r="I85" i="1"/>
  <c r="J85" i="1" s="1"/>
  <c r="K85" i="1"/>
  <c r="L85" i="1"/>
  <c r="M85" i="1"/>
  <c r="U85" i="1" s="1"/>
  <c r="N85" i="1"/>
  <c r="O85" i="1" s="1"/>
  <c r="F86" i="1"/>
  <c r="G86" i="1"/>
  <c r="H86" i="1" s="1"/>
  <c r="I86" i="1"/>
  <c r="J86" i="1" s="1"/>
  <c r="K86" i="1"/>
  <c r="L86" i="1"/>
  <c r="M86" i="1"/>
  <c r="U86" i="1" s="1"/>
  <c r="N86" i="1"/>
  <c r="O86" i="1" s="1"/>
  <c r="F87" i="1"/>
  <c r="G87" i="1"/>
  <c r="H87" i="1" s="1"/>
  <c r="I87" i="1"/>
  <c r="J87" i="1" s="1"/>
  <c r="K87" i="1"/>
  <c r="L87" i="1"/>
  <c r="M87" i="1"/>
  <c r="N87" i="1"/>
  <c r="O87" i="1" s="1"/>
  <c r="F88" i="1"/>
  <c r="G88" i="1"/>
  <c r="H88" i="1" s="1"/>
  <c r="I88" i="1"/>
  <c r="J88" i="1" s="1"/>
  <c r="K88" i="1"/>
  <c r="L88" i="1"/>
  <c r="M88" i="1"/>
  <c r="N88" i="1"/>
  <c r="O88" i="1" s="1"/>
  <c r="F89" i="1"/>
  <c r="G89" i="1"/>
  <c r="H89" i="1" s="1"/>
  <c r="I89" i="1"/>
  <c r="J89" i="1" s="1"/>
  <c r="K89" i="1"/>
  <c r="L89" i="1"/>
  <c r="M89" i="1"/>
  <c r="N89" i="1"/>
  <c r="O89" i="1" s="1"/>
  <c r="F90" i="1"/>
  <c r="G90" i="1"/>
  <c r="H90" i="1" s="1"/>
  <c r="I90" i="1"/>
  <c r="J90" i="1" s="1"/>
  <c r="K90" i="1"/>
  <c r="L90" i="1"/>
  <c r="M90" i="1"/>
  <c r="U90" i="1" s="1"/>
  <c r="N90" i="1"/>
  <c r="O90" i="1" s="1"/>
  <c r="F91" i="1"/>
  <c r="G91" i="1"/>
  <c r="H91" i="1" s="1"/>
  <c r="I91" i="1"/>
  <c r="J91" i="1" s="1"/>
  <c r="K91" i="1"/>
  <c r="L91" i="1"/>
  <c r="M91" i="1"/>
  <c r="T91" i="1" s="1"/>
  <c r="AZ91" i="1" s="1"/>
  <c r="N91" i="1"/>
  <c r="O91" i="1" s="1"/>
  <c r="F92" i="1"/>
  <c r="G92" i="1"/>
  <c r="H92" i="1" s="1"/>
  <c r="I92" i="1"/>
  <c r="J92" i="1" s="1"/>
  <c r="K92" i="1"/>
  <c r="L92" i="1"/>
  <c r="M92" i="1"/>
  <c r="P92" i="1" s="1"/>
  <c r="Q92" i="1" s="1"/>
  <c r="BC92" i="1" s="1"/>
  <c r="BD92" i="1" s="1"/>
  <c r="N92" i="1"/>
  <c r="O92" i="1" s="1"/>
  <c r="F93" i="1"/>
  <c r="G93" i="1"/>
  <c r="H93" i="1" s="1"/>
  <c r="I93" i="1"/>
  <c r="J93" i="1" s="1"/>
  <c r="K93" i="1"/>
  <c r="L93" i="1"/>
  <c r="M93" i="1"/>
  <c r="U93" i="1" s="1"/>
  <c r="N93" i="1"/>
  <c r="O93" i="1" s="1"/>
  <c r="F94" i="1"/>
  <c r="G94" i="1"/>
  <c r="H94" i="1" s="1"/>
  <c r="I94" i="1"/>
  <c r="J94" i="1" s="1"/>
  <c r="K94" i="1"/>
  <c r="L94" i="1"/>
  <c r="M94" i="1"/>
  <c r="P94" i="1" s="1"/>
  <c r="Q94" i="1" s="1"/>
  <c r="BC94" i="1" s="1"/>
  <c r="BD94" i="1" s="1"/>
  <c r="N94" i="1"/>
  <c r="O94" i="1" s="1"/>
  <c r="F95" i="1"/>
  <c r="G95" i="1"/>
  <c r="H95" i="1" s="1"/>
  <c r="I95" i="1"/>
  <c r="J95" i="1" s="1"/>
  <c r="K95" i="1"/>
  <c r="L95" i="1"/>
  <c r="M95" i="1"/>
  <c r="P95" i="1" s="1"/>
  <c r="Q95" i="1" s="1"/>
  <c r="BC95" i="1" s="1"/>
  <c r="BD95" i="1" s="1"/>
  <c r="N95" i="1"/>
  <c r="O95" i="1" s="1"/>
  <c r="F96" i="1"/>
  <c r="G96" i="1"/>
  <c r="H96" i="1" s="1"/>
  <c r="I96" i="1"/>
  <c r="J96" i="1" s="1"/>
  <c r="K96" i="1"/>
  <c r="L96" i="1"/>
  <c r="M96" i="1"/>
  <c r="N96" i="1"/>
  <c r="O96" i="1" s="1"/>
  <c r="F97" i="1"/>
  <c r="G97" i="1"/>
  <c r="H97" i="1" s="1"/>
  <c r="I97" i="1"/>
  <c r="J97" i="1" s="1"/>
  <c r="K97" i="1"/>
  <c r="L97" i="1"/>
  <c r="M97" i="1"/>
  <c r="P97" i="1" s="1"/>
  <c r="Q97" i="1" s="1"/>
  <c r="BC97" i="1" s="1"/>
  <c r="BD97" i="1" s="1"/>
  <c r="N97" i="1"/>
  <c r="O97" i="1" s="1"/>
  <c r="F98" i="1"/>
  <c r="G98" i="1"/>
  <c r="H98" i="1" s="1"/>
  <c r="I98" i="1"/>
  <c r="J98" i="1" s="1"/>
  <c r="K98" i="1"/>
  <c r="L98" i="1"/>
  <c r="M98" i="1"/>
  <c r="U98" i="1" s="1"/>
  <c r="N98" i="1"/>
  <c r="O98" i="1" s="1"/>
  <c r="F99" i="1"/>
  <c r="G99" i="1"/>
  <c r="H99" i="1" s="1"/>
  <c r="I99" i="1"/>
  <c r="J99" i="1" s="1"/>
  <c r="K99" i="1"/>
  <c r="L99" i="1"/>
  <c r="M99" i="1"/>
  <c r="U99" i="1" s="1"/>
  <c r="N99" i="1"/>
  <c r="O99" i="1" s="1"/>
  <c r="F100" i="1"/>
  <c r="G100" i="1"/>
  <c r="H100" i="1" s="1"/>
  <c r="I100" i="1"/>
  <c r="J100" i="1" s="1"/>
  <c r="K100" i="1"/>
  <c r="L100" i="1"/>
  <c r="M100" i="1"/>
  <c r="N100" i="1"/>
  <c r="O100" i="1" s="1"/>
  <c r="F101" i="1"/>
  <c r="G101" i="1"/>
  <c r="H101" i="1" s="1"/>
  <c r="I101" i="1"/>
  <c r="J101" i="1" s="1"/>
  <c r="K101" i="1"/>
  <c r="L101" i="1"/>
  <c r="M101" i="1"/>
  <c r="U101" i="1" s="1"/>
  <c r="N101" i="1"/>
  <c r="O101" i="1" s="1"/>
  <c r="F102" i="1"/>
  <c r="G102" i="1"/>
  <c r="H102" i="1" s="1"/>
  <c r="I102" i="1"/>
  <c r="J102" i="1" s="1"/>
  <c r="K102" i="1"/>
  <c r="L102" i="1"/>
  <c r="M102" i="1"/>
  <c r="T102" i="1" s="1"/>
  <c r="AZ102" i="1" s="1"/>
  <c r="N102" i="1"/>
  <c r="O102" i="1" s="1"/>
  <c r="F103" i="1"/>
  <c r="G103" i="1"/>
  <c r="H103" i="1" s="1"/>
  <c r="I103" i="1"/>
  <c r="J103" i="1" s="1"/>
  <c r="K103" i="1"/>
  <c r="L103" i="1"/>
  <c r="M103" i="1"/>
  <c r="T103" i="1" s="1"/>
  <c r="AZ103" i="1" s="1"/>
  <c r="N103" i="1"/>
  <c r="O103" i="1" s="1"/>
  <c r="F104" i="1"/>
  <c r="G104" i="1"/>
  <c r="H104" i="1" s="1"/>
  <c r="I104" i="1"/>
  <c r="J104" i="1" s="1"/>
  <c r="K104" i="1"/>
  <c r="L104" i="1"/>
  <c r="M104" i="1"/>
  <c r="U104" i="1" s="1"/>
  <c r="N104" i="1"/>
  <c r="O104" i="1" s="1"/>
  <c r="F105" i="1"/>
  <c r="G105" i="1"/>
  <c r="H105" i="1" s="1"/>
  <c r="I105" i="1"/>
  <c r="J105" i="1" s="1"/>
  <c r="K105" i="1"/>
  <c r="L105" i="1"/>
  <c r="M105" i="1"/>
  <c r="U105" i="1" s="1"/>
  <c r="N105" i="1"/>
  <c r="O105" i="1" s="1"/>
  <c r="F106" i="1"/>
  <c r="G106" i="1"/>
  <c r="H106" i="1" s="1"/>
  <c r="I106" i="1"/>
  <c r="J106" i="1" s="1"/>
  <c r="K106" i="1"/>
  <c r="L106" i="1"/>
  <c r="M106" i="1"/>
  <c r="N106" i="1"/>
  <c r="O106" i="1" s="1"/>
  <c r="F107" i="1"/>
  <c r="G107" i="1"/>
  <c r="H107" i="1" s="1"/>
  <c r="I107" i="1"/>
  <c r="J107" i="1" s="1"/>
  <c r="K107" i="1"/>
  <c r="L107" i="1"/>
  <c r="M107" i="1"/>
  <c r="T107" i="1" s="1"/>
  <c r="AZ107" i="1" s="1"/>
  <c r="N107" i="1"/>
  <c r="O107" i="1" s="1"/>
  <c r="F108" i="1"/>
  <c r="G108" i="1"/>
  <c r="H108" i="1" s="1"/>
  <c r="I108" i="1"/>
  <c r="J108" i="1" s="1"/>
  <c r="K108" i="1"/>
  <c r="L108" i="1"/>
  <c r="M108" i="1"/>
  <c r="P108" i="1" s="1"/>
  <c r="N108" i="1"/>
  <c r="O108" i="1" s="1"/>
  <c r="F109" i="1"/>
  <c r="G109" i="1"/>
  <c r="H109" i="1" s="1"/>
  <c r="I109" i="1"/>
  <c r="J109" i="1" s="1"/>
  <c r="K109" i="1"/>
  <c r="L109" i="1"/>
  <c r="M109" i="1"/>
  <c r="U109" i="1" s="1"/>
  <c r="N109" i="1"/>
  <c r="O109" i="1" s="1"/>
  <c r="F110" i="1"/>
  <c r="G110" i="1"/>
  <c r="H110" i="1" s="1"/>
  <c r="I110" i="1"/>
  <c r="J110" i="1" s="1"/>
  <c r="K110" i="1"/>
  <c r="L110" i="1"/>
  <c r="M110" i="1"/>
  <c r="N110" i="1"/>
  <c r="O110" i="1" s="1"/>
  <c r="F111" i="1"/>
  <c r="G111" i="1"/>
  <c r="H111" i="1" s="1"/>
  <c r="I111" i="1"/>
  <c r="J111" i="1" s="1"/>
  <c r="K111" i="1"/>
  <c r="L111" i="1"/>
  <c r="M111" i="1"/>
  <c r="T111" i="1" s="1"/>
  <c r="AZ111" i="1" s="1"/>
  <c r="N111" i="1"/>
  <c r="O111" i="1" s="1"/>
  <c r="F112" i="1"/>
  <c r="G112" i="1"/>
  <c r="H112" i="1" s="1"/>
  <c r="I112" i="1"/>
  <c r="J112" i="1" s="1"/>
  <c r="K112" i="1"/>
  <c r="L112" i="1"/>
  <c r="M112" i="1"/>
  <c r="T112" i="1" s="1"/>
  <c r="AZ112" i="1" s="1"/>
  <c r="N112" i="1"/>
  <c r="O112" i="1" s="1"/>
  <c r="F113" i="1"/>
  <c r="G113" i="1"/>
  <c r="H113" i="1" s="1"/>
  <c r="I113" i="1"/>
  <c r="J113" i="1" s="1"/>
  <c r="K113" i="1"/>
  <c r="L113" i="1"/>
  <c r="M113" i="1"/>
  <c r="T113" i="1" s="1"/>
  <c r="AZ113" i="1" s="1"/>
  <c r="N113" i="1"/>
  <c r="O113" i="1" s="1"/>
  <c r="F114" i="1"/>
  <c r="G114" i="1"/>
  <c r="H114" i="1" s="1"/>
  <c r="I114" i="1"/>
  <c r="J114" i="1" s="1"/>
  <c r="K114" i="1"/>
  <c r="L114" i="1"/>
  <c r="M114" i="1"/>
  <c r="N114" i="1"/>
  <c r="O114" i="1" s="1"/>
  <c r="F115" i="1"/>
  <c r="G115" i="1"/>
  <c r="H115" i="1" s="1"/>
  <c r="I115" i="1"/>
  <c r="J115" i="1" s="1"/>
  <c r="K115" i="1"/>
  <c r="L115" i="1"/>
  <c r="M115" i="1"/>
  <c r="N115" i="1"/>
  <c r="O115" i="1" s="1"/>
  <c r="F116" i="1"/>
  <c r="G116" i="1"/>
  <c r="H116" i="1" s="1"/>
  <c r="I116" i="1"/>
  <c r="J116" i="1" s="1"/>
  <c r="K116" i="1"/>
  <c r="L116" i="1"/>
  <c r="M116" i="1"/>
  <c r="P116" i="1" s="1"/>
  <c r="N116" i="1"/>
  <c r="O116" i="1" s="1"/>
  <c r="F117" i="1"/>
  <c r="G117" i="1"/>
  <c r="H117" i="1" s="1"/>
  <c r="I117" i="1"/>
  <c r="J117" i="1" s="1"/>
  <c r="K117" i="1"/>
  <c r="L117" i="1"/>
  <c r="M117" i="1"/>
  <c r="N117" i="1"/>
  <c r="O117" i="1" s="1"/>
  <c r="F118" i="1"/>
  <c r="G118" i="1"/>
  <c r="H118" i="1" s="1"/>
  <c r="I118" i="1"/>
  <c r="J118" i="1" s="1"/>
  <c r="K118" i="1"/>
  <c r="L118" i="1"/>
  <c r="M118" i="1"/>
  <c r="T118" i="1" s="1"/>
  <c r="AZ118" i="1" s="1"/>
  <c r="N118" i="1"/>
  <c r="O118" i="1" s="1"/>
  <c r="F119" i="1"/>
  <c r="G119" i="1"/>
  <c r="H119" i="1" s="1"/>
  <c r="I119" i="1"/>
  <c r="J119" i="1" s="1"/>
  <c r="K119" i="1"/>
  <c r="L119" i="1"/>
  <c r="M119" i="1"/>
  <c r="T119" i="1" s="1"/>
  <c r="AZ119" i="1" s="1"/>
  <c r="N119" i="1"/>
  <c r="O119" i="1" s="1"/>
  <c r="F120" i="1"/>
  <c r="G120" i="1"/>
  <c r="H120" i="1" s="1"/>
  <c r="I120" i="1"/>
  <c r="J120" i="1" s="1"/>
  <c r="K120" i="1"/>
  <c r="L120" i="1"/>
  <c r="M120" i="1"/>
  <c r="T120" i="1" s="1"/>
  <c r="AZ120" i="1" s="1"/>
  <c r="N120" i="1"/>
  <c r="O120" i="1" s="1"/>
  <c r="F121" i="1"/>
  <c r="G121" i="1"/>
  <c r="H121" i="1" s="1"/>
  <c r="I121" i="1"/>
  <c r="J121" i="1" s="1"/>
  <c r="K121" i="1"/>
  <c r="L121" i="1"/>
  <c r="M121" i="1"/>
  <c r="N121" i="1"/>
  <c r="O121" i="1" s="1"/>
  <c r="F122" i="1"/>
  <c r="G122" i="1"/>
  <c r="H122" i="1" s="1"/>
  <c r="I122" i="1"/>
  <c r="J122" i="1" s="1"/>
  <c r="K122" i="1"/>
  <c r="L122" i="1"/>
  <c r="M122" i="1"/>
  <c r="N122" i="1"/>
  <c r="O122" i="1" s="1"/>
  <c r="F123" i="1"/>
  <c r="G123" i="1"/>
  <c r="H123" i="1" s="1"/>
  <c r="I123" i="1"/>
  <c r="J123" i="1" s="1"/>
  <c r="K123" i="1"/>
  <c r="L123" i="1"/>
  <c r="M123" i="1"/>
  <c r="N123" i="1"/>
  <c r="O123" i="1" s="1"/>
  <c r="F124" i="1"/>
  <c r="G124" i="1"/>
  <c r="H124" i="1" s="1"/>
  <c r="I124" i="1"/>
  <c r="J124" i="1" s="1"/>
  <c r="K124" i="1"/>
  <c r="L124" i="1"/>
  <c r="M124" i="1"/>
  <c r="P124" i="1" s="1"/>
  <c r="N124" i="1"/>
  <c r="O124" i="1" s="1"/>
  <c r="F125" i="1"/>
  <c r="G125" i="1"/>
  <c r="H125" i="1" s="1"/>
  <c r="I125" i="1"/>
  <c r="J125" i="1" s="1"/>
  <c r="K125" i="1"/>
  <c r="L125" i="1"/>
  <c r="M125" i="1"/>
  <c r="U125" i="1" s="1"/>
  <c r="N125" i="1"/>
  <c r="O125" i="1" s="1"/>
  <c r="F126" i="1"/>
  <c r="G126" i="1"/>
  <c r="H126" i="1" s="1"/>
  <c r="I126" i="1"/>
  <c r="J126" i="1" s="1"/>
  <c r="K126" i="1"/>
  <c r="L126" i="1"/>
  <c r="M126" i="1"/>
  <c r="P126" i="1" s="1"/>
  <c r="N126" i="1"/>
  <c r="O126" i="1" s="1"/>
  <c r="F127" i="1"/>
  <c r="G127" i="1"/>
  <c r="H127" i="1" s="1"/>
  <c r="I127" i="1"/>
  <c r="J127" i="1" s="1"/>
  <c r="K127" i="1"/>
  <c r="L127" i="1"/>
  <c r="M127" i="1"/>
  <c r="T127" i="1" s="1"/>
  <c r="AZ127" i="1" s="1"/>
  <c r="N127" i="1"/>
  <c r="O127" i="1" s="1"/>
  <c r="F128" i="1"/>
  <c r="G128" i="1"/>
  <c r="H128" i="1" s="1"/>
  <c r="I128" i="1"/>
  <c r="J128" i="1" s="1"/>
  <c r="K128" i="1"/>
  <c r="L128" i="1"/>
  <c r="M128" i="1"/>
  <c r="N128" i="1"/>
  <c r="O128" i="1" s="1"/>
  <c r="F129" i="1"/>
  <c r="G129" i="1"/>
  <c r="H129" i="1" s="1"/>
  <c r="I129" i="1"/>
  <c r="J129" i="1" s="1"/>
  <c r="K129" i="1"/>
  <c r="L129" i="1"/>
  <c r="M129" i="1"/>
  <c r="N129" i="1"/>
  <c r="O129" i="1" s="1"/>
  <c r="F130" i="1"/>
  <c r="G130" i="1"/>
  <c r="H130" i="1" s="1"/>
  <c r="I130" i="1"/>
  <c r="J130" i="1" s="1"/>
  <c r="K130" i="1"/>
  <c r="L130" i="1"/>
  <c r="M130" i="1"/>
  <c r="P130" i="1" s="1"/>
  <c r="Q130" i="1" s="1"/>
  <c r="BC130" i="1" s="1"/>
  <c r="BD130" i="1" s="1"/>
  <c r="N130" i="1"/>
  <c r="O130" i="1" s="1"/>
  <c r="F131" i="1"/>
  <c r="G131" i="1"/>
  <c r="H131" i="1" s="1"/>
  <c r="I131" i="1"/>
  <c r="J131" i="1" s="1"/>
  <c r="K131" i="1"/>
  <c r="L131" i="1"/>
  <c r="M131" i="1"/>
  <c r="U131" i="1" s="1"/>
  <c r="N131" i="1"/>
  <c r="O131" i="1" s="1"/>
  <c r="F132" i="1"/>
  <c r="G132" i="1"/>
  <c r="H132" i="1" s="1"/>
  <c r="I132" i="1"/>
  <c r="J132" i="1" s="1"/>
  <c r="K132" i="1"/>
  <c r="L132" i="1"/>
  <c r="M132" i="1"/>
  <c r="N132" i="1"/>
  <c r="O132" i="1" s="1"/>
  <c r="F133" i="1"/>
  <c r="G133" i="1"/>
  <c r="H133" i="1" s="1"/>
  <c r="I133" i="1"/>
  <c r="J133" i="1" s="1"/>
  <c r="K133" i="1"/>
  <c r="L133" i="1"/>
  <c r="M133" i="1"/>
  <c r="N133" i="1"/>
  <c r="O133" i="1" s="1"/>
  <c r="F134" i="1"/>
  <c r="G134" i="1"/>
  <c r="H134" i="1" s="1"/>
  <c r="I134" i="1"/>
  <c r="J134" i="1" s="1"/>
  <c r="K134" i="1"/>
  <c r="L134" i="1"/>
  <c r="M134" i="1"/>
  <c r="U134" i="1" s="1"/>
  <c r="N134" i="1"/>
  <c r="O134" i="1" s="1"/>
  <c r="F135" i="1"/>
  <c r="G135" i="1"/>
  <c r="H135" i="1" s="1"/>
  <c r="I135" i="1"/>
  <c r="J135" i="1" s="1"/>
  <c r="K135" i="1"/>
  <c r="L135" i="1"/>
  <c r="M135" i="1"/>
  <c r="U135" i="1" s="1"/>
  <c r="N135" i="1"/>
  <c r="O135" i="1" s="1"/>
  <c r="F136" i="1"/>
  <c r="G136" i="1"/>
  <c r="H136" i="1" s="1"/>
  <c r="I136" i="1"/>
  <c r="J136" i="1" s="1"/>
  <c r="K136" i="1"/>
  <c r="L136" i="1"/>
  <c r="M136" i="1"/>
  <c r="U136" i="1" s="1"/>
  <c r="N136" i="1"/>
  <c r="O136" i="1" s="1"/>
  <c r="F137" i="1"/>
  <c r="G137" i="1"/>
  <c r="H137" i="1" s="1"/>
  <c r="I137" i="1"/>
  <c r="J137" i="1" s="1"/>
  <c r="K137" i="1"/>
  <c r="L137" i="1"/>
  <c r="M137" i="1"/>
  <c r="N137" i="1"/>
  <c r="O137" i="1" s="1"/>
  <c r="F138" i="1"/>
  <c r="G138" i="1"/>
  <c r="H138" i="1" s="1"/>
  <c r="I138" i="1"/>
  <c r="J138" i="1" s="1"/>
  <c r="K138" i="1"/>
  <c r="L138" i="1"/>
  <c r="M138" i="1"/>
  <c r="P138" i="1" s="1"/>
  <c r="Q138" i="1" s="1"/>
  <c r="BC138" i="1" s="1"/>
  <c r="BD138" i="1" s="1"/>
  <c r="N138" i="1"/>
  <c r="O138" i="1" s="1"/>
  <c r="F139" i="1"/>
  <c r="G139" i="1"/>
  <c r="H139" i="1" s="1"/>
  <c r="I139" i="1"/>
  <c r="J139" i="1" s="1"/>
  <c r="K139" i="1"/>
  <c r="L139" i="1"/>
  <c r="M139" i="1"/>
  <c r="P139" i="1" s="1"/>
  <c r="N139" i="1"/>
  <c r="O139" i="1" s="1"/>
  <c r="F140" i="1"/>
  <c r="G140" i="1"/>
  <c r="H140" i="1" s="1"/>
  <c r="I140" i="1"/>
  <c r="J140" i="1" s="1"/>
  <c r="K140" i="1"/>
  <c r="L140" i="1"/>
  <c r="M140" i="1"/>
  <c r="N140" i="1"/>
  <c r="O140" i="1" s="1"/>
  <c r="F141" i="1"/>
  <c r="G141" i="1"/>
  <c r="H141" i="1" s="1"/>
  <c r="I141" i="1"/>
  <c r="J141" i="1" s="1"/>
  <c r="K141" i="1"/>
  <c r="L141" i="1"/>
  <c r="M141" i="1"/>
  <c r="T141" i="1" s="1"/>
  <c r="AZ141" i="1" s="1"/>
  <c r="N141" i="1"/>
  <c r="O141" i="1" s="1"/>
  <c r="F142" i="1"/>
  <c r="G142" i="1"/>
  <c r="H142" i="1" s="1"/>
  <c r="I142" i="1"/>
  <c r="J142" i="1" s="1"/>
  <c r="K142" i="1"/>
  <c r="L142" i="1"/>
  <c r="M142" i="1"/>
  <c r="P142" i="1" s="1"/>
  <c r="N142" i="1"/>
  <c r="O142" i="1" s="1"/>
  <c r="F143" i="1"/>
  <c r="G143" i="1"/>
  <c r="H143" i="1" s="1"/>
  <c r="I143" i="1"/>
  <c r="J143" i="1" s="1"/>
  <c r="K143" i="1"/>
  <c r="L143" i="1"/>
  <c r="M143" i="1"/>
  <c r="P143" i="1" s="1"/>
  <c r="N143" i="1"/>
  <c r="O143" i="1" s="1"/>
  <c r="F144" i="1"/>
  <c r="G144" i="1"/>
  <c r="H144" i="1" s="1"/>
  <c r="I144" i="1"/>
  <c r="J144" i="1" s="1"/>
  <c r="K144" i="1"/>
  <c r="L144" i="1"/>
  <c r="M144" i="1"/>
  <c r="N144" i="1"/>
  <c r="O144" i="1" s="1"/>
  <c r="F145" i="1"/>
  <c r="G145" i="1"/>
  <c r="H145" i="1" s="1"/>
  <c r="I145" i="1"/>
  <c r="J145" i="1" s="1"/>
  <c r="K145" i="1"/>
  <c r="L145" i="1"/>
  <c r="M145" i="1"/>
  <c r="T145" i="1" s="1"/>
  <c r="AZ145" i="1" s="1"/>
  <c r="N145" i="1"/>
  <c r="O145" i="1" s="1"/>
  <c r="F146" i="1"/>
  <c r="G146" i="1"/>
  <c r="H146" i="1" s="1"/>
  <c r="I146" i="1"/>
  <c r="J146" i="1" s="1"/>
  <c r="K146" i="1"/>
  <c r="L146" i="1"/>
  <c r="M146" i="1"/>
  <c r="P146" i="1" s="1"/>
  <c r="N146" i="1"/>
  <c r="O146" i="1" s="1"/>
  <c r="F147" i="1"/>
  <c r="G147" i="1"/>
  <c r="H147" i="1" s="1"/>
  <c r="I147" i="1"/>
  <c r="J147" i="1" s="1"/>
  <c r="K147" i="1"/>
  <c r="L147" i="1"/>
  <c r="M147" i="1"/>
  <c r="N147" i="1"/>
  <c r="O147" i="1" s="1"/>
  <c r="F148" i="1"/>
  <c r="G148" i="1"/>
  <c r="H148" i="1" s="1"/>
  <c r="I148" i="1"/>
  <c r="J148" i="1" s="1"/>
  <c r="K148" i="1"/>
  <c r="L148" i="1"/>
  <c r="M148" i="1"/>
  <c r="T148" i="1" s="1"/>
  <c r="AZ148" i="1" s="1"/>
  <c r="N148" i="1"/>
  <c r="O148" i="1" s="1"/>
  <c r="F149" i="1"/>
  <c r="G149" i="1"/>
  <c r="H149" i="1" s="1"/>
  <c r="I149" i="1"/>
  <c r="J149" i="1" s="1"/>
  <c r="K149" i="1"/>
  <c r="L149" i="1"/>
  <c r="M149" i="1"/>
  <c r="T149" i="1" s="1"/>
  <c r="AZ149" i="1" s="1"/>
  <c r="N149" i="1"/>
  <c r="O149" i="1" s="1"/>
  <c r="F150" i="1"/>
  <c r="G150" i="1"/>
  <c r="H150" i="1" s="1"/>
  <c r="I150" i="1"/>
  <c r="J150" i="1" s="1"/>
  <c r="K150" i="1"/>
  <c r="L150" i="1"/>
  <c r="M150" i="1"/>
  <c r="P150" i="1" s="1"/>
  <c r="Q150" i="1" s="1"/>
  <c r="BC150" i="1" s="1"/>
  <c r="BD150" i="1" s="1"/>
  <c r="N150" i="1"/>
  <c r="O150" i="1" s="1"/>
  <c r="F151" i="1"/>
  <c r="G151" i="1"/>
  <c r="H151" i="1" s="1"/>
  <c r="I151" i="1"/>
  <c r="J151" i="1" s="1"/>
  <c r="K151" i="1"/>
  <c r="L151" i="1"/>
  <c r="M151" i="1"/>
  <c r="U151" i="1" s="1"/>
  <c r="N151" i="1"/>
  <c r="O151" i="1" s="1"/>
  <c r="F152" i="1"/>
  <c r="G152" i="1"/>
  <c r="H152" i="1" s="1"/>
  <c r="I152" i="1"/>
  <c r="J152" i="1" s="1"/>
  <c r="K152" i="1"/>
  <c r="L152" i="1"/>
  <c r="M152" i="1"/>
  <c r="N152" i="1"/>
  <c r="O152" i="1" s="1"/>
  <c r="F153" i="1"/>
  <c r="G153" i="1"/>
  <c r="H153" i="1" s="1"/>
  <c r="I153" i="1"/>
  <c r="J153" i="1" s="1"/>
  <c r="K153" i="1"/>
  <c r="L153" i="1"/>
  <c r="M153" i="1"/>
  <c r="T153" i="1" s="1"/>
  <c r="AZ153" i="1" s="1"/>
  <c r="N153" i="1"/>
  <c r="O153" i="1" s="1"/>
  <c r="F154" i="1"/>
  <c r="G154" i="1"/>
  <c r="H154" i="1" s="1"/>
  <c r="I154" i="1"/>
  <c r="J154" i="1" s="1"/>
  <c r="K154" i="1"/>
  <c r="L154" i="1"/>
  <c r="M154" i="1"/>
  <c r="P154" i="1" s="1"/>
  <c r="N154" i="1"/>
  <c r="O154" i="1" s="1"/>
  <c r="F155" i="1"/>
  <c r="G155" i="1"/>
  <c r="H155" i="1" s="1"/>
  <c r="I155" i="1"/>
  <c r="J155" i="1" s="1"/>
  <c r="K155" i="1"/>
  <c r="L155" i="1"/>
  <c r="M155" i="1"/>
  <c r="N155" i="1"/>
  <c r="O155" i="1" s="1"/>
  <c r="F156" i="1"/>
  <c r="G156" i="1"/>
  <c r="H156" i="1" s="1"/>
  <c r="I156" i="1"/>
  <c r="J156" i="1" s="1"/>
  <c r="K156" i="1"/>
  <c r="L156" i="1"/>
  <c r="M156" i="1"/>
  <c r="N156" i="1"/>
  <c r="O156" i="1" s="1"/>
  <c r="F157" i="1"/>
  <c r="G157" i="1"/>
  <c r="H157" i="1" s="1"/>
  <c r="I157" i="1"/>
  <c r="J157" i="1" s="1"/>
  <c r="K157" i="1"/>
  <c r="L157" i="1"/>
  <c r="M157" i="1"/>
  <c r="P157" i="1" s="1"/>
  <c r="Q157" i="1" s="1"/>
  <c r="BC157" i="1" s="1"/>
  <c r="BD157" i="1" s="1"/>
  <c r="N157" i="1"/>
  <c r="O157" i="1" s="1"/>
  <c r="F158" i="1"/>
  <c r="G158" i="1"/>
  <c r="H158" i="1" s="1"/>
  <c r="I158" i="1"/>
  <c r="J158" i="1" s="1"/>
  <c r="K158" i="1"/>
  <c r="L158" i="1"/>
  <c r="M158" i="1"/>
  <c r="N158" i="1"/>
  <c r="O158" i="1" s="1"/>
  <c r="F159" i="1"/>
  <c r="G159" i="1"/>
  <c r="H159" i="1" s="1"/>
  <c r="I159" i="1"/>
  <c r="J159" i="1" s="1"/>
  <c r="K159" i="1"/>
  <c r="L159" i="1"/>
  <c r="M159" i="1"/>
  <c r="T159" i="1" s="1"/>
  <c r="AZ159" i="1" s="1"/>
  <c r="N159" i="1"/>
  <c r="O159" i="1" s="1"/>
  <c r="F160" i="1"/>
  <c r="G160" i="1"/>
  <c r="H160" i="1" s="1"/>
  <c r="I160" i="1"/>
  <c r="J160" i="1" s="1"/>
  <c r="K160" i="1"/>
  <c r="L160" i="1"/>
  <c r="M160" i="1"/>
  <c r="T160" i="1" s="1"/>
  <c r="AZ160" i="1" s="1"/>
  <c r="N160" i="1"/>
  <c r="O160" i="1" s="1"/>
  <c r="F161" i="1"/>
  <c r="G161" i="1"/>
  <c r="H161" i="1" s="1"/>
  <c r="I161" i="1"/>
  <c r="J161" i="1" s="1"/>
  <c r="K161" i="1"/>
  <c r="L161" i="1"/>
  <c r="M161" i="1"/>
  <c r="N161" i="1"/>
  <c r="O161" i="1" s="1"/>
  <c r="F162" i="1"/>
  <c r="G162" i="1"/>
  <c r="H162" i="1" s="1"/>
  <c r="I162" i="1"/>
  <c r="J162" i="1" s="1"/>
  <c r="K162" i="1"/>
  <c r="L162" i="1"/>
  <c r="M162" i="1"/>
  <c r="P162" i="1" s="1"/>
  <c r="Q162" i="1" s="1"/>
  <c r="BC162" i="1" s="1"/>
  <c r="BD162" i="1" s="1"/>
  <c r="N162" i="1"/>
  <c r="O162" i="1" s="1"/>
  <c r="F163" i="1"/>
  <c r="G163" i="1"/>
  <c r="H163" i="1" s="1"/>
  <c r="I163" i="1"/>
  <c r="J163" i="1" s="1"/>
  <c r="K163" i="1"/>
  <c r="L163" i="1"/>
  <c r="M163" i="1"/>
  <c r="P163" i="1" s="1"/>
  <c r="N163" i="1"/>
  <c r="O163" i="1" s="1"/>
  <c r="F164" i="1"/>
  <c r="G164" i="1"/>
  <c r="H164" i="1" s="1"/>
  <c r="I164" i="1"/>
  <c r="J164" i="1" s="1"/>
  <c r="K164" i="1"/>
  <c r="L164" i="1"/>
  <c r="M164" i="1"/>
  <c r="T164" i="1" s="1"/>
  <c r="AZ164" i="1" s="1"/>
  <c r="N164" i="1"/>
  <c r="O164" i="1" s="1"/>
  <c r="F165" i="1"/>
  <c r="G165" i="1"/>
  <c r="H165" i="1" s="1"/>
  <c r="I165" i="1"/>
  <c r="J165" i="1" s="1"/>
  <c r="K165" i="1"/>
  <c r="L165" i="1"/>
  <c r="M165" i="1"/>
  <c r="T165" i="1" s="1"/>
  <c r="AZ165" i="1" s="1"/>
  <c r="N165" i="1"/>
  <c r="O165" i="1" s="1"/>
  <c r="F166" i="1"/>
  <c r="G166" i="1"/>
  <c r="H166" i="1" s="1"/>
  <c r="I166" i="1"/>
  <c r="J166" i="1" s="1"/>
  <c r="K166" i="1"/>
  <c r="L166" i="1"/>
  <c r="M166" i="1"/>
  <c r="P166" i="1" s="1"/>
  <c r="Q166" i="1" s="1"/>
  <c r="BC166" i="1" s="1"/>
  <c r="BD166" i="1" s="1"/>
  <c r="N166" i="1"/>
  <c r="O166" i="1" s="1"/>
  <c r="F167" i="1"/>
  <c r="G167" i="1"/>
  <c r="H167" i="1" s="1"/>
  <c r="I167" i="1"/>
  <c r="J167" i="1" s="1"/>
  <c r="K167" i="1"/>
  <c r="L167" i="1"/>
  <c r="M167" i="1"/>
  <c r="N167" i="1"/>
  <c r="O167" i="1" s="1"/>
  <c r="F168" i="1"/>
  <c r="G168" i="1"/>
  <c r="H168" i="1" s="1"/>
  <c r="I168" i="1"/>
  <c r="J168" i="1" s="1"/>
  <c r="K168" i="1"/>
  <c r="L168" i="1"/>
  <c r="M168" i="1"/>
  <c r="U168" i="1" s="1"/>
  <c r="N168" i="1"/>
  <c r="O168" i="1" s="1"/>
  <c r="F169" i="1"/>
  <c r="G169" i="1"/>
  <c r="H169" i="1" s="1"/>
  <c r="I169" i="1"/>
  <c r="J169" i="1" s="1"/>
  <c r="K169" i="1"/>
  <c r="L169" i="1"/>
  <c r="M169" i="1"/>
  <c r="N169" i="1"/>
  <c r="O169" i="1" s="1"/>
  <c r="F170" i="1"/>
  <c r="G170" i="1"/>
  <c r="H170" i="1" s="1"/>
  <c r="I170" i="1"/>
  <c r="J170" i="1" s="1"/>
  <c r="K170" i="1"/>
  <c r="L170" i="1"/>
  <c r="M170" i="1"/>
  <c r="U170" i="1" s="1"/>
  <c r="N170" i="1"/>
  <c r="O170" i="1" s="1"/>
  <c r="F171" i="1"/>
  <c r="G171" i="1"/>
  <c r="H171" i="1" s="1"/>
  <c r="I171" i="1"/>
  <c r="J171" i="1" s="1"/>
  <c r="K171" i="1"/>
  <c r="L171" i="1"/>
  <c r="M171" i="1"/>
  <c r="N171" i="1"/>
  <c r="O171" i="1" s="1"/>
  <c r="F172" i="1"/>
  <c r="G172" i="1"/>
  <c r="H172" i="1" s="1"/>
  <c r="I172" i="1"/>
  <c r="J172" i="1" s="1"/>
  <c r="K172" i="1"/>
  <c r="L172" i="1"/>
  <c r="M172" i="1"/>
  <c r="T172" i="1" s="1"/>
  <c r="AZ172" i="1" s="1"/>
  <c r="N172" i="1"/>
  <c r="O172" i="1" s="1"/>
  <c r="F173" i="1"/>
  <c r="G173" i="1"/>
  <c r="H173" i="1" s="1"/>
  <c r="I173" i="1"/>
  <c r="J173" i="1" s="1"/>
  <c r="K173" i="1"/>
  <c r="L173" i="1"/>
  <c r="M173" i="1"/>
  <c r="P173" i="1" s="1"/>
  <c r="N173" i="1"/>
  <c r="O173" i="1" s="1"/>
  <c r="F174" i="1"/>
  <c r="G174" i="1"/>
  <c r="H174" i="1" s="1"/>
  <c r="I174" i="1"/>
  <c r="J174" i="1" s="1"/>
  <c r="K174" i="1"/>
  <c r="L174" i="1"/>
  <c r="M174" i="1"/>
  <c r="T174" i="1" s="1"/>
  <c r="AZ174" i="1" s="1"/>
  <c r="N174" i="1"/>
  <c r="O174" i="1" s="1"/>
  <c r="F175" i="1"/>
  <c r="G175" i="1"/>
  <c r="H175" i="1" s="1"/>
  <c r="I175" i="1"/>
  <c r="J175" i="1" s="1"/>
  <c r="K175" i="1"/>
  <c r="L175" i="1"/>
  <c r="M175" i="1"/>
  <c r="N175" i="1"/>
  <c r="O175" i="1" s="1"/>
  <c r="F176" i="1"/>
  <c r="G176" i="1"/>
  <c r="H176" i="1" s="1"/>
  <c r="I176" i="1"/>
  <c r="J176" i="1" s="1"/>
  <c r="K176" i="1"/>
  <c r="L176" i="1"/>
  <c r="M176" i="1"/>
  <c r="N176" i="1"/>
  <c r="O176" i="1" s="1"/>
  <c r="F177" i="1"/>
  <c r="G177" i="1"/>
  <c r="H177" i="1" s="1"/>
  <c r="I177" i="1"/>
  <c r="J177" i="1" s="1"/>
  <c r="K177" i="1"/>
  <c r="L177" i="1"/>
  <c r="M177" i="1"/>
  <c r="N177" i="1"/>
  <c r="O177" i="1" s="1"/>
  <c r="F178" i="1"/>
  <c r="G178" i="1"/>
  <c r="H178" i="1" s="1"/>
  <c r="I178" i="1"/>
  <c r="J178" i="1" s="1"/>
  <c r="K178" i="1"/>
  <c r="L178" i="1"/>
  <c r="M178" i="1"/>
  <c r="P178" i="1" s="1"/>
  <c r="N178" i="1"/>
  <c r="O178" i="1" s="1"/>
  <c r="F179" i="1"/>
  <c r="G179" i="1"/>
  <c r="H179" i="1" s="1"/>
  <c r="I179" i="1"/>
  <c r="J179" i="1" s="1"/>
  <c r="K179" i="1"/>
  <c r="L179" i="1"/>
  <c r="M179" i="1"/>
  <c r="N179" i="1"/>
  <c r="O179" i="1" s="1"/>
  <c r="F180" i="1"/>
  <c r="G180" i="1"/>
  <c r="H180" i="1" s="1"/>
  <c r="I180" i="1"/>
  <c r="J180" i="1" s="1"/>
  <c r="K180" i="1"/>
  <c r="L180" i="1"/>
  <c r="M180" i="1"/>
  <c r="N180" i="1"/>
  <c r="O180" i="1" s="1"/>
  <c r="F181" i="1"/>
  <c r="G181" i="1"/>
  <c r="H181" i="1" s="1"/>
  <c r="I181" i="1"/>
  <c r="J181" i="1" s="1"/>
  <c r="K181" i="1"/>
  <c r="L181" i="1"/>
  <c r="M181" i="1"/>
  <c r="U181" i="1" s="1"/>
  <c r="N181" i="1"/>
  <c r="O181" i="1" s="1"/>
  <c r="F182" i="1"/>
  <c r="G182" i="1"/>
  <c r="H182" i="1" s="1"/>
  <c r="I182" i="1"/>
  <c r="J182" i="1" s="1"/>
  <c r="K182" i="1"/>
  <c r="L182" i="1"/>
  <c r="M182" i="1"/>
  <c r="T182" i="1" s="1"/>
  <c r="AZ182" i="1" s="1"/>
  <c r="N182" i="1"/>
  <c r="O182" i="1" s="1"/>
  <c r="F183" i="1"/>
  <c r="G183" i="1"/>
  <c r="H183" i="1" s="1"/>
  <c r="I183" i="1"/>
  <c r="J183" i="1" s="1"/>
  <c r="K183" i="1"/>
  <c r="L183" i="1"/>
  <c r="M183" i="1"/>
  <c r="N183" i="1"/>
  <c r="O183" i="1" s="1"/>
  <c r="F184" i="1"/>
  <c r="G184" i="1"/>
  <c r="H184" i="1" s="1"/>
  <c r="I184" i="1"/>
  <c r="J184" i="1" s="1"/>
  <c r="K184" i="1"/>
  <c r="L184" i="1"/>
  <c r="M184" i="1"/>
  <c r="N184" i="1"/>
  <c r="O184" i="1" s="1"/>
  <c r="F185" i="1"/>
  <c r="G185" i="1"/>
  <c r="H185" i="1" s="1"/>
  <c r="I185" i="1"/>
  <c r="J185" i="1" s="1"/>
  <c r="K185" i="1"/>
  <c r="L185" i="1"/>
  <c r="M185" i="1"/>
  <c r="U185" i="1" s="1"/>
  <c r="N185" i="1"/>
  <c r="O185" i="1" s="1"/>
  <c r="F186" i="1"/>
  <c r="G186" i="1"/>
  <c r="H186" i="1" s="1"/>
  <c r="I186" i="1"/>
  <c r="J186" i="1" s="1"/>
  <c r="K186" i="1"/>
  <c r="L186" i="1"/>
  <c r="M186" i="1"/>
  <c r="U186" i="1" s="1"/>
  <c r="N186" i="1"/>
  <c r="O186" i="1" s="1"/>
  <c r="F187" i="1"/>
  <c r="G187" i="1"/>
  <c r="H187" i="1" s="1"/>
  <c r="I187" i="1"/>
  <c r="J187" i="1" s="1"/>
  <c r="K187" i="1"/>
  <c r="L187" i="1"/>
  <c r="M187" i="1"/>
  <c r="N187" i="1"/>
  <c r="O187" i="1" s="1"/>
  <c r="F188" i="1"/>
  <c r="G188" i="1"/>
  <c r="H188" i="1" s="1"/>
  <c r="I188" i="1"/>
  <c r="J188" i="1" s="1"/>
  <c r="K188" i="1"/>
  <c r="L188" i="1"/>
  <c r="M188" i="1"/>
  <c r="T188" i="1" s="1"/>
  <c r="AZ188" i="1" s="1"/>
  <c r="N188" i="1"/>
  <c r="O188" i="1" s="1"/>
  <c r="F189" i="1"/>
  <c r="G189" i="1"/>
  <c r="H189" i="1" s="1"/>
  <c r="I189" i="1"/>
  <c r="J189" i="1" s="1"/>
  <c r="K189" i="1"/>
  <c r="L189" i="1"/>
  <c r="M189" i="1"/>
  <c r="U189" i="1" s="1"/>
  <c r="N189" i="1"/>
  <c r="O189" i="1" s="1"/>
  <c r="F190" i="1"/>
  <c r="G190" i="1"/>
  <c r="H190" i="1" s="1"/>
  <c r="I190" i="1"/>
  <c r="J190" i="1" s="1"/>
  <c r="K190" i="1"/>
  <c r="L190" i="1"/>
  <c r="M190" i="1"/>
  <c r="U190" i="1" s="1"/>
  <c r="N190" i="1"/>
  <c r="O190" i="1" s="1"/>
  <c r="F191" i="1"/>
  <c r="G191" i="1"/>
  <c r="H191" i="1" s="1"/>
  <c r="I191" i="1"/>
  <c r="J191" i="1" s="1"/>
  <c r="K191" i="1"/>
  <c r="L191" i="1"/>
  <c r="M191" i="1"/>
  <c r="N191" i="1"/>
  <c r="O191" i="1" s="1"/>
  <c r="F192" i="1"/>
  <c r="G192" i="1"/>
  <c r="H192" i="1" s="1"/>
  <c r="I192" i="1"/>
  <c r="J192" i="1" s="1"/>
  <c r="K192" i="1"/>
  <c r="L192" i="1"/>
  <c r="M192" i="1"/>
  <c r="N192" i="1"/>
  <c r="O192" i="1" s="1"/>
  <c r="F193" i="1"/>
  <c r="G193" i="1"/>
  <c r="H193" i="1" s="1"/>
  <c r="I193" i="1"/>
  <c r="J193" i="1" s="1"/>
  <c r="K193" i="1"/>
  <c r="L193" i="1"/>
  <c r="M193" i="1"/>
  <c r="U193" i="1" s="1"/>
  <c r="N193" i="1"/>
  <c r="O193" i="1" s="1"/>
  <c r="F194" i="1"/>
  <c r="G194" i="1"/>
  <c r="H194" i="1" s="1"/>
  <c r="I194" i="1"/>
  <c r="J194" i="1" s="1"/>
  <c r="K194" i="1"/>
  <c r="L194" i="1"/>
  <c r="M194" i="1"/>
  <c r="P194" i="1" s="1"/>
  <c r="N194" i="1"/>
  <c r="O194" i="1" s="1"/>
  <c r="F195" i="1"/>
  <c r="G195" i="1"/>
  <c r="H195" i="1" s="1"/>
  <c r="I195" i="1"/>
  <c r="J195" i="1" s="1"/>
  <c r="K195" i="1"/>
  <c r="L195" i="1"/>
  <c r="M195" i="1"/>
  <c r="N195" i="1"/>
  <c r="O195" i="1" s="1"/>
  <c r="F196" i="1"/>
  <c r="G196" i="1"/>
  <c r="H196" i="1" s="1"/>
  <c r="I196" i="1"/>
  <c r="J196" i="1" s="1"/>
  <c r="K196" i="1"/>
  <c r="L196" i="1"/>
  <c r="M196" i="1"/>
  <c r="N196" i="1"/>
  <c r="O196" i="1" s="1"/>
  <c r="F197" i="1"/>
  <c r="G197" i="1"/>
  <c r="H197" i="1" s="1"/>
  <c r="I197" i="1"/>
  <c r="J197" i="1" s="1"/>
  <c r="K197" i="1"/>
  <c r="L197" i="1"/>
  <c r="M197" i="1"/>
  <c r="N197" i="1"/>
  <c r="O197" i="1" s="1"/>
  <c r="F198" i="1"/>
  <c r="G198" i="1"/>
  <c r="H198" i="1" s="1"/>
  <c r="I198" i="1"/>
  <c r="J198" i="1" s="1"/>
  <c r="K198" i="1"/>
  <c r="L198" i="1"/>
  <c r="M198" i="1"/>
  <c r="N198" i="1"/>
  <c r="O198" i="1" s="1"/>
  <c r="F199" i="1"/>
  <c r="G199" i="1"/>
  <c r="H199" i="1" s="1"/>
  <c r="I199" i="1"/>
  <c r="J199" i="1" s="1"/>
  <c r="K199" i="1"/>
  <c r="L199" i="1"/>
  <c r="M199" i="1"/>
  <c r="N199" i="1"/>
  <c r="O199" i="1" s="1"/>
  <c r="F200" i="1"/>
  <c r="G200" i="1"/>
  <c r="H200" i="1" s="1"/>
  <c r="I200" i="1"/>
  <c r="J200" i="1" s="1"/>
  <c r="K200" i="1"/>
  <c r="L200" i="1"/>
  <c r="M200" i="1"/>
  <c r="T200" i="1" s="1"/>
  <c r="AZ200" i="1" s="1"/>
  <c r="N200" i="1"/>
  <c r="O200" i="1" s="1"/>
  <c r="F201" i="1"/>
  <c r="G201" i="1"/>
  <c r="H201" i="1" s="1"/>
  <c r="I201" i="1"/>
  <c r="J201" i="1" s="1"/>
  <c r="K201" i="1"/>
  <c r="L201" i="1"/>
  <c r="M201" i="1"/>
  <c r="N201" i="1"/>
  <c r="O201" i="1" s="1"/>
  <c r="F202" i="1"/>
  <c r="G202" i="1"/>
  <c r="H202" i="1" s="1"/>
  <c r="I202" i="1"/>
  <c r="J202" i="1" s="1"/>
  <c r="K202" i="1"/>
  <c r="L202" i="1"/>
  <c r="M202" i="1"/>
  <c r="P202" i="1" s="1"/>
  <c r="N202" i="1"/>
  <c r="O202" i="1" s="1"/>
  <c r="F203" i="1"/>
  <c r="G203" i="1"/>
  <c r="H203" i="1" s="1"/>
  <c r="I203" i="1"/>
  <c r="J203" i="1" s="1"/>
  <c r="K203" i="1"/>
  <c r="L203" i="1"/>
  <c r="M203" i="1"/>
  <c r="N203" i="1"/>
  <c r="O203" i="1" s="1"/>
  <c r="F204" i="1"/>
  <c r="G204" i="1"/>
  <c r="H204" i="1" s="1"/>
  <c r="I204" i="1"/>
  <c r="J204" i="1" s="1"/>
  <c r="K204" i="1"/>
  <c r="L204" i="1"/>
  <c r="M204" i="1"/>
  <c r="N204" i="1"/>
  <c r="O204" i="1" s="1"/>
  <c r="F205" i="1"/>
  <c r="G205" i="1"/>
  <c r="H205" i="1" s="1"/>
  <c r="I205" i="1"/>
  <c r="J205" i="1" s="1"/>
  <c r="K205" i="1"/>
  <c r="L205" i="1"/>
  <c r="M205" i="1"/>
  <c r="N205" i="1"/>
  <c r="O205" i="1" s="1"/>
  <c r="F206" i="1"/>
  <c r="G206" i="1"/>
  <c r="H206" i="1" s="1"/>
  <c r="I206" i="1"/>
  <c r="J206" i="1" s="1"/>
  <c r="K206" i="1"/>
  <c r="L206" i="1"/>
  <c r="M206" i="1"/>
  <c r="N206" i="1"/>
  <c r="O206" i="1" s="1"/>
  <c r="F207" i="1"/>
  <c r="G207" i="1"/>
  <c r="H207" i="1" s="1"/>
  <c r="I207" i="1"/>
  <c r="J207" i="1" s="1"/>
  <c r="K207" i="1"/>
  <c r="L207" i="1"/>
  <c r="M207" i="1"/>
  <c r="U207" i="1" s="1"/>
  <c r="N207" i="1"/>
  <c r="O207" i="1" s="1"/>
  <c r="F208" i="1"/>
  <c r="G208" i="1"/>
  <c r="H208" i="1" s="1"/>
  <c r="I208" i="1"/>
  <c r="J208" i="1" s="1"/>
  <c r="K208" i="1"/>
  <c r="L208" i="1"/>
  <c r="M208" i="1"/>
  <c r="N208" i="1"/>
  <c r="O208" i="1" s="1"/>
  <c r="F209" i="1"/>
  <c r="G209" i="1"/>
  <c r="H209" i="1" s="1"/>
  <c r="I209" i="1"/>
  <c r="J209" i="1" s="1"/>
  <c r="K209" i="1"/>
  <c r="L209" i="1"/>
  <c r="M209" i="1"/>
  <c r="N209" i="1"/>
  <c r="O209" i="1" s="1"/>
  <c r="F210" i="1"/>
  <c r="G210" i="1"/>
  <c r="H210" i="1" s="1"/>
  <c r="I210" i="1"/>
  <c r="J210" i="1" s="1"/>
  <c r="K210" i="1"/>
  <c r="L210" i="1"/>
  <c r="M210" i="1"/>
  <c r="P210" i="1" s="1"/>
  <c r="N210" i="1"/>
  <c r="O210" i="1" s="1"/>
  <c r="F211" i="1"/>
  <c r="G211" i="1"/>
  <c r="H211" i="1" s="1"/>
  <c r="I211" i="1"/>
  <c r="J211" i="1" s="1"/>
  <c r="K211" i="1"/>
  <c r="L211" i="1"/>
  <c r="M211" i="1"/>
  <c r="U211" i="1" s="1"/>
  <c r="N211" i="1"/>
  <c r="O211" i="1" s="1"/>
  <c r="F212" i="1"/>
  <c r="G212" i="1"/>
  <c r="H212" i="1" s="1"/>
  <c r="I212" i="1"/>
  <c r="J212" i="1" s="1"/>
  <c r="K212" i="1"/>
  <c r="L212" i="1"/>
  <c r="M212" i="1"/>
  <c r="T212" i="1" s="1"/>
  <c r="AZ212" i="1" s="1"/>
  <c r="N212" i="1"/>
  <c r="O212" i="1" s="1"/>
  <c r="F213" i="1"/>
  <c r="G213" i="1"/>
  <c r="H213" i="1" s="1"/>
  <c r="I213" i="1"/>
  <c r="J213" i="1" s="1"/>
  <c r="K213" i="1"/>
  <c r="L213" i="1"/>
  <c r="M213" i="1"/>
  <c r="N213" i="1"/>
  <c r="O213" i="1" s="1"/>
  <c r="F214" i="1"/>
  <c r="G214" i="1"/>
  <c r="H214" i="1" s="1"/>
  <c r="I214" i="1"/>
  <c r="J214" i="1" s="1"/>
  <c r="K214" i="1"/>
  <c r="L214" i="1"/>
  <c r="M214" i="1"/>
  <c r="T214" i="1" s="1"/>
  <c r="AZ214" i="1" s="1"/>
  <c r="N214" i="1"/>
  <c r="O214" i="1" s="1"/>
  <c r="F215" i="1"/>
  <c r="G215" i="1"/>
  <c r="H215" i="1" s="1"/>
  <c r="I215" i="1"/>
  <c r="J215" i="1" s="1"/>
  <c r="K215" i="1"/>
  <c r="L215" i="1"/>
  <c r="M215" i="1"/>
  <c r="T215" i="1" s="1"/>
  <c r="AZ215" i="1" s="1"/>
  <c r="N215" i="1"/>
  <c r="O215" i="1" s="1"/>
  <c r="F216" i="1"/>
  <c r="G216" i="1"/>
  <c r="H216" i="1" s="1"/>
  <c r="I216" i="1"/>
  <c r="J216" i="1" s="1"/>
  <c r="K216" i="1"/>
  <c r="L216" i="1"/>
  <c r="M216" i="1"/>
  <c r="P216" i="1" s="1"/>
  <c r="Q216" i="1" s="1"/>
  <c r="BC216" i="1" s="1"/>
  <c r="BD216" i="1" s="1"/>
  <c r="N216" i="1"/>
  <c r="O216" i="1" s="1"/>
  <c r="F217" i="1"/>
  <c r="G217" i="1"/>
  <c r="H217" i="1" s="1"/>
  <c r="I217" i="1"/>
  <c r="J217" i="1" s="1"/>
  <c r="K217" i="1"/>
  <c r="L217" i="1"/>
  <c r="M217" i="1"/>
  <c r="P217" i="1" s="1"/>
  <c r="Q217" i="1" s="1"/>
  <c r="BC217" i="1" s="1"/>
  <c r="BD217" i="1" s="1"/>
  <c r="N217" i="1"/>
  <c r="O217" i="1" s="1"/>
  <c r="F218" i="1"/>
  <c r="G218" i="1"/>
  <c r="H218" i="1" s="1"/>
  <c r="I218" i="1"/>
  <c r="J218" i="1" s="1"/>
  <c r="K218" i="1"/>
  <c r="L218" i="1"/>
  <c r="M218" i="1"/>
  <c r="P218" i="1" s="1"/>
  <c r="N218" i="1"/>
  <c r="O218" i="1" s="1"/>
  <c r="F219" i="1"/>
  <c r="G219" i="1"/>
  <c r="H219" i="1" s="1"/>
  <c r="I219" i="1"/>
  <c r="J219" i="1" s="1"/>
  <c r="K219" i="1"/>
  <c r="L219" i="1"/>
  <c r="M219" i="1"/>
  <c r="T219" i="1" s="1"/>
  <c r="AZ219" i="1" s="1"/>
  <c r="N219" i="1"/>
  <c r="O219" i="1" s="1"/>
  <c r="F220" i="1"/>
  <c r="G220" i="1"/>
  <c r="H220" i="1" s="1"/>
  <c r="I220" i="1"/>
  <c r="J220" i="1" s="1"/>
  <c r="K220" i="1"/>
  <c r="L220" i="1"/>
  <c r="M220" i="1"/>
  <c r="T220" i="1" s="1"/>
  <c r="AZ220" i="1" s="1"/>
  <c r="N220" i="1"/>
  <c r="O220" i="1" s="1"/>
  <c r="F221" i="1"/>
  <c r="G221" i="1"/>
  <c r="H221" i="1" s="1"/>
  <c r="I221" i="1"/>
  <c r="J221" i="1" s="1"/>
  <c r="K221" i="1"/>
  <c r="L221" i="1"/>
  <c r="M221" i="1"/>
  <c r="P221" i="1" s="1"/>
  <c r="Q221" i="1" s="1"/>
  <c r="BC221" i="1" s="1"/>
  <c r="BD221" i="1" s="1"/>
  <c r="N221" i="1"/>
  <c r="O221" i="1" s="1"/>
  <c r="F222" i="1"/>
  <c r="G222" i="1"/>
  <c r="H222" i="1" s="1"/>
  <c r="I222" i="1"/>
  <c r="J222" i="1" s="1"/>
  <c r="K222" i="1"/>
  <c r="L222" i="1"/>
  <c r="M222" i="1"/>
  <c r="P222" i="1" s="1"/>
  <c r="N222" i="1"/>
  <c r="O222" i="1" s="1"/>
  <c r="F223" i="1"/>
  <c r="G223" i="1"/>
  <c r="H223" i="1" s="1"/>
  <c r="I223" i="1"/>
  <c r="J223" i="1" s="1"/>
  <c r="K223" i="1"/>
  <c r="L223" i="1"/>
  <c r="M223" i="1"/>
  <c r="T223" i="1" s="1"/>
  <c r="AZ223" i="1" s="1"/>
  <c r="N223" i="1"/>
  <c r="O223" i="1" s="1"/>
  <c r="F224" i="1"/>
  <c r="G224" i="1"/>
  <c r="H224" i="1" s="1"/>
  <c r="I224" i="1"/>
  <c r="J224" i="1" s="1"/>
  <c r="K224" i="1"/>
  <c r="L224" i="1"/>
  <c r="M224" i="1"/>
  <c r="P224" i="1" s="1"/>
  <c r="Q224" i="1" s="1"/>
  <c r="BC224" i="1" s="1"/>
  <c r="BD224" i="1" s="1"/>
  <c r="N224" i="1"/>
  <c r="O224" i="1" s="1"/>
  <c r="F225" i="1"/>
  <c r="G225" i="1"/>
  <c r="H225" i="1" s="1"/>
  <c r="I225" i="1"/>
  <c r="J225" i="1" s="1"/>
  <c r="K225" i="1"/>
  <c r="L225" i="1"/>
  <c r="M225" i="1"/>
  <c r="P225" i="1" s="1"/>
  <c r="Q225" i="1" s="1"/>
  <c r="BC225" i="1" s="1"/>
  <c r="BD225" i="1" s="1"/>
  <c r="N225" i="1"/>
  <c r="O225" i="1" s="1"/>
  <c r="F226" i="1"/>
  <c r="G226" i="1"/>
  <c r="H226" i="1" s="1"/>
  <c r="I226" i="1"/>
  <c r="J226" i="1" s="1"/>
  <c r="K226" i="1"/>
  <c r="L226" i="1"/>
  <c r="M226" i="1"/>
  <c r="U226" i="1" s="1"/>
  <c r="N226" i="1"/>
  <c r="O226" i="1" s="1"/>
  <c r="F227" i="1"/>
  <c r="G227" i="1"/>
  <c r="H227" i="1" s="1"/>
  <c r="I227" i="1"/>
  <c r="J227" i="1" s="1"/>
  <c r="K227" i="1"/>
  <c r="L227" i="1"/>
  <c r="M227" i="1"/>
  <c r="T227" i="1" s="1"/>
  <c r="AZ227" i="1" s="1"/>
  <c r="N227" i="1"/>
  <c r="O227" i="1" s="1"/>
  <c r="F228" i="1"/>
  <c r="G228" i="1"/>
  <c r="H228" i="1" s="1"/>
  <c r="I228" i="1"/>
  <c r="J228" i="1" s="1"/>
  <c r="K228" i="1"/>
  <c r="L228" i="1"/>
  <c r="M228" i="1"/>
  <c r="P228" i="1" s="1"/>
  <c r="N228" i="1"/>
  <c r="O228" i="1" s="1"/>
  <c r="F229" i="1"/>
  <c r="G229" i="1"/>
  <c r="H229" i="1" s="1"/>
  <c r="I229" i="1"/>
  <c r="J229" i="1" s="1"/>
  <c r="K229" i="1"/>
  <c r="L229" i="1"/>
  <c r="M229" i="1"/>
  <c r="N229" i="1"/>
  <c r="O229" i="1" s="1"/>
  <c r="F230" i="1"/>
  <c r="G230" i="1"/>
  <c r="H230" i="1" s="1"/>
  <c r="I230" i="1"/>
  <c r="J230" i="1" s="1"/>
  <c r="K230" i="1"/>
  <c r="L230" i="1"/>
  <c r="M230" i="1"/>
  <c r="U230" i="1" s="1"/>
  <c r="N230" i="1"/>
  <c r="O230" i="1" s="1"/>
  <c r="F231" i="1"/>
  <c r="G231" i="1"/>
  <c r="H231" i="1" s="1"/>
  <c r="I231" i="1"/>
  <c r="J231" i="1" s="1"/>
  <c r="K231" i="1"/>
  <c r="L231" i="1"/>
  <c r="M231" i="1"/>
  <c r="T231" i="1" s="1"/>
  <c r="AZ231" i="1" s="1"/>
  <c r="N231" i="1"/>
  <c r="O231" i="1" s="1"/>
  <c r="F232" i="1"/>
  <c r="G232" i="1"/>
  <c r="H232" i="1" s="1"/>
  <c r="I232" i="1"/>
  <c r="J232" i="1" s="1"/>
  <c r="K232" i="1"/>
  <c r="L232" i="1"/>
  <c r="M232" i="1"/>
  <c r="T232" i="1" s="1"/>
  <c r="AZ232" i="1" s="1"/>
  <c r="N232" i="1"/>
  <c r="O232" i="1" s="1"/>
  <c r="F233" i="1"/>
  <c r="G233" i="1"/>
  <c r="H233" i="1" s="1"/>
  <c r="I233" i="1"/>
  <c r="J233" i="1" s="1"/>
  <c r="K233" i="1"/>
  <c r="L233" i="1"/>
  <c r="M233" i="1"/>
  <c r="P233" i="1" s="1"/>
  <c r="Q233" i="1" s="1"/>
  <c r="BC233" i="1" s="1"/>
  <c r="BD233" i="1" s="1"/>
  <c r="N233" i="1"/>
  <c r="O233" i="1" s="1"/>
  <c r="F234" i="1"/>
  <c r="G234" i="1"/>
  <c r="H234" i="1" s="1"/>
  <c r="I234" i="1"/>
  <c r="J234" i="1" s="1"/>
  <c r="K234" i="1"/>
  <c r="L234" i="1"/>
  <c r="M234" i="1"/>
  <c r="U234" i="1" s="1"/>
  <c r="N234" i="1"/>
  <c r="O234" i="1" s="1"/>
  <c r="F235" i="1"/>
  <c r="G235" i="1"/>
  <c r="H235" i="1" s="1"/>
  <c r="I235" i="1"/>
  <c r="J235" i="1" s="1"/>
  <c r="K235" i="1"/>
  <c r="L235" i="1"/>
  <c r="M235" i="1"/>
  <c r="P235" i="1" s="1"/>
  <c r="N235" i="1"/>
  <c r="O235" i="1" s="1"/>
  <c r="F236" i="1"/>
  <c r="G236" i="1"/>
  <c r="H236" i="1" s="1"/>
  <c r="I236" i="1"/>
  <c r="J236" i="1" s="1"/>
  <c r="K236" i="1"/>
  <c r="L236" i="1"/>
  <c r="M236" i="1"/>
  <c r="P236" i="1" s="1"/>
  <c r="N236" i="1"/>
  <c r="O236" i="1" s="1"/>
  <c r="F237" i="1"/>
  <c r="G237" i="1"/>
  <c r="H237" i="1" s="1"/>
  <c r="I237" i="1"/>
  <c r="J237" i="1" s="1"/>
  <c r="K237" i="1"/>
  <c r="L237" i="1"/>
  <c r="M237" i="1"/>
  <c r="U237" i="1" s="1"/>
  <c r="N237" i="1"/>
  <c r="O237" i="1" s="1"/>
  <c r="F238" i="1"/>
  <c r="G238" i="1"/>
  <c r="H238" i="1" s="1"/>
  <c r="I238" i="1"/>
  <c r="J238" i="1" s="1"/>
  <c r="K238" i="1"/>
  <c r="L238" i="1"/>
  <c r="M238" i="1"/>
  <c r="N238" i="1"/>
  <c r="O238" i="1" s="1"/>
  <c r="F239" i="1"/>
  <c r="G239" i="1"/>
  <c r="H239" i="1" s="1"/>
  <c r="I239" i="1"/>
  <c r="J239" i="1" s="1"/>
  <c r="K239" i="1"/>
  <c r="L239" i="1"/>
  <c r="M239" i="1"/>
  <c r="T239" i="1" s="1"/>
  <c r="AZ239" i="1" s="1"/>
  <c r="N239" i="1"/>
  <c r="O239" i="1" s="1"/>
  <c r="F240" i="1"/>
  <c r="G240" i="1"/>
  <c r="H240" i="1" s="1"/>
  <c r="I240" i="1"/>
  <c r="J240" i="1" s="1"/>
  <c r="K240" i="1"/>
  <c r="L240" i="1"/>
  <c r="M240" i="1"/>
  <c r="P240" i="1" s="1"/>
  <c r="N240" i="1"/>
  <c r="O240" i="1" s="1"/>
  <c r="F241" i="1"/>
  <c r="G241" i="1"/>
  <c r="H241" i="1" s="1"/>
  <c r="I241" i="1"/>
  <c r="J241" i="1" s="1"/>
  <c r="K241" i="1"/>
  <c r="L241" i="1"/>
  <c r="M241" i="1"/>
  <c r="P241" i="1" s="1"/>
  <c r="Q241" i="1" s="1"/>
  <c r="BC241" i="1" s="1"/>
  <c r="BD241" i="1" s="1"/>
  <c r="N241" i="1"/>
  <c r="O241" i="1" s="1"/>
  <c r="F242" i="1"/>
  <c r="G242" i="1"/>
  <c r="H242" i="1" s="1"/>
  <c r="I242" i="1"/>
  <c r="J242" i="1" s="1"/>
  <c r="K242" i="1"/>
  <c r="L242" i="1"/>
  <c r="M242" i="1"/>
  <c r="T242" i="1" s="1"/>
  <c r="AZ242" i="1" s="1"/>
  <c r="N242" i="1"/>
  <c r="O242" i="1" s="1"/>
  <c r="F243" i="1"/>
  <c r="G243" i="1"/>
  <c r="H243" i="1" s="1"/>
  <c r="I243" i="1"/>
  <c r="J243" i="1" s="1"/>
  <c r="K243" i="1"/>
  <c r="L243" i="1"/>
  <c r="M243" i="1"/>
  <c r="P243" i="1" s="1"/>
  <c r="Q243" i="1" s="1"/>
  <c r="BC243" i="1" s="1"/>
  <c r="BD243" i="1" s="1"/>
  <c r="N243" i="1"/>
  <c r="O243" i="1" s="1"/>
  <c r="F244" i="1"/>
  <c r="G244" i="1"/>
  <c r="H244" i="1" s="1"/>
  <c r="I244" i="1"/>
  <c r="J244" i="1" s="1"/>
  <c r="K244" i="1"/>
  <c r="L244" i="1"/>
  <c r="M244" i="1"/>
  <c r="P244" i="1" s="1"/>
  <c r="N244" i="1"/>
  <c r="O244" i="1" s="1"/>
  <c r="F245" i="1"/>
  <c r="G245" i="1"/>
  <c r="H245" i="1" s="1"/>
  <c r="I245" i="1"/>
  <c r="J245" i="1" s="1"/>
  <c r="K245" i="1"/>
  <c r="L245" i="1"/>
  <c r="M245" i="1"/>
  <c r="T245" i="1" s="1"/>
  <c r="AZ245" i="1" s="1"/>
  <c r="N245" i="1"/>
  <c r="O245" i="1" s="1"/>
  <c r="F246" i="1"/>
  <c r="G246" i="1"/>
  <c r="H246" i="1" s="1"/>
  <c r="I246" i="1"/>
  <c r="J246" i="1" s="1"/>
  <c r="K246" i="1"/>
  <c r="L246" i="1"/>
  <c r="M246" i="1"/>
  <c r="N246" i="1"/>
  <c r="O246" i="1" s="1"/>
  <c r="F247" i="1"/>
  <c r="G247" i="1"/>
  <c r="H247" i="1" s="1"/>
  <c r="I247" i="1"/>
  <c r="J247" i="1" s="1"/>
  <c r="K247" i="1"/>
  <c r="L247" i="1"/>
  <c r="M247" i="1"/>
  <c r="N247" i="1"/>
  <c r="O247" i="1" s="1"/>
  <c r="F248" i="1"/>
  <c r="G248" i="1"/>
  <c r="H248" i="1" s="1"/>
  <c r="I248" i="1"/>
  <c r="J248" i="1" s="1"/>
  <c r="K248" i="1"/>
  <c r="L248" i="1"/>
  <c r="M248" i="1"/>
  <c r="T248" i="1" s="1"/>
  <c r="AZ248" i="1" s="1"/>
  <c r="N248" i="1"/>
  <c r="O248" i="1" s="1"/>
  <c r="F249" i="1"/>
  <c r="G249" i="1"/>
  <c r="H249" i="1" s="1"/>
  <c r="I249" i="1"/>
  <c r="J249" i="1" s="1"/>
  <c r="K249" i="1"/>
  <c r="L249" i="1"/>
  <c r="M249" i="1"/>
  <c r="N249" i="1"/>
  <c r="O249" i="1" s="1"/>
  <c r="F250" i="1"/>
  <c r="G250" i="1"/>
  <c r="H250" i="1" s="1"/>
  <c r="I250" i="1"/>
  <c r="J250" i="1" s="1"/>
  <c r="K250" i="1"/>
  <c r="L250" i="1"/>
  <c r="M250" i="1"/>
  <c r="U250" i="1" s="1"/>
  <c r="N250" i="1"/>
  <c r="O250" i="1" s="1"/>
  <c r="F251" i="1"/>
  <c r="G251" i="1"/>
  <c r="H251" i="1" s="1"/>
  <c r="I251" i="1"/>
  <c r="J251" i="1" s="1"/>
  <c r="K251" i="1"/>
  <c r="L251" i="1"/>
  <c r="M251" i="1"/>
  <c r="N251" i="1"/>
  <c r="O251" i="1" s="1"/>
  <c r="F252" i="1"/>
  <c r="G252" i="1"/>
  <c r="H252" i="1" s="1"/>
  <c r="I252" i="1"/>
  <c r="J252" i="1" s="1"/>
  <c r="K252" i="1"/>
  <c r="L252" i="1"/>
  <c r="M252" i="1"/>
  <c r="T252" i="1" s="1"/>
  <c r="AZ252" i="1" s="1"/>
  <c r="N252" i="1"/>
  <c r="O252" i="1" s="1"/>
  <c r="F253" i="1"/>
  <c r="G253" i="1"/>
  <c r="H253" i="1" s="1"/>
  <c r="I253" i="1"/>
  <c r="J253" i="1" s="1"/>
  <c r="K253" i="1"/>
  <c r="L253" i="1"/>
  <c r="M253" i="1"/>
  <c r="U253" i="1" s="1"/>
  <c r="N253" i="1"/>
  <c r="O253" i="1" s="1"/>
  <c r="F254" i="1"/>
  <c r="G254" i="1"/>
  <c r="H254" i="1" s="1"/>
  <c r="I254" i="1"/>
  <c r="J254" i="1" s="1"/>
  <c r="K254" i="1"/>
  <c r="L254" i="1"/>
  <c r="M254" i="1"/>
  <c r="U254" i="1" s="1"/>
  <c r="N254" i="1"/>
  <c r="O254" i="1" s="1"/>
  <c r="F255" i="1"/>
  <c r="G255" i="1"/>
  <c r="H255" i="1" s="1"/>
  <c r="I255" i="1"/>
  <c r="J255" i="1" s="1"/>
  <c r="K255" i="1"/>
  <c r="L255" i="1"/>
  <c r="M255" i="1"/>
  <c r="N255" i="1"/>
  <c r="O255" i="1" s="1"/>
  <c r="F256" i="1"/>
  <c r="G256" i="1"/>
  <c r="H256" i="1" s="1"/>
  <c r="I256" i="1"/>
  <c r="J256" i="1" s="1"/>
  <c r="K256" i="1"/>
  <c r="L256" i="1"/>
  <c r="M256" i="1"/>
  <c r="T256" i="1" s="1"/>
  <c r="AZ256" i="1" s="1"/>
  <c r="N256" i="1"/>
  <c r="O256" i="1" s="1"/>
  <c r="F257" i="1"/>
  <c r="G257" i="1"/>
  <c r="H257" i="1" s="1"/>
  <c r="I257" i="1"/>
  <c r="J257" i="1" s="1"/>
  <c r="K257" i="1"/>
  <c r="L257" i="1"/>
  <c r="M257" i="1"/>
  <c r="N257" i="1"/>
  <c r="O257" i="1" s="1"/>
  <c r="F258" i="1"/>
  <c r="G258" i="1"/>
  <c r="H258" i="1" s="1"/>
  <c r="I258" i="1"/>
  <c r="J258" i="1" s="1"/>
  <c r="K258" i="1"/>
  <c r="L258" i="1"/>
  <c r="M258" i="1"/>
  <c r="U258" i="1" s="1"/>
  <c r="N258" i="1"/>
  <c r="O258" i="1" s="1"/>
  <c r="F259" i="1"/>
  <c r="G259" i="1"/>
  <c r="H259" i="1" s="1"/>
  <c r="I259" i="1"/>
  <c r="J259" i="1" s="1"/>
  <c r="K259" i="1"/>
  <c r="L259" i="1"/>
  <c r="M259" i="1"/>
  <c r="P259" i="1" s="1"/>
  <c r="Q259" i="1" s="1"/>
  <c r="BC259" i="1" s="1"/>
  <c r="BD259" i="1" s="1"/>
  <c r="N259" i="1"/>
  <c r="O259" i="1" s="1"/>
  <c r="F260" i="1"/>
  <c r="G260" i="1"/>
  <c r="H260" i="1" s="1"/>
  <c r="I260" i="1"/>
  <c r="J260" i="1" s="1"/>
  <c r="K260" i="1"/>
  <c r="L260" i="1"/>
  <c r="M260" i="1"/>
  <c r="U260" i="1" s="1"/>
  <c r="N260" i="1"/>
  <c r="O260" i="1" s="1"/>
  <c r="F261" i="1"/>
  <c r="G261" i="1"/>
  <c r="H261" i="1" s="1"/>
  <c r="I261" i="1"/>
  <c r="J261" i="1" s="1"/>
  <c r="K261" i="1"/>
  <c r="L261" i="1"/>
  <c r="M261" i="1"/>
  <c r="P261" i="1" s="1"/>
  <c r="N261" i="1"/>
  <c r="O261" i="1" s="1"/>
  <c r="F262" i="1"/>
  <c r="G262" i="1"/>
  <c r="H262" i="1" s="1"/>
  <c r="I262" i="1"/>
  <c r="J262" i="1" s="1"/>
  <c r="K262" i="1"/>
  <c r="L262" i="1"/>
  <c r="M262" i="1"/>
  <c r="U262" i="1" s="1"/>
  <c r="N262" i="1"/>
  <c r="O262" i="1" s="1"/>
  <c r="F263" i="1"/>
  <c r="G263" i="1"/>
  <c r="H263" i="1" s="1"/>
  <c r="I263" i="1"/>
  <c r="J263" i="1" s="1"/>
  <c r="K263" i="1"/>
  <c r="L263" i="1"/>
  <c r="M263" i="1"/>
  <c r="N263" i="1"/>
  <c r="O263" i="1" s="1"/>
  <c r="F264" i="1"/>
  <c r="G264" i="1"/>
  <c r="H264" i="1" s="1"/>
  <c r="I264" i="1"/>
  <c r="J264" i="1" s="1"/>
  <c r="K264" i="1"/>
  <c r="L264" i="1"/>
  <c r="M264" i="1"/>
  <c r="U264" i="1" s="1"/>
  <c r="N264" i="1"/>
  <c r="O264" i="1" s="1"/>
  <c r="F265" i="1"/>
  <c r="G265" i="1"/>
  <c r="H265" i="1" s="1"/>
  <c r="I265" i="1"/>
  <c r="J265" i="1" s="1"/>
  <c r="K265" i="1"/>
  <c r="L265" i="1"/>
  <c r="M265" i="1"/>
  <c r="P265" i="1" s="1"/>
  <c r="N265" i="1"/>
  <c r="O265" i="1" s="1"/>
  <c r="F266" i="1"/>
  <c r="G266" i="1"/>
  <c r="H266" i="1" s="1"/>
  <c r="I266" i="1"/>
  <c r="J266" i="1" s="1"/>
  <c r="K266" i="1"/>
  <c r="L266" i="1"/>
  <c r="M266" i="1"/>
  <c r="U266" i="1" s="1"/>
  <c r="N266" i="1"/>
  <c r="O266" i="1" s="1"/>
  <c r="F267" i="1"/>
  <c r="G267" i="1"/>
  <c r="H267" i="1" s="1"/>
  <c r="I267" i="1"/>
  <c r="J267" i="1" s="1"/>
  <c r="K267" i="1"/>
  <c r="L267" i="1"/>
  <c r="M267" i="1"/>
  <c r="N267" i="1"/>
  <c r="O267" i="1" s="1"/>
  <c r="F268" i="1"/>
  <c r="G268" i="1"/>
  <c r="H268" i="1" s="1"/>
  <c r="I268" i="1"/>
  <c r="J268" i="1" s="1"/>
  <c r="K268" i="1"/>
  <c r="L268" i="1"/>
  <c r="M268" i="1"/>
  <c r="U268" i="1" s="1"/>
  <c r="N268" i="1"/>
  <c r="O268" i="1" s="1"/>
  <c r="F269" i="1"/>
  <c r="G269" i="1"/>
  <c r="H269" i="1" s="1"/>
  <c r="I269" i="1"/>
  <c r="J269" i="1" s="1"/>
  <c r="K269" i="1"/>
  <c r="L269" i="1"/>
  <c r="M269" i="1"/>
  <c r="N269" i="1"/>
  <c r="O269" i="1" s="1"/>
  <c r="F270" i="1"/>
  <c r="G270" i="1"/>
  <c r="H270" i="1" s="1"/>
  <c r="I270" i="1"/>
  <c r="J270" i="1" s="1"/>
  <c r="K270" i="1"/>
  <c r="L270" i="1"/>
  <c r="M270" i="1"/>
  <c r="U270" i="1" s="1"/>
  <c r="N270" i="1"/>
  <c r="O270" i="1" s="1"/>
  <c r="F271" i="1"/>
  <c r="G271" i="1"/>
  <c r="H271" i="1" s="1"/>
  <c r="I271" i="1"/>
  <c r="J271" i="1" s="1"/>
  <c r="K271" i="1"/>
  <c r="L271" i="1"/>
  <c r="M271" i="1"/>
  <c r="N271" i="1"/>
  <c r="O271" i="1" s="1"/>
  <c r="F272" i="1"/>
  <c r="G272" i="1"/>
  <c r="H272" i="1" s="1"/>
  <c r="I272" i="1"/>
  <c r="J272" i="1" s="1"/>
  <c r="K272" i="1"/>
  <c r="L272" i="1"/>
  <c r="M272" i="1"/>
  <c r="N272" i="1"/>
  <c r="O272" i="1" s="1"/>
  <c r="F273" i="1"/>
  <c r="G273" i="1"/>
  <c r="H273" i="1" s="1"/>
  <c r="I273" i="1"/>
  <c r="J273" i="1" s="1"/>
  <c r="K273" i="1"/>
  <c r="L273" i="1"/>
  <c r="M273" i="1"/>
  <c r="T273" i="1" s="1"/>
  <c r="AZ273" i="1" s="1"/>
  <c r="N273" i="1"/>
  <c r="O273" i="1" s="1"/>
  <c r="F274" i="1"/>
  <c r="G274" i="1"/>
  <c r="H274" i="1" s="1"/>
  <c r="I274" i="1"/>
  <c r="J274" i="1" s="1"/>
  <c r="K274" i="1"/>
  <c r="L274" i="1"/>
  <c r="M274" i="1"/>
  <c r="P274" i="1" s="1"/>
  <c r="Q274" i="1" s="1"/>
  <c r="BC274" i="1" s="1"/>
  <c r="BD274" i="1" s="1"/>
  <c r="N274" i="1"/>
  <c r="O274" i="1" s="1"/>
  <c r="F275" i="1"/>
  <c r="G275" i="1"/>
  <c r="H275" i="1" s="1"/>
  <c r="I275" i="1"/>
  <c r="J275" i="1" s="1"/>
  <c r="K275" i="1"/>
  <c r="L275" i="1"/>
  <c r="M275" i="1"/>
  <c r="P275" i="1" s="1"/>
  <c r="Q275" i="1" s="1"/>
  <c r="BC275" i="1" s="1"/>
  <c r="BD275" i="1" s="1"/>
  <c r="N275" i="1"/>
  <c r="O275" i="1" s="1"/>
  <c r="F276" i="1"/>
  <c r="G276" i="1"/>
  <c r="H276" i="1" s="1"/>
  <c r="I276" i="1"/>
  <c r="J276" i="1" s="1"/>
  <c r="K276" i="1"/>
  <c r="L276" i="1"/>
  <c r="M276" i="1"/>
  <c r="P276" i="1" s="1"/>
  <c r="Q276" i="1" s="1"/>
  <c r="BC276" i="1" s="1"/>
  <c r="BD276" i="1" s="1"/>
  <c r="N276" i="1"/>
  <c r="O276" i="1" s="1"/>
  <c r="F277" i="1"/>
  <c r="G277" i="1"/>
  <c r="H277" i="1" s="1"/>
  <c r="I277" i="1"/>
  <c r="J277" i="1" s="1"/>
  <c r="K277" i="1"/>
  <c r="L277" i="1"/>
  <c r="M277" i="1"/>
  <c r="P277" i="1" s="1"/>
  <c r="Q277" i="1" s="1"/>
  <c r="BC277" i="1" s="1"/>
  <c r="BD277" i="1" s="1"/>
  <c r="N277" i="1"/>
  <c r="O277" i="1" s="1"/>
  <c r="F278" i="1"/>
  <c r="G278" i="1"/>
  <c r="H278" i="1" s="1"/>
  <c r="I278" i="1"/>
  <c r="J278" i="1" s="1"/>
  <c r="K278" i="1"/>
  <c r="L278" i="1"/>
  <c r="M278" i="1"/>
  <c r="N278" i="1"/>
  <c r="O278" i="1" s="1"/>
  <c r="F279" i="1"/>
  <c r="G279" i="1"/>
  <c r="H279" i="1" s="1"/>
  <c r="I279" i="1"/>
  <c r="J279" i="1" s="1"/>
  <c r="K279" i="1"/>
  <c r="L279" i="1"/>
  <c r="M279" i="1"/>
  <c r="P279" i="1" s="1"/>
  <c r="Q279" i="1" s="1"/>
  <c r="BC279" i="1" s="1"/>
  <c r="BD279" i="1" s="1"/>
  <c r="N279" i="1"/>
  <c r="O279" i="1" s="1"/>
  <c r="F280" i="1"/>
  <c r="G280" i="1"/>
  <c r="H280" i="1" s="1"/>
  <c r="I280" i="1"/>
  <c r="J280" i="1" s="1"/>
  <c r="K280" i="1"/>
  <c r="L280" i="1"/>
  <c r="M280" i="1"/>
  <c r="P280" i="1" s="1"/>
  <c r="Q280" i="1" s="1"/>
  <c r="BC280" i="1" s="1"/>
  <c r="BD280" i="1" s="1"/>
  <c r="N280" i="1"/>
  <c r="O280" i="1" s="1"/>
  <c r="F281" i="1"/>
  <c r="G281" i="1"/>
  <c r="H281" i="1" s="1"/>
  <c r="I281" i="1"/>
  <c r="J281" i="1" s="1"/>
  <c r="K281" i="1"/>
  <c r="L281" i="1"/>
  <c r="M281" i="1"/>
  <c r="T281" i="1" s="1"/>
  <c r="AZ281" i="1" s="1"/>
  <c r="N281" i="1"/>
  <c r="O281" i="1" s="1"/>
  <c r="F282" i="1"/>
  <c r="G282" i="1"/>
  <c r="H282" i="1" s="1"/>
  <c r="I282" i="1"/>
  <c r="J282" i="1" s="1"/>
  <c r="K282" i="1"/>
  <c r="L282" i="1"/>
  <c r="M282" i="1"/>
  <c r="P282" i="1" s="1"/>
  <c r="Q282" i="1" s="1"/>
  <c r="BC282" i="1" s="1"/>
  <c r="BD282" i="1" s="1"/>
  <c r="N282" i="1"/>
  <c r="O282" i="1" s="1"/>
  <c r="F283" i="1"/>
  <c r="G283" i="1"/>
  <c r="H283" i="1" s="1"/>
  <c r="I283" i="1"/>
  <c r="J283" i="1" s="1"/>
  <c r="K283" i="1"/>
  <c r="L283" i="1"/>
  <c r="M283" i="1"/>
  <c r="U283" i="1" s="1"/>
  <c r="N283" i="1"/>
  <c r="O283" i="1" s="1"/>
  <c r="F284" i="1"/>
  <c r="G284" i="1"/>
  <c r="H284" i="1" s="1"/>
  <c r="I284" i="1"/>
  <c r="J284" i="1" s="1"/>
  <c r="K284" i="1"/>
  <c r="L284" i="1"/>
  <c r="M284" i="1"/>
  <c r="N284" i="1"/>
  <c r="O284" i="1" s="1"/>
  <c r="F285" i="1"/>
  <c r="G285" i="1"/>
  <c r="H285" i="1" s="1"/>
  <c r="I285" i="1"/>
  <c r="J285" i="1" s="1"/>
  <c r="K285" i="1"/>
  <c r="L285" i="1"/>
  <c r="M285" i="1"/>
  <c r="T285" i="1" s="1"/>
  <c r="AZ285" i="1" s="1"/>
  <c r="N285" i="1"/>
  <c r="O285" i="1" s="1"/>
  <c r="F286" i="1"/>
  <c r="G286" i="1"/>
  <c r="H286" i="1" s="1"/>
  <c r="I286" i="1"/>
  <c r="J286" i="1" s="1"/>
  <c r="K286" i="1"/>
  <c r="L286" i="1"/>
  <c r="M286" i="1"/>
  <c r="P286" i="1" s="1"/>
  <c r="Q286" i="1" s="1"/>
  <c r="BC286" i="1" s="1"/>
  <c r="BD286" i="1" s="1"/>
  <c r="N286" i="1"/>
  <c r="O286" i="1" s="1"/>
  <c r="F287" i="1"/>
  <c r="G287" i="1"/>
  <c r="H287" i="1" s="1"/>
  <c r="I287" i="1"/>
  <c r="J287" i="1" s="1"/>
  <c r="K287" i="1"/>
  <c r="L287" i="1"/>
  <c r="M287" i="1"/>
  <c r="N287" i="1"/>
  <c r="O287" i="1" s="1"/>
  <c r="F288" i="1"/>
  <c r="G288" i="1"/>
  <c r="H288" i="1" s="1"/>
  <c r="I288" i="1"/>
  <c r="J288" i="1" s="1"/>
  <c r="K288" i="1"/>
  <c r="L288" i="1"/>
  <c r="M288" i="1"/>
  <c r="P288" i="1" s="1"/>
  <c r="Q288" i="1" s="1"/>
  <c r="BC288" i="1" s="1"/>
  <c r="BD288" i="1" s="1"/>
  <c r="N288" i="1"/>
  <c r="O288" i="1" s="1"/>
  <c r="F289" i="1"/>
  <c r="G289" i="1"/>
  <c r="H289" i="1" s="1"/>
  <c r="I289" i="1"/>
  <c r="J289" i="1" s="1"/>
  <c r="K289" i="1"/>
  <c r="L289" i="1"/>
  <c r="M289" i="1"/>
  <c r="U289" i="1" s="1"/>
  <c r="N289" i="1"/>
  <c r="O289" i="1" s="1"/>
  <c r="F290" i="1"/>
  <c r="G290" i="1"/>
  <c r="H290" i="1" s="1"/>
  <c r="I290" i="1"/>
  <c r="J290" i="1" s="1"/>
  <c r="K290" i="1"/>
  <c r="L290" i="1"/>
  <c r="M290" i="1"/>
  <c r="N290" i="1"/>
  <c r="O290" i="1" s="1"/>
  <c r="F291" i="1"/>
  <c r="G291" i="1"/>
  <c r="H291" i="1" s="1"/>
  <c r="I291" i="1"/>
  <c r="J291" i="1" s="1"/>
  <c r="K291" i="1"/>
  <c r="L291" i="1"/>
  <c r="M291" i="1"/>
  <c r="P291" i="1" s="1"/>
  <c r="Q291" i="1" s="1"/>
  <c r="BC291" i="1" s="1"/>
  <c r="BD291" i="1" s="1"/>
  <c r="N291" i="1"/>
  <c r="O291" i="1" s="1"/>
  <c r="F292" i="1"/>
  <c r="G292" i="1"/>
  <c r="H292" i="1" s="1"/>
  <c r="I292" i="1"/>
  <c r="J292" i="1" s="1"/>
  <c r="K292" i="1"/>
  <c r="L292" i="1"/>
  <c r="M292" i="1"/>
  <c r="P292" i="1" s="1"/>
  <c r="Q292" i="1" s="1"/>
  <c r="BC292" i="1" s="1"/>
  <c r="BD292" i="1" s="1"/>
  <c r="N292" i="1"/>
  <c r="O292" i="1" s="1"/>
  <c r="F293" i="1"/>
  <c r="G293" i="1"/>
  <c r="H293" i="1" s="1"/>
  <c r="I293" i="1"/>
  <c r="J293" i="1" s="1"/>
  <c r="K293" i="1"/>
  <c r="L293" i="1"/>
  <c r="M293" i="1"/>
  <c r="N293" i="1"/>
  <c r="O293" i="1" s="1"/>
  <c r="F294" i="1"/>
  <c r="G294" i="1"/>
  <c r="H294" i="1" s="1"/>
  <c r="I294" i="1"/>
  <c r="J294" i="1" s="1"/>
  <c r="K294" i="1"/>
  <c r="L294" i="1"/>
  <c r="M294" i="1"/>
  <c r="P294" i="1" s="1"/>
  <c r="Q294" i="1" s="1"/>
  <c r="BC294" i="1" s="1"/>
  <c r="BD294" i="1" s="1"/>
  <c r="N294" i="1"/>
  <c r="O294" i="1" s="1"/>
  <c r="F295" i="1"/>
  <c r="G295" i="1"/>
  <c r="H295" i="1" s="1"/>
  <c r="I295" i="1"/>
  <c r="J295" i="1" s="1"/>
  <c r="K295" i="1"/>
  <c r="L295" i="1"/>
  <c r="M295" i="1"/>
  <c r="P295" i="1" s="1"/>
  <c r="Q295" i="1" s="1"/>
  <c r="BC295" i="1" s="1"/>
  <c r="BD295" i="1" s="1"/>
  <c r="N295" i="1"/>
  <c r="O295" i="1" s="1"/>
  <c r="F296" i="1"/>
  <c r="G296" i="1"/>
  <c r="H296" i="1" s="1"/>
  <c r="I296" i="1"/>
  <c r="J296" i="1" s="1"/>
  <c r="K296" i="1"/>
  <c r="L296" i="1"/>
  <c r="M296" i="1"/>
  <c r="P296" i="1" s="1"/>
  <c r="Q296" i="1" s="1"/>
  <c r="BC296" i="1" s="1"/>
  <c r="BD296" i="1" s="1"/>
  <c r="N296" i="1"/>
  <c r="O296" i="1" s="1"/>
  <c r="F297" i="1"/>
  <c r="G297" i="1"/>
  <c r="H297" i="1" s="1"/>
  <c r="I297" i="1"/>
  <c r="J297" i="1" s="1"/>
  <c r="K297" i="1"/>
  <c r="L297" i="1"/>
  <c r="M297" i="1"/>
  <c r="U297" i="1" s="1"/>
  <c r="N297" i="1"/>
  <c r="O297" i="1" s="1"/>
  <c r="F298" i="1"/>
  <c r="G298" i="1"/>
  <c r="H298" i="1" s="1"/>
  <c r="I298" i="1"/>
  <c r="J298" i="1" s="1"/>
  <c r="K298" i="1"/>
  <c r="L298" i="1"/>
  <c r="M298" i="1"/>
  <c r="U298" i="1" s="1"/>
  <c r="N298" i="1"/>
  <c r="O298" i="1" s="1"/>
  <c r="F299" i="1"/>
  <c r="G299" i="1"/>
  <c r="H299" i="1" s="1"/>
  <c r="I299" i="1"/>
  <c r="J299" i="1" s="1"/>
  <c r="K299" i="1"/>
  <c r="L299" i="1"/>
  <c r="M299" i="1"/>
  <c r="T299" i="1" s="1"/>
  <c r="AZ299" i="1" s="1"/>
  <c r="N299" i="1"/>
  <c r="O299" i="1" s="1"/>
  <c r="F300" i="1"/>
  <c r="G300" i="1"/>
  <c r="H300" i="1" s="1"/>
  <c r="I300" i="1"/>
  <c r="J300" i="1" s="1"/>
  <c r="K300" i="1"/>
  <c r="L300" i="1"/>
  <c r="M300" i="1"/>
  <c r="N300" i="1"/>
  <c r="O300" i="1" s="1"/>
  <c r="F301" i="1"/>
  <c r="G301" i="1"/>
  <c r="H301" i="1" s="1"/>
  <c r="I301" i="1"/>
  <c r="J301" i="1" s="1"/>
  <c r="K301" i="1"/>
  <c r="L301" i="1"/>
  <c r="M301" i="1"/>
  <c r="P301" i="1" s="1"/>
  <c r="Q301" i="1" s="1"/>
  <c r="BC301" i="1" s="1"/>
  <c r="BD301" i="1" s="1"/>
  <c r="N301" i="1"/>
  <c r="O301" i="1" s="1"/>
  <c r="F302" i="1"/>
  <c r="G302" i="1"/>
  <c r="H302" i="1" s="1"/>
  <c r="I302" i="1"/>
  <c r="J302" i="1" s="1"/>
  <c r="K302" i="1"/>
  <c r="L302" i="1"/>
  <c r="M302" i="1"/>
  <c r="N302" i="1"/>
  <c r="O302" i="1" s="1"/>
  <c r="F303" i="1"/>
  <c r="G303" i="1"/>
  <c r="H303" i="1" s="1"/>
  <c r="I303" i="1"/>
  <c r="J303" i="1" s="1"/>
  <c r="K303" i="1"/>
  <c r="L303" i="1"/>
  <c r="M303" i="1"/>
  <c r="T303" i="1" s="1"/>
  <c r="AZ303" i="1" s="1"/>
  <c r="N303" i="1"/>
  <c r="O303" i="1" s="1"/>
  <c r="F304" i="1"/>
  <c r="G304" i="1"/>
  <c r="H304" i="1" s="1"/>
  <c r="I304" i="1"/>
  <c r="J304" i="1" s="1"/>
  <c r="K304" i="1"/>
  <c r="L304" i="1"/>
  <c r="M304" i="1"/>
  <c r="N304" i="1"/>
  <c r="O304" i="1" s="1"/>
  <c r="F305" i="1"/>
  <c r="G305" i="1"/>
  <c r="H305" i="1" s="1"/>
  <c r="I305" i="1"/>
  <c r="J305" i="1" s="1"/>
  <c r="K305" i="1"/>
  <c r="L305" i="1"/>
  <c r="M305" i="1"/>
  <c r="U305" i="1" s="1"/>
  <c r="N305" i="1"/>
  <c r="O305" i="1" s="1"/>
  <c r="F306" i="1"/>
  <c r="G306" i="1"/>
  <c r="H306" i="1" s="1"/>
  <c r="I306" i="1"/>
  <c r="J306" i="1" s="1"/>
  <c r="K306" i="1"/>
  <c r="L306" i="1"/>
  <c r="M306" i="1"/>
  <c r="N306" i="1"/>
  <c r="O306" i="1" s="1"/>
  <c r="F307" i="1"/>
  <c r="G307" i="1"/>
  <c r="H307" i="1" s="1"/>
  <c r="I307" i="1"/>
  <c r="J307" i="1" s="1"/>
  <c r="K307" i="1"/>
  <c r="L307" i="1"/>
  <c r="M307" i="1"/>
  <c r="N307" i="1"/>
  <c r="O307" i="1" s="1"/>
  <c r="F308" i="1"/>
  <c r="G308" i="1"/>
  <c r="H308" i="1" s="1"/>
  <c r="I308" i="1"/>
  <c r="J308" i="1" s="1"/>
  <c r="K308" i="1"/>
  <c r="L308" i="1"/>
  <c r="M308" i="1"/>
  <c r="N308" i="1"/>
  <c r="O308" i="1" s="1"/>
  <c r="F309" i="1"/>
  <c r="G309" i="1"/>
  <c r="H309" i="1" s="1"/>
  <c r="I309" i="1"/>
  <c r="J309" i="1" s="1"/>
  <c r="K309" i="1"/>
  <c r="L309" i="1"/>
  <c r="M309" i="1"/>
  <c r="N309" i="1"/>
  <c r="O309" i="1" s="1"/>
  <c r="F310" i="1"/>
  <c r="G310" i="1"/>
  <c r="H310" i="1" s="1"/>
  <c r="I310" i="1"/>
  <c r="J310" i="1" s="1"/>
  <c r="K310" i="1"/>
  <c r="L310" i="1"/>
  <c r="M310" i="1"/>
  <c r="N310" i="1"/>
  <c r="O310" i="1" s="1"/>
  <c r="F311" i="1"/>
  <c r="G311" i="1"/>
  <c r="H311" i="1" s="1"/>
  <c r="I311" i="1"/>
  <c r="J311" i="1" s="1"/>
  <c r="K311" i="1"/>
  <c r="L311" i="1"/>
  <c r="M311" i="1"/>
  <c r="N311" i="1"/>
  <c r="O311" i="1" s="1"/>
  <c r="F312" i="1"/>
  <c r="G312" i="1"/>
  <c r="H312" i="1" s="1"/>
  <c r="I312" i="1"/>
  <c r="J312" i="1" s="1"/>
  <c r="K312" i="1"/>
  <c r="L312" i="1"/>
  <c r="M312" i="1"/>
  <c r="N312" i="1"/>
  <c r="O312" i="1" s="1"/>
  <c r="F313" i="1"/>
  <c r="G313" i="1"/>
  <c r="H313" i="1" s="1"/>
  <c r="I313" i="1"/>
  <c r="J313" i="1" s="1"/>
  <c r="K313" i="1"/>
  <c r="L313" i="1"/>
  <c r="M313" i="1"/>
  <c r="P313" i="1" s="1"/>
  <c r="Q313" i="1" s="1"/>
  <c r="BC313" i="1" s="1"/>
  <c r="BD313" i="1" s="1"/>
  <c r="N313" i="1"/>
  <c r="O313" i="1" s="1"/>
  <c r="F314" i="1"/>
  <c r="G314" i="1"/>
  <c r="H314" i="1" s="1"/>
  <c r="I314" i="1"/>
  <c r="J314" i="1" s="1"/>
  <c r="K314" i="1"/>
  <c r="L314" i="1"/>
  <c r="M314" i="1"/>
  <c r="T314" i="1" s="1"/>
  <c r="AZ314" i="1" s="1"/>
  <c r="N314" i="1"/>
  <c r="O314" i="1" s="1"/>
  <c r="F315" i="1"/>
  <c r="G315" i="1"/>
  <c r="H315" i="1" s="1"/>
  <c r="I315" i="1"/>
  <c r="J315" i="1" s="1"/>
  <c r="K315" i="1"/>
  <c r="L315" i="1"/>
  <c r="M315" i="1"/>
  <c r="N315" i="1"/>
  <c r="O315" i="1" s="1"/>
  <c r="F316" i="1"/>
  <c r="G316" i="1"/>
  <c r="H316" i="1" s="1"/>
  <c r="I316" i="1"/>
  <c r="J316" i="1" s="1"/>
  <c r="K316" i="1"/>
  <c r="L316" i="1"/>
  <c r="M316" i="1"/>
  <c r="N316" i="1"/>
  <c r="O316" i="1" s="1"/>
  <c r="F317" i="1"/>
  <c r="G317" i="1"/>
  <c r="H317" i="1" s="1"/>
  <c r="I317" i="1"/>
  <c r="J317" i="1" s="1"/>
  <c r="K317" i="1"/>
  <c r="L317" i="1"/>
  <c r="M317" i="1"/>
  <c r="N317" i="1"/>
  <c r="O317" i="1" s="1"/>
  <c r="F318" i="1"/>
  <c r="G318" i="1"/>
  <c r="H318" i="1" s="1"/>
  <c r="I318" i="1"/>
  <c r="J318" i="1" s="1"/>
  <c r="K318" i="1"/>
  <c r="L318" i="1"/>
  <c r="M318" i="1"/>
  <c r="N318" i="1"/>
  <c r="O318" i="1" s="1"/>
  <c r="F319" i="1"/>
  <c r="G319" i="1"/>
  <c r="H319" i="1" s="1"/>
  <c r="I319" i="1"/>
  <c r="J319" i="1" s="1"/>
  <c r="K319" i="1"/>
  <c r="L319" i="1"/>
  <c r="M319" i="1"/>
  <c r="P319" i="1" s="1"/>
  <c r="Q319" i="1" s="1"/>
  <c r="BC319" i="1" s="1"/>
  <c r="BD319" i="1" s="1"/>
  <c r="N319" i="1"/>
  <c r="O319" i="1" s="1"/>
  <c r="F320" i="1"/>
  <c r="G320" i="1"/>
  <c r="H320" i="1" s="1"/>
  <c r="I320" i="1"/>
  <c r="J320" i="1" s="1"/>
  <c r="K320" i="1"/>
  <c r="L320" i="1"/>
  <c r="M320" i="1"/>
  <c r="U320" i="1" s="1"/>
  <c r="N320" i="1"/>
  <c r="O320" i="1" s="1"/>
  <c r="F321" i="1"/>
  <c r="G321" i="1"/>
  <c r="H321" i="1" s="1"/>
  <c r="I321" i="1"/>
  <c r="J321" i="1" s="1"/>
  <c r="K321" i="1"/>
  <c r="L321" i="1"/>
  <c r="M321" i="1"/>
  <c r="T321" i="1" s="1"/>
  <c r="AZ321" i="1" s="1"/>
  <c r="N321" i="1"/>
  <c r="O321" i="1" s="1"/>
  <c r="F322" i="1"/>
  <c r="G322" i="1"/>
  <c r="H322" i="1" s="1"/>
  <c r="I322" i="1"/>
  <c r="J322" i="1" s="1"/>
  <c r="K322" i="1"/>
  <c r="L322" i="1"/>
  <c r="M322" i="1"/>
  <c r="P322" i="1" s="1"/>
  <c r="Q322" i="1" s="1"/>
  <c r="BC322" i="1" s="1"/>
  <c r="BD322" i="1" s="1"/>
  <c r="N322" i="1"/>
  <c r="O322" i="1" s="1"/>
  <c r="F323" i="1"/>
  <c r="G323" i="1"/>
  <c r="H323" i="1" s="1"/>
  <c r="I323" i="1"/>
  <c r="J323" i="1" s="1"/>
  <c r="K323" i="1"/>
  <c r="L323" i="1"/>
  <c r="M323" i="1"/>
  <c r="U323" i="1" s="1"/>
  <c r="N323" i="1"/>
  <c r="O323" i="1" s="1"/>
  <c r="F324" i="1"/>
  <c r="G324" i="1"/>
  <c r="H324" i="1" s="1"/>
  <c r="I324" i="1"/>
  <c r="J324" i="1" s="1"/>
  <c r="K324" i="1"/>
  <c r="L324" i="1"/>
  <c r="M324" i="1"/>
  <c r="N324" i="1"/>
  <c r="O324" i="1" s="1"/>
  <c r="F325" i="1"/>
  <c r="G325" i="1"/>
  <c r="H325" i="1" s="1"/>
  <c r="I325" i="1"/>
  <c r="J325" i="1" s="1"/>
  <c r="K325" i="1"/>
  <c r="L325" i="1"/>
  <c r="M325" i="1"/>
  <c r="N325" i="1"/>
  <c r="O325" i="1" s="1"/>
  <c r="F326" i="1"/>
  <c r="G326" i="1"/>
  <c r="H326" i="1" s="1"/>
  <c r="I326" i="1"/>
  <c r="J326" i="1" s="1"/>
  <c r="K326" i="1"/>
  <c r="L326" i="1"/>
  <c r="M326" i="1"/>
  <c r="N326" i="1"/>
  <c r="O326" i="1" s="1"/>
  <c r="F327" i="1"/>
  <c r="G327" i="1"/>
  <c r="H327" i="1" s="1"/>
  <c r="I327" i="1"/>
  <c r="J327" i="1" s="1"/>
  <c r="K327" i="1"/>
  <c r="L327" i="1"/>
  <c r="M327" i="1"/>
  <c r="T327" i="1" s="1"/>
  <c r="AZ327" i="1" s="1"/>
  <c r="N327" i="1"/>
  <c r="O327" i="1" s="1"/>
  <c r="F328" i="1"/>
  <c r="G328" i="1"/>
  <c r="H328" i="1" s="1"/>
  <c r="I328" i="1"/>
  <c r="J328" i="1" s="1"/>
  <c r="K328" i="1"/>
  <c r="L328" i="1"/>
  <c r="M328" i="1"/>
  <c r="T328" i="1" s="1"/>
  <c r="AZ328" i="1" s="1"/>
  <c r="N328" i="1"/>
  <c r="O328" i="1" s="1"/>
  <c r="F329" i="1"/>
  <c r="G329" i="1"/>
  <c r="H329" i="1" s="1"/>
  <c r="I329" i="1"/>
  <c r="J329" i="1" s="1"/>
  <c r="K329" i="1"/>
  <c r="L329" i="1"/>
  <c r="M329" i="1"/>
  <c r="T329" i="1" s="1"/>
  <c r="AZ329" i="1" s="1"/>
  <c r="N329" i="1"/>
  <c r="O329" i="1" s="1"/>
  <c r="F330" i="1"/>
  <c r="G330" i="1"/>
  <c r="H330" i="1" s="1"/>
  <c r="I330" i="1"/>
  <c r="J330" i="1" s="1"/>
  <c r="K330" i="1"/>
  <c r="L330" i="1"/>
  <c r="M330" i="1"/>
  <c r="U330" i="1" s="1"/>
  <c r="N330" i="1"/>
  <c r="O330" i="1" s="1"/>
  <c r="F331" i="1"/>
  <c r="G331" i="1"/>
  <c r="H331" i="1" s="1"/>
  <c r="I331" i="1"/>
  <c r="J331" i="1" s="1"/>
  <c r="K331" i="1"/>
  <c r="L331" i="1"/>
  <c r="M331" i="1"/>
  <c r="N331" i="1"/>
  <c r="O331" i="1" s="1"/>
  <c r="F332" i="1"/>
  <c r="G332" i="1"/>
  <c r="H332" i="1" s="1"/>
  <c r="I332" i="1"/>
  <c r="J332" i="1" s="1"/>
  <c r="K332" i="1"/>
  <c r="L332" i="1"/>
  <c r="M332" i="1"/>
  <c r="T332" i="1" s="1"/>
  <c r="AZ332" i="1" s="1"/>
  <c r="N332" i="1"/>
  <c r="O332" i="1" s="1"/>
  <c r="F333" i="1"/>
  <c r="G333" i="1"/>
  <c r="H333" i="1" s="1"/>
  <c r="I333" i="1"/>
  <c r="J333" i="1" s="1"/>
  <c r="K333" i="1"/>
  <c r="L333" i="1"/>
  <c r="M333" i="1"/>
  <c r="T333" i="1" s="1"/>
  <c r="AZ333" i="1" s="1"/>
  <c r="N333" i="1"/>
  <c r="O333" i="1" s="1"/>
  <c r="F334" i="1"/>
  <c r="G334" i="1"/>
  <c r="H334" i="1" s="1"/>
  <c r="I334" i="1"/>
  <c r="J334" i="1" s="1"/>
  <c r="K334" i="1"/>
  <c r="L334" i="1"/>
  <c r="M334" i="1"/>
  <c r="P334" i="1" s="1"/>
  <c r="N334" i="1"/>
  <c r="O334" i="1" s="1"/>
  <c r="F335" i="1"/>
  <c r="G335" i="1"/>
  <c r="H335" i="1" s="1"/>
  <c r="I335" i="1"/>
  <c r="J335" i="1" s="1"/>
  <c r="K335" i="1"/>
  <c r="L335" i="1"/>
  <c r="M335" i="1"/>
  <c r="T335" i="1" s="1"/>
  <c r="AZ335" i="1" s="1"/>
  <c r="N335" i="1"/>
  <c r="O335" i="1" s="1"/>
  <c r="F336" i="1"/>
  <c r="G336" i="1"/>
  <c r="H336" i="1" s="1"/>
  <c r="I336" i="1"/>
  <c r="J336" i="1" s="1"/>
  <c r="K336" i="1"/>
  <c r="L336" i="1"/>
  <c r="M336" i="1"/>
  <c r="N336" i="1"/>
  <c r="O336" i="1" s="1"/>
  <c r="F337" i="1"/>
  <c r="G337" i="1"/>
  <c r="H337" i="1" s="1"/>
  <c r="I337" i="1"/>
  <c r="J337" i="1" s="1"/>
  <c r="K337" i="1"/>
  <c r="L337" i="1"/>
  <c r="M337" i="1"/>
  <c r="N337" i="1"/>
  <c r="O337" i="1" s="1"/>
  <c r="F338" i="1"/>
  <c r="G338" i="1"/>
  <c r="H338" i="1" s="1"/>
  <c r="I338" i="1"/>
  <c r="J338" i="1" s="1"/>
  <c r="K338" i="1"/>
  <c r="L338" i="1"/>
  <c r="M338" i="1"/>
  <c r="P338" i="1" s="1"/>
  <c r="Q338" i="1" s="1"/>
  <c r="BC338" i="1" s="1"/>
  <c r="BD338" i="1" s="1"/>
  <c r="N338" i="1"/>
  <c r="O338" i="1" s="1"/>
  <c r="F339" i="1"/>
  <c r="G339" i="1"/>
  <c r="H339" i="1" s="1"/>
  <c r="I339" i="1"/>
  <c r="J339" i="1" s="1"/>
  <c r="K339" i="1"/>
  <c r="L339" i="1"/>
  <c r="M339" i="1"/>
  <c r="P339" i="1" s="1"/>
  <c r="N339" i="1"/>
  <c r="O339" i="1" s="1"/>
  <c r="F340" i="1"/>
  <c r="G340" i="1"/>
  <c r="H340" i="1" s="1"/>
  <c r="I340" i="1"/>
  <c r="J340" i="1" s="1"/>
  <c r="K340" i="1"/>
  <c r="L340" i="1"/>
  <c r="M340" i="1"/>
  <c r="U340" i="1" s="1"/>
  <c r="N340" i="1"/>
  <c r="O340" i="1" s="1"/>
  <c r="F341" i="1"/>
  <c r="G341" i="1"/>
  <c r="H341" i="1" s="1"/>
  <c r="I341" i="1"/>
  <c r="J341" i="1" s="1"/>
  <c r="K341" i="1"/>
  <c r="L341" i="1"/>
  <c r="M341" i="1"/>
  <c r="T341" i="1" s="1"/>
  <c r="AZ341" i="1" s="1"/>
  <c r="N341" i="1"/>
  <c r="O341" i="1" s="1"/>
  <c r="F342" i="1"/>
  <c r="G342" i="1"/>
  <c r="H342" i="1" s="1"/>
  <c r="I342" i="1"/>
  <c r="J342" i="1" s="1"/>
  <c r="K342" i="1"/>
  <c r="L342" i="1"/>
  <c r="M342" i="1"/>
  <c r="U342" i="1" s="1"/>
  <c r="N342" i="1"/>
  <c r="O342" i="1" s="1"/>
  <c r="F343" i="1"/>
  <c r="G343" i="1"/>
  <c r="H343" i="1" s="1"/>
  <c r="I343" i="1"/>
  <c r="J343" i="1" s="1"/>
  <c r="K343" i="1"/>
  <c r="L343" i="1"/>
  <c r="M343" i="1"/>
  <c r="U343" i="1" s="1"/>
  <c r="N343" i="1"/>
  <c r="O343" i="1" s="1"/>
  <c r="F344" i="1"/>
  <c r="G344" i="1"/>
  <c r="H344" i="1" s="1"/>
  <c r="I344" i="1"/>
  <c r="J344" i="1" s="1"/>
  <c r="K344" i="1"/>
  <c r="L344" i="1"/>
  <c r="M344" i="1"/>
  <c r="P344" i="1" s="1"/>
  <c r="N344" i="1"/>
  <c r="O344" i="1" s="1"/>
  <c r="F345" i="1"/>
  <c r="G345" i="1"/>
  <c r="H345" i="1" s="1"/>
  <c r="I345" i="1"/>
  <c r="J345" i="1" s="1"/>
  <c r="K345" i="1"/>
  <c r="L345" i="1"/>
  <c r="M345" i="1"/>
  <c r="U345" i="1" s="1"/>
  <c r="N345" i="1"/>
  <c r="O345" i="1" s="1"/>
  <c r="F346" i="1"/>
  <c r="G346" i="1"/>
  <c r="H346" i="1" s="1"/>
  <c r="I346" i="1"/>
  <c r="J346" i="1" s="1"/>
  <c r="K346" i="1"/>
  <c r="L346" i="1"/>
  <c r="M346" i="1"/>
  <c r="P346" i="1" s="1"/>
  <c r="N346" i="1"/>
  <c r="O346" i="1" s="1"/>
  <c r="F347" i="1"/>
  <c r="G347" i="1"/>
  <c r="H347" i="1" s="1"/>
  <c r="I347" i="1"/>
  <c r="J347" i="1" s="1"/>
  <c r="K347" i="1"/>
  <c r="L347" i="1"/>
  <c r="M347" i="1"/>
  <c r="T347" i="1" s="1"/>
  <c r="AZ347" i="1" s="1"/>
  <c r="N347" i="1"/>
  <c r="O347" i="1" s="1"/>
  <c r="F348" i="1"/>
  <c r="G348" i="1"/>
  <c r="H348" i="1" s="1"/>
  <c r="I348" i="1"/>
  <c r="J348" i="1" s="1"/>
  <c r="K348" i="1"/>
  <c r="L348" i="1"/>
  <c r="M348" i="1"/>
  <c r="N348" i="1"/>
  <c r="O348" i="1" s="1"/>
  <c r="F349" i="1"/>
  <c r="G349" i="1"/>
  <c r="H349" i="1" s="1"/>
  <c r="I349" i="1"/>
  <c r="J349" i="1" s="1"/>
  <c r="K349" i="1"/>
  <c r="L349" i="1"/>
  <c r="M349" i="1"/>
  <c r="N349" i="1"/>
  <c r="O349" i="1" s="1"/>
  <c r="F350" i="1"/>
  <c r="G350" i="1"/>
  <c r="H350" i="1" s="1"/>
  <c r="I350" i="1"/>
  <c r="J350" i="1" s="1"/>
  <c r="K350" i="1"/>
  <c r="L350" i="1"/>
  <c r="M350" i="1"/>
  <c r="N350" i="1"/>
  <c r="O350" i="1" s="1"/>
  <c r="F351" i="1"/>
  <c r="G351" i="1"/>
  <c r="H351" i="1" s="1"/>
  <c r="I351" i="1"/>
  <c r="J351" i="1" s="1"/>
  <c r="K351" i="1"/>
  <c r="L351" i="1"/>
  <c r="M351" i="1"/>
  <c r="P351" i="1" s="1"/>
  <c r="Q351" i="1" s="1"/>
  <c r="BC351" i="1" s="1"/>
  <c r="BD351" i="1" s="1"/>
  <c r="N351" i="1"/>
  <c r="O351" i="1" s="1"/>
  <c r="F352" i="1"/>
  <c r="G352" i="1"/>
  <c r="H352" i="1" s="1"/>
  <c r="I352" i="1"/>
  <c r="J352" i="1" s="1"/>
  <c r="K352" i="1"/>
  <c r="L352" i="1"/>
  <c r="M352" i="1"/>
  <c r="T352" i="1" s="1"/>
  <c r="AZ352" i="1" s="1"/>
  <c r="N352" i="1"/>
  <c r="O352" i="1" s="1"/>
  <c r="F353" i="1"/>
  <c r="G353" i="1"/>
  <c r="H353" i="1" s="1"/>
  <c r="I353" i="1"/>
  <c r="J353" i="1" s="1"/>
  <c r="K353" i="1"/>
  <c r="L353" i="1"/>
  <c r="M353" i="1"/>
  <c r="U353" i="1" s="1"/>
  <c r="N353" i="1"/>
  <c r="O353" i="1" s="1"/>
  <c r="F354" i="1"/>
  <c r="G354" i="1"/>
  <c r="H354" i="1" s="1"/>
  <c r="I354" i="1"/>
  <c r="J354" i="1" s="1"/>
  <c r="K354" i="1"/>
  <c r="L354" i="1"/>
  <c r="M354" i="1"/>
  <c r="N354" i="1"/>
  <c r="O354" i="1" s="1"/>
  <c r="F355" i="1"/>
  <c r="G355" i="1"/>
  <c r="H355" i="1" s="1"/>
  <c r="I355" i="1"/>
  <c r="J355" i="1" s="1"/>
  <c r="K355" i="1"/>
  <c r="L355" i="1"/>
  <c r="M355" i="1"/>
  <c r="N355" i="1"/>
  <c r="O355" i="1" s="1"/>
  <c r="F356" i="1"/>
  <c r="G356" i="1"/>
  <c r="H356" i="1" s="1"/>
  <c r="I356" i="1"/>
  <c r="J356" i="1" s="1"/>
  <c r="K356" i="1"/>
  <c r="L356" i="1"/>
  <c r="M356" i="1"/>
  <c r="T356" i="1" s="1"/>
  <c r="AZ356" i="1" s="1"/>
  <c r="N356" i="1"/>
  <c r="O356" i="1" s="1"/>
  <c r="F357" i="1"/>
  <c r="G357" i="1"/>
  <c r="H357" i="1" s="1"/>
  <c r="I357" i="1"/>
  <c r="J357" i="1" s="1"/>
  <c r="K357" i="1"/>
  <c r="L357" i="1"/>
  <c r="M357" i="1"/>
  <c r="T357" i="1" s="1"/>
  <c r="AZ357" i="1" s="1"/>
  <c r="N357" i="1"/>
  <c r="O357" i="1" s="1"/>
  <c r="F358" i="1"/>
  <c r="G358" i="1"/>
  <c r="H358" i="1" s="1"/>
  <c r="I358" i="1"/>
  <c r="J358" i="1" s="1"/>
  <c r="K358" i="1"/>
  <c r="L358" i="1"/>
  <c r="M358" i="1"/>
  <c r="P358" i="1" s="1"/>
  <c r="Q358" i="1" s="1"/>
  <c r="BC358" i="1" s="1"/>
  <c r="BD358" i="1" s="1"/>
  <c r="N358" i="1"/>
  <c r="O358" i="1" s="1"/>
  <c r="F359" i="1"/>
  <c r="G359" i="1"/>
  <c r="H359" i="1" s="1"/>
  <c r="I359" i="1"/>
  <c r="J359" i="1" s="1"/>
  <c r="K359" i="1"/>
  <c r="L359" i="1"/>
  <c r="M359" i="1"/>
  <c r="T359" i="1" s="1"/>
  <c r="AZ359" i="1" s="1"/>
  <c r="N359" i="1"/>
  <c r="O359" i="1" s="1"/>
  <c r="F360" i="1"/>
  <c r="G360" i="1"/>
  <c r="H360" i="1" s="1"/>
  <c r="I360" i="1"/>
  <c r="J360" i="1" s="1"/>
  <c r="K360" i="1"/>
  <c r="L360" i="1"/>
  <c r="M360" i="1"/>
  <c r="T360" i="1" s="1"/>
  <c r="AZ360" i="1" s="1"/>
  <c r="N360" i="1"/>
  <c r="O360" i="1" s="1"/>
  <c r="F361" i="1"/>
  <c r="G361" i="1"/>
  <c r="H361" i="1" s="1"/>
  <c r="I361" i="1"/>
  <c r="J361" i="1" s="1"/>
  <c r="K361" i="1"/>
  <c r="L361" i="1"/>
  <c r="M361" i="1"/>
  <c r="U361" i="1" s="1"/>
  <c r="N361" i="1"/>
  <c r="O361" i="1" s="1"/>
  <c r="F362" i="1"/>
  <c r="G362" i="1"/>
  <c r="H362" i="1" s="1"/>
  <c r="I362" i="1"/>
  <c r="J362" i="1" s="1"/>
  <c r="K362" i="1"/>
  <c r="L362" i="1"/>
  <c r="M362" i="1"/>
  <c r="U362" i="1" s="1"/>
  <c r="N362" i="1"/>
  <c r="O362" i="1" s="1"/>
  <c r="F363" i="1"/>
  <c r="G363" i="1"/>
  <c r="H363" i="1" s="1"/>
  <c r="I363" i="1"/>
  <c r="J363" i="1" s="1"/>
  <c r="K363" i="1"/>
  <c r="L363" i="1"/>
  <c r="M363" i="1"/>
  <c r="N363" i="1"/>
  <c r="O363" i="1" s="1"/>
  <c r="F364" i="1"/>
  <c r="G364" i="1"/>
  <c r="H364" i="1" s="1"/>
  <c r="I364" i="1"/>
  <c r="J364" i="1" s="1"/>
  <c r="K364" i="1"/>
  <c r="L364" i="1"/>
  <c r="M364" i="1"/>
  <c r="T364" i="1" s="1"/>
  <c r="AZ364" i="1" s="1"/>
  <c r="N364" i="1"/>
  <c r="O364" i="1" s="1"/>
  <c r="F365" i="1"/>
  <c r="G365" i="1"/>
  <c r="H365" i="1" s="1"/>
  <c r="I365" i="1"/>
  <c r="J365" i="1" s="1"/>
  <c r="K365" i="1"/>
  <c r="L365" i="1"/>
  <c r="M365" i="1"/>
  <c r="T365" i="1" s="1"/>
  <c r="AZ365" i="1" s="1"/>
  <c r="N365" i="1"/>
  <c r="O365" i="1" s="1"/>
  <c r="F366" i="1"/>
  <c r="G366" i="1"/>
  <c r="H366" i="1" s="1"/>
  <c r="I366" i="1"/>
  <c r="J366" i="1" s="1"/>
  <c r="K366" i="1"/>
  <c r="L366" i="1"/>
  <c r="M366" i="1"/>
  <c r="P366" i="1" s="1"/>
  <c r="Q366" i="1" s="1"/>
  <c r="BC366" i="1" s="1"/>
  <c r="BD366" i="1" s="1"/>
  <c r="N366" i="1"/>
  <c r="O366" i="1" s="1"/>
  <c r="F367" i="1"/>
  <c r="G367" i="1"/>
  <c r="H367" i="1" s="1"/>
  <c r="I367" i="1"/>
  <c r="J367" i="1" s="1"/>
  <c r="K367" i="1"/>
  <c r="L367" i="1"/>
  <c r="M367" i="1"/>
  <c r="T367" i="1" s="1"/>
  <c r="AZ367" i="1" s="1"/>
  <c r="N367" i="1"/>
  <c r="O367" i="1" s="1"/>
  <c r="F368" i="1"/>
  <c r="G368" i="1"/>
  <c r="H368" i="1" s="1"/>
  <c r="I368" i="1"/>
  <c r="J368" i="1" s="1"/>
  <c r="K368" i="1"/>
  <c r="L368" i="1"/>
  <c r="M368" i="1"/>
  <c r="T368" i="1" s="1"/>
  <c r="AZ368" i="1" s="1"/>
  <c r="N368" i="1"/>
  <c r="O368" i="1" s="1"/>
  <c r="F369" i="1"/>
  <c r="G369" i="1"/>
  <c r="H369" i="1" s="1"/>
  <c r="I369" i="1"/>
  <c r="J369" i="1" s="1"/>
  <c r="K369" i="1"/>
  <c r="L369" i="1"/>
  <c r="M369" i="1"/>
  <c r="U369" i="1" s="1"/>
  <c r="N369" i="1"/>
  <c r="O369" i="1" s="1"/>
  <c r="F370" i="1"/>
  <c r="G370" i="1"/>
  <c r="H370" i="1" s="1"/>
  <c r="I370" i="1"/>
  <c r="J370" i="1" s="1"/>
  <c r="K370" i="1"/>
  <c r="L370" i="1"/>
  <c r="M370" i="1"/>
  <c r="N370" i="1"/>
  <c r="O370" i="1" s="1"/>
  <c r="F371" i="1"/>
  <c r="G371" i="1"/>
  <c r="H371" i="1" s="1"/>
  <c r="I371" i="1"/>
  <c r="J371" i="1" s="1"/>
  <c r="K371" i="1"/>
  <c r="L371" i="1"/>
  <c r="M371" i="1"/>
  <c r="N371" i="1"/>
  <c r="O371" i="1" s="1"/>
  <c r="F372" i="1"/>
  <c r="G372" i="1"/>
  <c r="H372" i="1" s="1"/>
  <c r="I372" i="1"/>
  <c r="J372" i="1" s="1"/>
  <c r="K372" i="1"/>
  <c r="L372" i="1"/>
  <c r="M372" i="1"/>
  <c r="T372" i="1" s="1"/>
  <c r="AZ372" i="1" s="1"/>
  <c r="N372" i="1"/>
  <c r="O372" i="1" s="1"/>
  <c r="F373" i="1"/>
  <c r="G373" i="1"/>
  <c r="H373" i="1" s="1"/>
  <c r="I373" i="1"/>
  <c r="J373" i="1" s="1"/>
  <c r="K373" i="1"/>
  <c r="L373" i="1"/>
  <c r="M373" i="1"/>
  <c r="T373" i="1" s="1"/>
  <c r="AZ373" i="1" s="1"/>
  <c r="N373" i="1"/>
  <c r="O373" i="1" s="1"/>
  <c r="F374" i="1"/>
  <c r="G374" i="1"/>
  <c r="H374" i="1" s="1"/>
  <c r="I374" i="1"/>
  <c r="J374" i="1" s="1"/>
  <c r="K374" i="1"/>
  <c r="L374" i="1"/>
  <c r="M374" i="1"/>
  <c r="P374" i="1" s="1"/>
  <c r="Q374" i="1" s="1"/>
  <c r="BC374" i="1" s="1"/>
  <c r="BD374" i="1" s="1"/>
  <c r="N374" i="1"/>
  <c r="O374" i="1" s="1"/>
  <c r="F375" i="1"/>
  <c r="G375" i="1"/>
  <c r="H375" i="1" s="1"/>
  <c r="I375" i="1"/>
  <c r="J375" i="1" s="1"/>
  <c r="K375" i="1"/>
  <c r="L375" i="1"/>
  <c r="M375" i="1"/>
  <c r="T375" i="1" s="1"/>
  <c r="AZ375" i="1" s="1"/>
  <c r="N375" i="1"/>
  <c r="O375" i="1" s="1"/>
  <c r="F376" i="1"/>
  <c r="G376" i="1"/>
  <c r="H376" i="1" s="1"/>
  <c r="I376" i="1"/>
  <c r="J376" i="1" s="1"/>
  <c r="K376" i="1"/>
  <c r="L376" i="1"/>
  <c r="M376" i="1"/>
  <c r="T376" i="1" s="1"/>
  <c r="AZ376" i="1" s="1"/>
  <c r="N376" i="1"/>
  <c r="O376" i="1" s="1"/>
  <c r="F377" i="1"/>
  <c r="G377" i="1"/>
  <c r="H377" i="1" s="1"/>
  <c r="I377" i="1"/>
  <c r="J377" i="1" s="1"/>
  <c r="K377" i="1"/>
  <c r="L377" i="1"/>
  <c r="M377" i="1"/>
  <c r="N377" i="1"/>
  <c r="O377" i="1" s="1"/>
  <c r="F378" i="1"/>
  <c r="G378" i="1"/>
  <c r="H378" i="1" s="1"/>
  <c r="I378" i="1"/>
  <c r="J378" i="1" s="1"/>
  <c r="K378" i="1"/>
  <c r="L378" i="1"/>
  <c r="M378" i="1"/>
  <c r="U378" i="1" s="1"/>
  <c r="N378" i="1"/>
  <c r="O378" i="1" s="1"/>
  <c r="F379" i="1"/>
  <c r="G379" i="1"/>
  <c r="H379" i="1" s="1"/>
  <c r="I379" i="1"/>
  <c r="J379" i="1" s="1"/>
  <c r="K379" i="1"/>
  <c r="L379" i="1"/>
  <c r="M379" i="1"/>
  <c r="N379" i="1"/>
  <c r="O379" i="1" s="1"/>
  <c r="F380" i="1"/>
  <c r="G380" i="1"/>
  <c r="H380" i="1" s="1"/>
  <c r="I380" i="1"/>
  <c r="J380" i="1" s="1"/>
  <c r="K380" i="1"/>
  <c r="L380" i="1"/>
  <c r="M380" i="1"/>
  <c r="T380" i="1" s="1"/>
  <c r="AZ380" i="1" s="1"/>
  <c r="N380" i="1"/>
  <c r="O380" i="1" s="1"/>
  <c r="F381" i="1"/>
  <c r="G381" i="1"/>
  <c r="H381" i="1" s="1"/>
  <c r="I381" i="1"/>
  <c r="J381" i="1" s="1"/>
  <c r="K381" i="1"/>
  <c r="L381" i="1"/>
  <c r="M381" i="1"/>
  <c r="N381" i="1"/>
  <c r="O381" i="1" s="1"/>
  <c r="F382" i="1"/>
  <c r="G382" i="1"/>
  <c r="H382" i="1" s="1"/>
  <c r="I382" i="1"/>
  <c r="J382" i="1" s="1"/>
  <c r="K382" i="1"/>
  <c r="L382" i="1"/>
  <c r="M382" i="1"/>
  <c r="P382" i="1" s="1"/>
  <c r="Q382" i="1" s="1"/>
  <c r="BC382" i="1" s="1"/>
  <c r="BD382" i="1" s="1"/>
  <c r="N382" i="1"/>
  <c r="O382" i="1" s="1"/>
  <c r="F383" i="1"/>
  <c r="G383" i="1"/>
  <c r="H383" i="1" s="1"/>
  <c r="I383" i="1"/>
  <c r="J383" i="1" s="1"/>
  <c r="K383" i="1"/>
  <c r="L383" i="1"/>
  <c r="M383" i="1"/>
  <c r="T383" i="1" s="1"/>
  <c r="AZ383" i="1" s="1"/>
  <c r="N383" i="1"/>
  <c r="O383" i="1" s="1"/>
  <c r="F384" i="1"/>
  <c r="G384" i="1"/>
  <c r="H384" i="1" s="1"/>
  <c r="I384" i="1"/>
  <c r="J384" i="1" s="1"/>
  <c r="K384" i="1"/>
  <c r="L384" i="1"/>
  <c r="M384" i="1"/>
  <c r="T384" i="1" s="1"/>
  <c r="AZ384" i="1" s="1"/>
  <c r="N384" i="1"/>
  <c r="O384" i="1" s="1"/>
  <c r="F385" i="1"/>
  <c r="G385" i="1"/>
  <c r="H385" i="1" s="1"/>
  <c r="I385" i="1"/>
  <c r="J385" i="1" s="1"/>
  <c r="K385" i="1"/>
  <c r="L385" i="1"/>
  <c r="M385" i="1"/>
  <c r="U385" i="1" s="1"/>
  <c r="N385" i="1"/>
  <c r="O385" i="1" s="1"/>
  <c r="F386" i="1"/>
  <c r="G386" i="1"/>
  <c r="H386" i="1" s="1"/>
  <c r="I386" i="1"/>
  <c r="J386" i="1" s="1"/>
  <c r="K386" i="1"/>
  <c r="L386" i="1"/>
  <c r="M386" i="1"/>
  <c r="N386" i="1"/>
  <c r="O386" i="1" s="1"/>
  <c r="F387" i="1"/>
  <c r="G387" i="1"/>
  <c r="H387" i="1" s="1"/>
  <c r="I387" i="1"/>
  <c r="J387" i="1" s="1"/>
  <c r="K387" i="1"/>
  <c r="L387" i="1"/>
  <c r="M387" i="1"/>
  <c r="U387" i="1" s="1"/>
  <c r="N387" i="1"/>
  <c r="O387" i="1" s="1"/>
  <c r="F388" i="1"/>
  <c r="G388" i="1"/>
  <c r="H388" i="1" s="1"/>
  <c r="I388" i="1"/>
  <c r="J388" i="1" s="1"/>
  <c r="K388" i="1"/>
  <c r="L388" i="1"/>
  <c r="M388" i="1"/>
  <c r="T388" i="1" s="1"/>
  <c r="AZ388" i="1" s="1"/>
  <c r="N388" i="1"/>
  <c r="O388" i="1" s="1"/>
  <c r="F389" i="1"/>
  <c r="G389" i="1"/>
  <c r="H389" i="1" s="1"/>
  <c r="I389" i="1"/>
  <c r="J389" i="1" s="1"/>
  <c r="K389" i="1"/>
  <c r="L389" i="1"/>
  <c r="M389" i="1"/>
  <c r="N389" i="1"/>
  <c r="O389" i="1" s="1"/>
  <c r="F390" i="1"/>
  <c r="G390" i="1"/>
  <c r="H390" i="1" s="1"/>
  <c r="I390" i="1"/>
  <c r="J390" i="1" s="1"/>
  <c r="K390" i="1"/>
  <c r="L390" i="1"/>
  <c r="M390" i="1"/>
  <c r="P390" i="1" s="1"/>
  <c r="Q390" i="1" s="1"/>
  <c r="BC390" i="1" s="1"/>
  <c r="BD390" i="1" s="1"/>
  <c r="N390" i="1"/>
  <c r="O390" i="1" s="1"/>
  <c r="F391" i="1"/>
  <c r="G391" i="1"/>
  <c r="H391" i="1" s="1"/>
  <c r="I391" i="1"/>
  <c r="J391" i="1" s="1"/>
  <c r="K391" i="1"/>
  <c r="L391" i="1"/>
  <c r="M391" i="1"/>
  <c r="T391" i="1" s="1"/>
  <c r="AZ391" i="1" s="1"/>
  <c r="N391" i="1"/>
  <c r="O391" i="1" s="1"/>
  <c r="F392" i="1"/>
  <c r="G392" i="1"/>
  <c r="H392" i="1" s="1"/>
  <c r="I392" i="1"/>
  <c r="J392" i="1" s="1"/>
  <c r="K392" i="1"/>
  <c r="L392" i="1"/>
  <c r="M392" i="1"/>
  <c r="T392" i="1" s="1"/>
  <c r="AZ392" i="1" s="1"/>
  <c r="N392" i="1"/>
  <c r="O392" i="1" s="1"/>
  <c r="F393" i="1"/>
  <c r="G393" i="1"/>
  <c r="H393" i="1" s="1"/>
  <c r="I393" i="1"/>
  <c r="J393" i="1" s="1"/>
  <c r="K393" i="1"/>
  <c r="L393" i="1"/>
  <c r="M393" i="1"/>
  <c r="P393" i="1" s="1"/>
  <c r="Q393" i="1" s="1"/>
  <c r="BC393" i="1" s="1"/>
  <c r="BD393" i="1" s="1"/>
  <c r="N393" i="1"/>
  <c r="O393" i="1" s="1"/>
  <c r="F394" i="1"/>
  <c r="G394" i="1"/>
  <c r="H394" i="1" s="1"/>
  <c r="I394" i="1"/>
  <c r="J394" i="1" s="1"/>
  <c r="K394" i="1"/>
  <c r="L394" i="1"/>
  <c r="M394" i="1"/>
  <c r="P394" i="1" s="1"/>
  <c r="N394" i="1"/>
  <c r="O394" i="1" s="1"/>
  <c r="F395" i="1"/>
  <c r="G395" i="1"/>
  <c r="H395" i="1" s="1"/>
  <c r="I395" i="1"/>
  <c r="J395" i="1" s="1"/>
  <c r="K395" i="1"/>
  <c r="L395" i="1"/>
  <c r="M395" i="1"/>
  <c r="U395" i="1" s="1"/>
  <c r="N395" i="1"/>
  <c r="O395" i="1" s="1"/>
  <c r="F396" i="1"/>
  <c r="G396" i="1"/>
  <c r="H396" i="1" s="1"/>
  <c r="I396" i="1"/>
  <c r="J396" i="1" s="1"/>
  <c r="K396" i="1"/>
  <c r="L396" i="1"/>
  <c r="M396" i="1"/>
  <c r="T396" i="1" s="1"/>
  <c r="AZ396" i="1" s="1"/>
  <c r="N396" i="1"/>
  <c r="O396" i="1" s="1"/>
  <c r="F397" i="1"/>
  <c r="G397" i="1"/>
  <c r="H397" i="1" s="1"/>
  <c r="I397" i="1"/>
  <c r="J397" i="1" s="1"/>
  <c r="K397" i="1"/>
  <c r="L397" i="1"/>
  <c r="M397" i="1"/>
  <c r="T397" i="1" s="1"/>
  <c r="AZ397" i="1" s="1"/>
  <c r="N397" i="1"/>
  <c r="O397" i="1" s="1"/>
  <c r="F398" i="1"/>
  <c r="G398" i="1"/>
  <c r="H398" i="1" s="1"/>
  <c r="I398" i="1"/>
  <c r="J398" i="1" s="1"/>
  <c r="K398" i="1"/>
  <c r="L398" i="1"/>
  <c r="M398" i="1"/>
  <c r="P398" i="1" s="1"/>
  <c r="Q398" i="1" s="1"/>
  <c r="BC398" i="1" s="1"/>
  <c r="BD398" i="1" s="1"/>
  <c r="N398" i="1"/>
  <c r="O398" i="1" s="1"/>
  <c r="F399" i="1"/>
  <c r="G399" i="1"/>
  <c r="H399" i="1" s="1"/>
  <c r="I399" i="1"/>
  <c r="J399" i="1" s="1"/>
  <c r="K399" i="1"/>
  <c r="L399" i="1"/>
  <c r="M399" i="1"/>
  <c r="T399" i="1" s="1"/>
  <c r="AZ399" i="1" s="1"/>
  <c r="N399" i="1"/>
  <c r="O399" i="1" s="1"/>
  <c r="F400" i="1"/>
  <c r="G400" i="1"/>
  <c r="H400" i="1" s="1"/>
  <c r="I400" i="1"/>
  <c r="J400" i="1" s="1"/>
  <c r="K400" i="1"/>
  <c r="L400" i="1"/>
  <c r="M400" i="1"/>
  <c r="T400" i="1" s="1"/>
  <c r="AZ400" i="1" s="1"/>
  <c r="N400" i="1"/>
  <c r="O400" i="1" s="1"/>
  <c r="F401" i="1"/>
  <c r="G401" i="1"/>
  <c r="H401" i="1" s="1"/>
  <c r="I401" i="1"/>
  <c r="J401" i="1" s="1"/>
  <c r="K401" i="1"/>
  <c r="L401" i="1"/>
  <c r="M401" i="1"/>
  <c r="P401" i="1" s="1"/>
  <c r="Q401" i="1" s="1"/>
  <c r="BC401" i="1" s="1"/>
  <c r="BD401" i="1" s="1"/>
  <c r="N401" i="1"/>
  <c r="O401" i="1" s="1"/>
  <c r="F402" i="1"/>
  <c r="G402" i="1"/>
  <c r="H402" i="1" s="1"/>
  <c r="I402" i="1"/>
  <c r="J402" i="1" s="1"/>
  <c r="K402" i="1"/>
  <c r="L402" i="1"/>
  <c r="M402" i="1"/>
  <c r="P402" i="1" s="1"/>
  <c r="N402" i="1"/>
  <c r="O402" i="1" s="1"/>
  <c r="F403" i="1"/>
  <c r="G403" i="1"/>
  <c r="H403" i="1" s="1"/>
  <c r="I403" i="1"/>
  <c r="J403" i="1" s="1"/>
  <c r="K403" i="1"/>
  <c r="L403" i="1"/>
  <c r="M403" i="1"/>
  <c r="N403" i="1"/>
  <c r="O403" i="1" s="1"/>
  <c r="F404" i="1"/>
  <c r="G404" i="1"/>
  <c r="H404" i="1" s="1"/>
  <c r="I404" i="1"/>
  <c r="J404" i="1" s="1"/>
  <c r="K404" i="1"/>
  <c r="L404" i="1"/>
  <c r="M404" i="1"/>
  <c r="P404" i="1" s="1"/>
  <c r="Q404" i="1" s="1"/>
  <c r="BC404" i="1" s="1"/>
  <c r="BD404" i="1" s="1"/>
  <c r="N404" i="1"/>
  <c r="O404" i="1" s="1"/>
  <c r="F405" i="1"/>
  <c r="G405" i="1"/>
  <c r="H405" i="1" s="1"/>
  <c r="I405" i="1"/>
  <c r="J405" i="1" s="1"/>
  <c r="K405" i="1"/>
  <c r="L405" i="1"/>
  <c r="M405" i="1"/>
  <c r="P405" i="1" s="1"/>
  <c r="Q405" i="1" s="1"/>
  <c r="BC405" i="1" s="1"/>
  <c r="BD405" i="1" s="1"/>
  <c r="N405" i="1"/>
  <c r="O405" i="1" s="1"/>
  <c r="F406" i="1"/>
  <c r="G406" i="1"/>
  <c r="H406" i="1" s="1"/>
  <c r="I406" i="1"/>
  <c r="J406" i="1" s="1"/>
  <c r="K406" i="1"/>
  <c r="L406" i="1"/>
  <c r="M406" i="1"/>
  <c r="P406" i="1" s="1"/>
  <c r="Q406" i="1" s="1"/>
  <c r="BC406" i="1" s="1"/>
  <c r="BD406" i="1" s="1"/>
  <c r="N406" i="1"/>
  <c r="O406" i="1" s="1"/>
  <c r="F407" i="1"/>
  <c r="G407" i="1"/>
  <c r="H407" i="1" s="1"/>
  <c r="I407" i="1"/>
  <c r="J407" i="1" s="1"/>
  <c r="K407" i="1"/>
  <c r="L407" i="1"/>
  <c r="M407" i="1"/>
  <c r="T407" i="1" s="1"/>
  <c r="AZ407" i="1" s="1"/>
  <c r="N407" i="1"/>
  <c r="O407" i="1" s="1"/>
  <c r="F408" i="1"/>
  <c r="G408" i="1"/>
  <c r="H408" i="1" s="1"/>
  <c r="I408" i="1"/>
  <c r="J408" i="1" s="1"/>
  <c r="K408" i="1"/>
  <c r="L408" i="1"/>
  <c r="M408" i="1"/>
  <c r="N408" i="1"/>
  <c r="O408" i="1" s="1"/>
  <c r="F409" i="1"/>
  <c r="G409" i="1"/>
  <c r="H409" i="1" s="1"/>
  <c r="I409" i="1"/>
  <c r="J409" i="1" s="1"/>
  <c r="K409" i="1"/>
  <c r="L409" i="1"/>
  <c r="M409" i="1"/>
  <c r="P409" i="1" s="1"/>
  <c r="Q409" i="1" s="1"/>
  <c r="BC409" i="1" s="1"/>
  <c r="BD409" i="1" s="1"/>
  <c r="N409" i="1"/>
  <c r="O409" i="1" s="1"/>
  <c r="F410" i="1"/>
  <c r="G410" i="1"/>
  <c r="H410" i="1" s="1"/>
  <c r="I410" i="1"/>
  <c r="J410" i="1" s="1"/>
  <c r="K410" i="1"/>
  <c r="L410" i="1"/>
  <c r="M410" i="1"/>
  <c r="T410" i="1" s="1"/>
  <c r="AZ410" i="1" s="1"/>
  <c r="N410" i="1"/>
  <c r="O410" i="1" s="1"/>
  <c r="F411" i="1"/>
  <c r="G411" i="1"/>
  <c r="H411" i="1" s="1"/>
  <c r="I411" i="1"/>
  <c r="J411" i="1" s="1"/>
  <c r="K411" i="1"/>
  <c r="L411" i="1"/>
  <c r="M411" i="1"/>
  <c r="N411" i="1"/>
  <c r="O411" i="1" s="1"/>
  <c r="F412" i="1"/>
  <c r="G412" i="1"/>
  <c r="H412" i="1" s="1"/>
  <c r="I412" i="1"/>
  <c r="J412" i="1" s="1"/>
  <c r="K412" i="1"/>
  <c r="L412" i="1"/>
  <c r="M412" i="1"/>
  <c r="U412" i="1" s="1"/>
  <c r="N412" i="1"/>
  <c r="O412" i="1" s="1"/>
  <c r="F413" i="1"/>
  <c r="G413" i="1"/>
  <c r="H413" i="1" s="1"/>
  <c r="I413" i="1"/>
  <c r="J413" i="1" s="1"/>
  <c r="K413" i="1"/>
  <c r="L413" i="1"/>
  <c r="M413" i="1"/>
  <c r="T413" i="1" s="1"/>
  <c r="AZ413" i="1" s="1"/>
  <c r="N413" i="1"/>
  <c r="O413" i="1" s="1"/>
  <c r="F414" i="1"/>
  <c r="G414" i="1"/>
  <c r="H414" i="1" s="1"/>
  <c r="I414" i="1"/>
  <c r="J414" i="1" s="1"/>
  <c r="K414" i="1"/>
  <c r="L414" i="1"/>
  <c r="M414" i="1"/>
  <c r="P414" i="1" s="1"/>
  <c r="N414" i="1"/>
  <c r="O414" i="1" s="1"/>
  <c r="F415" i="1"/>
  <c r="G415" i="1"/>
  <c r="H415" i="1" s="1"/>
  <c r="I415" i="1"/>
  <c r="J415" i="1" s="1"/>
  <c r="K415" i="1"/>
  <c r="L415" i="1"/>
  <c r="M415" i="1"/>
  <c r="P415" i="1" s="1"/>
  <c r="N415" i="1"/>
  <c r="O415" i="1" s="1"/>
  <c r="F416" i="1"/>
  <c r="G416" i="1"/>
  <c r="H416" i="1" s="1"/>
  <c r="I416" i="1"/>
  <c r="J416" i="1" s="1"/>
  <c r="K416" i="1"/>
  <c r="L416" i="1"/>
  <c r="M416" i="1"/>
  <c r="U416" i="1" s="1"/>
  <c r="N416" i="1"/>
  <c r="O416" i="1" s="1"/>
  <c r="F417" i="1"/>
  <c r="G417" i="1"/>
  <c r="H417" i="1" s="1"/>
  <c r="I417" i="1"/>
  <c r="J417" i="1" s="1"/>
  <c r="K417" i="1"/>
  <c r="L417" i="1"/>
  <c r="M417" i="1"/>
  <c r="P417" i="1" s="1"/>
  <c r="Q417" i="1" s="1"/>
  <c r="BC417" i="1" s="1"/>
  <c r="BD417" i="1" s="1"/>
  <c r="N417" i="1"/>
  <c r="O417" i="1" s="1"/>
  <c r="F418" i="1"/>
  <c r="G418" i="1"/>
  <c r="H418" i="1" s="1"/>
  <c r="I418" i="1"/>
  <c r="J418" i="1" s="1"/>
  <c r="K418" i="1"/>
  <c r="L418" i="1"/>
  <c r="M418" i="1"/>
  <c r="U418" i="1" s="1"/>
  <c r="N418" i="1"/>
  <c r="O418" i="1" s="1"/>
  <c r="F419" i="1"/>
  <c r="G419" i="1"/>
  <c r="H419" i="1" s="1"/>
  <c r="I419" i="1"/>
  <c r="J419" i="1" s="1"/>
  <c r="K419" i="1"/>
  <c r="L419" i="1"/>
  <c r="M419" i="1"/>
  <c r="T419" i="1" s="1"/>
  <c r="AZ419" i="1" s="1"/>
  <c r="N419" i="1"/>
  <c r="O419" i="1" s="1"/>
  <c r="F420" i="1"/>
  <c r="G420" i="1"/>
  <c r="H420" i="1" s="1"/>
  <c r="I420" i="1"/>
  <c r="J420" i="1" s="1"/>
  <c r="K420" i="1"/>
  <c r="L420" i="1"/>
  <c r="M420" i="1"/>
  <c r="U420" i="1" s="1"/>
  <c r="N420" i="1"/>
  <c r="O420" i="1" s="1"/>
  <c r="F421" i="1"/>
  <c r="G421" i="1"/>
  <c r="H421" i="1" s="1"/>
  <c r="I421" i="1"/>
  <c r="J421" i="1" s="1"/>
  <c r="K421" i="1"/>
  <c r="L421" i="1"/>
  <c r="M421" i="1"/>
  <c r="P421" i="1" s="1"/>
  <c r="Q421" i="1" s="1"/>
  <c r="BC421" i="1" s="1"/>
  <c r="BD421" i="1" s="1"/>
  <c r="N421" i="1"/>
  <c r="O421" i="1" s="1"/>
  <c r="F422" i="1"/>
  <c r="G422" i="1"/>
  <c r="H422" i="1" s="1"/>
  <c r="I422" i="1"/>
  <c r="J422" i="1" s="1"/>
  <c r="K422" i="1"/>
  <c r="L422" i="1"/>
  <c r="M422" i="1"/>
  <c r="T422" i="1" s="1"/>
  <c r="AZ422" i="1" s="1"/>
  <c r="N422" i="1"/>
  <c r="O422" i="1" s="1"/>
  <c r="F423" i="1"/>
  <c r="G423" i="1"/>
  <c r="H423" i="1" s="1"/>
  <c r="I423" i="1"/>
  <c r="J423" i="1" s="1"/>
  <c r="K423" i="1"/>
  <c r="L423" i="1"/>
  <c r="M423" i="1"/>
  <c r="T423" i="1" s="1"/>
  <c r="AZ423" i="1" s="1"/>
  <c r="N423" i="1"/>
  <c r="O423" i="1" s="1"/>
  <c r="F424" i="1"/>
  <c r="G424" i="1"/>
  <c r="H424" i="1" s="1"/>
  <c r="I424" i="1"/>
  <c r="J424" i="1" s="1"/>
  <c r="K424" i="1"/>
  <c r="L424" i="1"/>
  <c r="M424" i="1"/>
  <c r="T424" i="1" s="1"/>
  <c r="AZ424" i="1" s="1"/>
  <c r="N424" i="1"/>
  <c r="O424" i="1" s="1"/>
  <c r="F425" i="1"/>
  <c r="G425" i="1"/>
  <c r="H425" i="1" s="1"/>
  <c r="I425" i="1"/>
  <c r="J425" i="1" s="1"/>
  <c r="K425" i="1"/>
  <c r="L425" i="1"/>
  <c r="M425" i="1"/>
  <c r="P425" i="1" s="1"/>
  <c r="Q425" i="1" s="1"/>
  <c r="BC425" i="1" s="1"/>
  <c r="BD425" i="1" s="1"/>
  <c r="N425" i="1"/>
  <c r="O425" i="1" s="1"/>
  <c r="F426" i="1"/>
  <c r="G426" i="1"/>
  <c r="H426" i="1" s="1"/>
  <c r="I426" i="1"/>
  <c r="J426" i="1" s="1"/>
  <c r="K426" i="1"/>
  <c r="L426" i="1"/>
  <c r="M426" i="1"/>
  <c r="U426" i="1" s="1"/>
  <c r="N426" i="1"/>
  <c r="O426" i="1" s="1"/>
  <c r="F427" i="1"/>
  <c r="G427" i="1"/>
  <c r="H427" i="1" s="1"/>
  <c r="I427" i="1"/>
  <c r="J427" i="1" s="1"/>
  <c r="K427" i="1"/>
  <c r="L427" i="1"/>
  <c r="M427" i="1"/>
  <c r="T427" i="1" s="1"/>
  <c r="AZ427" i="1" s="1"/>
  <c r="N427" i="1"/>
  <c r="O427" i="1" s="1"/>
  <c r="F428" i="1"/>
  <c r="G428" i="1"/>
  <c r="H428" i="1" s="1"/>
  <c r="I428" i="1"/>
  <c r="J428" i="1" s="1"/>
  <c r="K428" i="1"/>
  <c r="L428" i="1"/>
  <c r="M428" i="1"/>
  <c r="P428" i="1" s="1"/>
  <c r="N428" i="1"/>
  <c r="O428" i="1" s="1"/>
  <c r="F429" i="1"/>
  <c r="G429" i="1"/>
  <c r="H429" i="1" s="1"/>
  <c r="I429" i="1"/>
  <c r="J429" i="1" s="1"/>
  <c r="K429" i="1"/>
  <c r="L429" i="1"/>
  <c r="M429" i="1"/>
  <c r="U429" i="1" s="1"/>
  <c r="N429" i="1"/>
  <c r="O429" i="1" s="1"/>
  <c r="F430" i="1"/>
  <c r="G430" i="1"/>
  <c r="H430" i="1" s="1"/>
  <c r="I430" i="1"/>
  <c r="J430" i="1" s="1"/>
  <c r="K430" i="1"/>
  <c r="L430" i="1"/>
  <c r="M430" i="1"/>
  <c r="U430" i="1" s="1"/>
  <c r="N430" i="1"/>
  <c r="O430" i="1" s="1"/>
  <c r="F431" i="1"/>
  <c r="G431" i="1"/>
  <c r="H431" i="1" s="1"/>
  <c r="I431" i="1"/>
  <c r="J431" i="1" s="1"/>
  <c r="K431" i="1"/>
  <c r="L431" i="1"/>
  <c r="M431" i="1"/>
  <c r="T431" i="1" s="1"/>
  <c r="AZ431" i="1" s="1"/>
  <c r="N431" i="1"/>
  <c r="O431" i="1" s="1"/>
  <c r="F432" i="1"/>
  <c r="G432" i="1"/>
  <c r="H432" i="1" s="1"/>
  <c r="I432" i="1"/>
  <c r="J432" i="1" s="1"/>
  <c r="K432" i="1"/>
  <c r="L432" i="1"/>
  <c r="M432" i="1"/>
  <c r="P432" i="1" s="1"/>
  <c r="N432" i="1"/>
  <c r="O432" i="1" s="1"/>
  <c r="F433" i="1"/>
  <c r="G433" i="1"/>
  <c r="H433" i="1" s="1"/>
  <c r="I433" i="1"/>
  <c r="J433" i="1" s="1"/>
  <c r="K433" i="1"/>
  <c r="L433" i="1"/>
  <c r="M433" i="1"/>
  <c r="U433" i="1" s="1"/>
  <c r="N433" i="1"/>
  <c r="O433" i="1" s="1"/>
  <c r="F434" i="1"/>
  <c r="G434" i="1"/>
  <c r="H434" i="1" s="1"/>
  <c r="I434" i="1"/>
  <c r="J434" i="1" s="1"/>
  <c r="K434" i="1"/>
  <c r="L434" i="1"/>
  <c r="M434" i="1"/>
  <c r="T434" i="1" s="1"/>
  <c r="AZ434" i="1" s="1"/>
  <c r="N434" i="1"/>
  <c r="O434" i="1" s="1"/>
  <c r="F435" i="1"/>
  <c r="G435" i="1"/>
  <c r="H435" i="1" s="1"/>
  <c r="I435" i="1"/>
  <c r="J435" i="1" s="1"/>
  <c r="K435" i="1"/>
  <c r="L435" i="1"/>
  <c r="M435" i="1"/>
  <c r="T435" i="1" s="1"/>
  <c r="AZ435" i="1" s="1"/>
  <c r="N435" i="1"/>
  <c r="O435" i="1" s="1"/>
  <c r="F436" i="1"/>
  <c r="G436" i="1"/>
  <c r="H436" i="1" s="1"/>
  <c r="I436" i="1"/>
  <c r="J436" i="1" s="1"/>
  <c r="K436" i="1"/>
  <c r="L436" i="1"/>
  <c r="M436" i="1"/>
  <c r="P436" i="1" s="1"/>
  <c r="N436" i="1"/>
  <c r="O436" i="1" s="1"/>
  <c r="F437" i="1"/>
  <c r="G437" i="1"/>
  <c r="H437" i="1" s="1"/>
  <c r="I437" i="1"/>
  <c r="J437" i="1" s="1"/>
  <c r="K437" i="1"/>
  <c r="L437" i="1"/>
  <c r="M437" i="1"/>
  <c r="U437" i="1" s="1"/>
  <c r="N437" i="1"/>
  <c r="O437" i="1" s="1"/>
  <c r="F438" i="1"/>
  <c r="G438" i="1"/>
  <c r="H438" i="1" s="1"/>
  <c r="I438" i="1"/>
  <c r="J438" i="1" s="1"/>
  <c r="K438" i="1"/>
  <c r="L438" i="1"/>
  <c r="M438" i="1"/>
  <c r="U438" i="1" s="1"/>
  <c r="N438" i="1"/>
  <c r="O438" i="1" s="1"/>
  <c r="F439" i="1"/>
  <c r="G439" i="1"/>
  <c r="H439" i="1" s="1"/>
  <c r="I439" i="1"/>
  <c r="J439" i="1" s="1"/>
  <c r="K439" i="1"/>
  <c r="L439" i="1"/>
  <c r="M439" i="1"/>
  <c r="T439" i="1" s="1"/>
  <c r="AZ439" i="1" s="1"/>
  <c r="N439" i="1"/>
  <c r="O439" i="1" s="1"/>
  <c r="F440" i="1"/>
  <c r="G440" i="1"/>
  <c r="H440" i="1" s="1"/>
  <c r="I440" i="1"/>
  <c r="J440" i="1" s="1"/>
  <c r="K440" i="1"/>
  <c r="L440" i="1"/>
  <c r="M440" i="1"/>
  <c r="P440" i="1" s="1"/>
  <c r="N440" i="1"/>
  <c r="O440" i="1" s="1"/>
  <c r="F441" i="1"/>
  <c r="G441" i="1"/>
  <c r="H441" i="1" s="1"/>
  <c r="I441" i="1"/>
  <c r="J441" i="1" s="1"/>
  <c r="K441" i="1"/>
  <c r="L441" i="1"/>
  <c r="M441" i="1"/>
  <c r="U441" i="1" s="1"/>
  <c r="N441" i="1"/>
  <c r="O441" i="1" s="1"/>
  <c r="F442" i="1"/>
  <c r="G442" i="1"/>
  <c r="H442" i="1" s="1"/>
  <c r="I442" i="1"/>
  <c r="J442" i="1" s="1"/>
  <c r="K442" i="1"/>
  <c r="L442" i="1"/>
  <c r="M442" i="1"/>
  <c r="P442" i="1" s="1"/>
  <c r="N442" i="1"/>
  <c r="O442" i="1" s="1"/>
  <c r="F443" i="1"/>
  <c r="G443" i="1"/>
  <c r="H443" i="1" s="1"/>
  <c r="I443" i="1"/>
  <c r="J443" i="1" s="1"/>
  <c r="K443" i="1"/>
  <c r="L443" i="1"/>
  <c r="M443" i="1"/>
  <c r="T443" i="1" s="1"/>
  <c r="AZ443" i="1" s="1"/>
  <c r="N443" i="1"/>
  <c r="O443" i="1" s="1"/>
  <c r="F444" i="1"/>
  <c r="G444" i="1"/>
  <c r="H444" i="1" s="1"/>
  <c r="I444" i="1"/>
  <c r="J444" i="1" s="1"/>
  <c r="K444" i="1"/>
  <c r="L444" i="1"/>
  <c r="M444" i="1"/>
  <c r="P444" i="1" s="1"/>
  <c r="N444" i="1"/>
  <c r="O444" i="1" s="1"/>
  <c r="F445" i="1"/>
  <c r="G445" i="1"/>
  <c r="H445" i="1" s="1"/>
  <c r="I445" i="1"/>
  <c r="J445" i="1" s="1"/>
  <c r="K445" i="1"/>
  <c r="L445" i="1"/>
  <c r="M445" i="1"/>
  <c r="U445" i="1" s="1"/>
  <c r="N445" i="1"/>
  <c r="O445" i="1" s="1"/>
  <c r="F446" i="1"/>
  <c r="G446" i="1"/>
  <c r="H446" i="1" s="1"/>
  <c r="I446" i="1"/>
  <c r="J446" i="1" s="1"/>
  <c r="K446" i="1"/>
  <c r="L446" i="1"/>
  <c r="M446" i="1"/>
  <c r="T446" i="1" s="1"/>
  <c r="AZ446" i="1" s="1"/>
  <c r="N446" i="1"/>
  <c r="O446" i="1" s="1"/>
  <c r="F447" i="1"/>
  <c r="G447" i="1"/>
  <c r="H447" i="1" s="1"/>
  <c r="I447" i="1"/>
  <c r="J447" i="1" s="1"/>
  <c r="K447" i="1"/>
  <c r="L447" i="1"/>
  <c r="M447" i="1"/>
  <c r="T447" i="1" s="1"/>
  <c r="AZ447" i="1" s="1"/>
  <c r="N447" i="1"/>
  <c r="O447" i="1" s="1"/>
  <c r="F448" i="1"/>
  <c r="G448" i="1"/>
  <c r="H448" i="1" s="1"/>
  <c r="I448" i="1"/>
  <c r="J448" i="1" s="1"/>
  <c r="K448" i="1"/>
  <c r="L448" i="1"/>
  <c r="M448" i="1"/>
  <c r="P448" i="1" s="1"/>
  <c r="N448" i="1"/>
  <c r="O448" i="1" s="1"/>
  <c r="F449" i="1"/>
  <c r="G449" i="1"/>
  <c r="H449" i="1" s="1"/>
  <c r="I449" i="1"/>
  <c r="J449" i="1" s="1"/>
  <c r="K449" i="1"/>
  <c r="L449" i="1"/>
  <c r="M449" i="1"/>
  <c r="U449" i="1" s="1"/>
  <c r="N449" i="1"/>
  <c r="O449" i="1" s="1"/>
  <c r="F450" i="1"/>
  <c r="G450" i="1"/>
  <c r="H450" i="1" s="1"/>
  <c r="I450" i="1"/>
  <c r="J450" i="1" s="1"/>
  <c r="K450" i="1"/>
  <c r="L450" i="1"/>
  <c r="M450" i="1"/>
  <c r="T450" i="1" s="1"/>
  <c r="AZ450" i="1" s="1"/>
  <c r="N450" i="1"/>
  <c r="O450" i="1" s="1"/>
  <c r="F451" i="1"/>
  <c r="G451" i="1"/>
  <c r="H451" i="1" s="1"/>
  <c r="I451" i="1"/>
  <c r="J451" i="1" s="1"/>
  <c r="K451" i="1"/>
  <c r="L451" i="1"/>
  <c r="M451" i="1"/>
  <c r="T451" i="1" s="1"/>
  <c r="AZ451" i="1" s="1"/>
  <c r="N451" i="1"/>
  <c r="O451" i="1" s="1"/>
  <c r="F452" i="1"/>
  <c r="G452" i="1"/>
  <c r="H452" i="1" s="1"/>
  <c r="I452" i="1"/>
  <c r="J452" i="1" s="1"/>
  <c r="K452" i="1"/>
  <c r="L452" i="1"/>
  <c r="M452" i="1"/>
  <c r="P452" i="1" s="1"/>
  <c r="N452" i="1"/>
  <c r="O452" i="1" s="1"/>
  <c r="F453" i="1"/>
  <c r="G453" i="1"/>
  <c r="H453" i="1" s="1"/>
  <c r="I453" i="1"/>
  <c r="J453" i="1" s="1"/>
  <c r="K453" i="1"/>
  <c r="L453" i="1"/>
  <c r="M453" i="1"/>
  <c r="U453" i="1" s="1"/>
  <c r="N453" i="1"/>
  <c r="O453" i="1" s="1"/>
  <c r="F454" i="1"/>
  <c r="G454" i="1"/>
  <c r="H454" i="1" s="1"/>
  <c r="I454" i="1"/>
  <c r="J454" i="1" s="1"/>
  <c r="K454" i="1"/>
  <c r="L454" i="1"/>
  <c r="M454" i="1"/>
  <c r="P454" i="1" s="1"/>
  <c r="N454" i="1"/>
  <c r="O454" i="1" s="1"/>
  <c r="F455" i="1"/>
  <c r="G455" i="1"/>
  <c r="H455" i="1" s="1"/>
  <c r="I455" i="1"/>
  <c r="J455" i="1" s="1"/>
  <c r="K455" i="1"/>
  <c r="L455" i="1"/>
  <c r="M455" i="1"/>
  <c r="T455" i="1" s="1"/>
  <c r="AZ455" i="1" s="1"/>
  <c r="N455" i="1"/>
  <c r="O455" i="1" s="1"/>
  <c r="F456" i="1"/>
  <c r="G456" i="1"/>
  <c r="H456" i="1" s="1"/>
  <c r="I456" i="1"/>
  <c r="J456" i="1" s="1"/>
  <c r="K456" i="1"/>
  <c r="L456" i="1"/>
  <c r="M456" i="1"/>
  <c r="P456" i="1" s="1"/>
  <c r="N456" i="1"/>
  <c r="O456" i="1" s="1"/>
  <c r="F457" i="1"/>
  <c r="G457" i="1"/>
  <c r="H457" i="1" s="1"/>
  <c r="I457" i="1"/>
  <c r="J457" i="1" s="1"/>
  <c r="K457" i="1"/>
  <c r="L457" i="1"/>
  <c r="M457" i="1"/>
  <c r="U457" i="1" s="1"/>
  <c r="N457" i="1"/>
  <c r="O457" i="1" s="1"/>
  <c r="F458" i="1"/>
  <c r="G458" i="1"/>
  <c r="H458" i="1" s="1"/>
  <c r="I458" i="1"/>
  <c r="J458" i="1" s="1"/>
  <c r="K458" i="1"/>
  <c r="L458" i="1"/>
  <c r="M458" i="1"/>
  <c r="P458" i="1" s="1"/>
  <c r="N458" i="1"/>
  <c r="O458" i="1" s="1"/>
  <c r="F459" i="1"/>
  <c r="G459" i="1"/>
  <c r="H459" i="1" s="1"/>
  <c r="I459" i="1"/>
  <c r="J459" i="1" s="1"/>
  <c r="K459" i="1"/>
  <c r="L459" i="1"/>
  <c r="M459" i="1"/>
  <c r="N459" i="1"/>
  <c r="O459" i="1" s="1"/>
  <c r="F460" i="1"/>
  <c r="G460" i="1"/>
  <c r="H460" i="1" s="1"/>
  <c r="I460" i="1"/>
  <c r="J460" i="1" s="1"/>
  <c r="K460" i="1"/>
  <c r="L460" i="1"/>
  <c r="M460" i="1"/>
  <c r="P460" i="1" s="1"/>
  <c r="N460" i="1"/>
  <c r="O460" i="1" s="1"/>
  <c r="F461" i="1"/>
  <c r="G461" i="1"/>
  <c r="H461" i="1" s="1"/>
  <c r="I461" i="1"/>
  <c r="J461" i="1" s="1"/>
  <c r="K461" i="1"/>
  <c r="L461" i="1"/>
  <c r="M461" i="1"/>
  <c r="U461" i="1" s="1"/>
  <c r="N461" i="1"/>
  <c r="O461" i="1" s="1"/>
  <c r="F462" i="1"/>
  <c r="G462" i="1"/>
  <c r="H462" i="1" s="1"/>
  <c r="I462" i="1"/>
  <c r="J462" i="1" s="1"/>
  <c r="K462" i="1"/>
  <c r="L462" i="1"/>
  <c r="M462" i="1"/>
  <c r="P462" i="1" s="1"/>
  <c r="N462" i="1"/>
  <c r="O462" i="1" s="1"/>
  <c r="F463" i="1"/>
  <c r="G463" i="1"/>
  <c r="H463" i="1" s="1"/>
  <c r="I463" i="1"/>
  <c r="J463" i="1" s="1"/>
  <c r="K463" i="1"/>
  <c r="L463" i="1"/>
  <c r="M463" i="1"/>
  <c r="U463" i="1" s="1"/>
  <c r="N463" i="1"/>
  <c r="O463" i="1" s="1"/>
  <c r="F464" i="1"/>
  <c r="G464" i="1"/>
  <c r="H464" i="1" s="1"/>
  <c r="I464" i="1"/>
  <c r="J464" i="1" s="1"/>
  <c r="K464" i="1"/>
  <c r="L464" i="1"/>
  <c r="M464" i="1"/>
  <c r="P464" i="1" s="1"/>
  <c r="N464" i="1"/>
  <c r="O464" i="1" s="1"/>
  <c r="F465" i="1"/>
  <c r="G465" i="1"/>
  <c r="H465" i="1" s="1"/>
  <c r="I465" i="1"/>
  <c r="J465" i="1" s="1"/>
  <c r="K465" i="1"/>
  <c r="L465" i="1"/>
  <c r="M465" i="1"/>
  <c r="U465" i="1" s="1"/>
  <c r="N465" i="1"/>
  <c r="O465" i="1" s="1"/>
  <c r="F466" i="1"/>
  <c r="G466" i="1"/>
  <c r="H466" i="1" s="1"/>
  <c r="I466" i="1"/>
  <c r="J466" i="1" s="1"/>
  <c r="K466" i="1"/>
  <c r="L466" i="1"/>
  <c r="M466" i="1"/>
  <c r="P466" i="1" s="1"/>
  <c r="N466" i="1"/>
  <c r="O466" i="1" s="1"/>
  <c r="F467" i="1"/>
  <c r="G467" i="1"/>
  <c r="H467" i="1" s="1"/>
  <c r="I467" i="1"/>
  <c r="J467" i="1" s="1"/>
  <c r="K467" i="1"/>
  <c r="L467" i="1"/>
  <c r="M467" i="1"/>
  <c r="U467" i="1" s="1"/>
  <c r="N467" i="1"/>
  <c r="O467" i="1" s="1"/>
  <c r="F468" i="1"/>
  <c r="G468" i="1"/>
  <c r="H468" i="1" s="1"/>
  <c r="I468" i="1"/>
  <c r="J468" i="1" s="1"/>
  <c r="K468" i="1"/>
  <c r="L468" i="1"/>
  <c r="M468" i="1"/>
  <c r="P468" i="1" s="1"/>
  <c r="N468" i="1"/>
  <c r="O468" i="1" s="1"/>
  <c r="F469" i="1"/>
  <c r="G469" i="1"/>
  <c r="H469" i="1" s="1"/>
  <c r="I469" i="1"/>
  <c r="J469" i="1" s="1"/>
  <c r="K469" i="1"/>
  <c r="L469" i="1"/>
  <c r="M469" i="1"/>
  <c r="U469" i="1" s="1"/>
  <c r="N469" i="1"/>
  <c r="O469" i="1" s="1"/>
  <c r="F470" i="1"/>
  <c r="G470" i="1"/>
  <c r="H470" i="1" s="1"/>
  <c r="I470" i="1"/>
  <c r="J470" i="1" s="1"/>
  <c r="K470" i="1"/>
  <c r="L470" i="1"/>
  <c r="M470" i="1"/>
  <c r="T470" i="1" s="1"/>
  <c r="AZ470" i="1" s="1"/>
  <c r="N470" i="1"/>
  <c r="O470" i="1" s="1"/>
  <c r="F471" i="1"/>
  <c r="G471" i="1"/>
  <c r="H471" i="1" s="1"/>
  <c r="I471" i="1"/>
  <c r="J471" i="1" s="1"/>
  <c r="K471" i="1"/>
  <c r="L471" i="1"/>
  <c r="M471" i="1"/>
  <c r="P471" i="1" s="1"/>
  <c r="Q471" i="1" s="1"/>
  <c r="BC471" i="1" s="1"/>
  <c r="BD471" i="1" s="1"/>
  <c r="N471" i="1"/>
  <c r="O471" i="1" s="1"/>
  <c r="F472" i="1"/>
  <c r="G472" i="1"/>
  <c r="H472" i="1" s="1"/>
  <c r="I472" i="1"/>
  <c r="J472" i="1" s="1"/>
  <c r="K472" i="1"/>
  <c r="L472" i="1"/>
  <c r="M472" i="1"/>
  <c r="P472" i="1" s="1"/>
  <c r="N472" i="1"/>
  <c r="O472" i="1" s="1"/>
  <c r="F473" i="1"/>
  <c r="G473" i="1"/>
  <c r="H473" i="1" s="1"/>
  <c r="I473" i="1"/>
  <c r="J473" i="1" s="1"/>
  <c r="K473" i="1"/>
  <c r="L473" i="1"/>
  <c r="M473" i="1"/>
  <c r="T473" i="1" s="1"/>
  <c r="AZ473" i="1" s="1"/>
  <c r="N473" i="1"/>
  <c r="O473" i="1" s="1"/>
  <c r="F474" i="1"/>
  <c r="G474" i="1"/>
  <c r="H474" i="1" s="1"/>
  <c r="I474" i="1"/>
  <c r="J474" i="1" s="1"/>
  <c r="K474" i="1"/>
  <c r="L474" i="1"/>
  <c r="M474" i="1"/>
  <c r="U474" i="1" s="1"/>
  <c r="N474" i="1"/>
  <c r="O474" i="1" s="1"/>
  <c r="F475" i="1"/>
  <c r="G475" i="1"/>
  <c r="H475" i="1" s="1"/>
  <c r="I475" i="1"/>
  <c r="J475" i="1" s="1"/>
  <c r="K475" i="1"/>
  <c r="L475" i="1"/>
  <c r="M475" i="1"/>
  <c r="P475" i="1" s="1"/>
  <c r="Q475" i="1" s="1"/>
  <c r="BC475" i="1" s="1"/>
  <c r="BD475" i="1" s="1"/>
  <c r="N475" i="1"/>
  <c r="O475" i="1" s="1"/>
  <c r="F476" i="1"/>
  <c r="G476" i="1"/>
  <c r="H476" i="1" s="1"/>
  <c r="I476" i="1"/>
  <c r="J476" i="1" s="1"/>
  <c r="K476" i="1"/>
  <c r="L476" i="1"/>
  <c r="M476" i="1"/>
  <c r="P476" i="1" s="1"/>
  <c r="N476" i="1"/>
  <c r="O476" i="1" s="1"/>
  <c r="F477" i="1"/>
  <c r="G477" i="1"/>
  <c r="H477" i="1" s="1"/>
  <c r="I477" i="1"/>
  <c r="J477" i="1" s="1"/>
  <c r="K477" i="1"/>
  <c r="L477" i="1"/>
  <c r="M477" i="1"/>
  <c r="T477" i="1" s="1"/>
  <c r="AZ477" i="1" s="1"/>
  <c r="N477" i="1"/>
  <c r="O477" i="1" s="1"/>
  <c r="F478" i="1"/>
  <c r="G478" i="1"/>
  <c r="H478" i="1" s="1"/>
  <c r="I478" i="1"/>
  <c r="J478" i="1" s="1"/>
  <c r="K478" i="1"/>
  <c r="L478" i="1"/>
  <c r="M478" i="1"/>
  <c r="P478" i="1" s="1"/>
  <c r="N478" i="1"/>
  <c r="O478" i="1" s="1"/>
  <c r="F479" i="1"/>
  <c r="G479" i="1"/>
  <c r="H479" i="1" s="1"/>
  <c r="I479" i="1"/>
  <c r="J479" i="1" s="1"/>
  <c r="K479" i="1"/>
  <c r="L479" i="1"/>
  <c r="M479" i="1"/>
  <c r="P479" i="1" s="1"/>
  <c r="Q479" i="1" s="1"/>
  <c r="BC479" i="1" s="1"/>
  <c r="BD479" i="1" s="1"/>
  <c r="N479" i="1"/>
  <c r="O479" i="1" s="1"/>
  <c r="F480" i="1"/>
  <c r="G480" i="1"/>
  <c r="H480" i="1" s="1"/>
  <c r="I480" i="1"/>
  <c r="J480" i="1" s="1"/>
  <c r="K480" i="1"/>
  <c r="L480" i="1"/>
  <c r="M480" i="1"/>
  <c r="P480" i="1" s="1"/>
  <c r="N480" i="1"/>
  <c r="O480" i="1" s="1"/>
  <c r="F481" i="1"/>
  <c r="G481" i="1"/>
  <c r="H481" i="1" s="1"/>
  <c r="I481" i="1"/>
  <c r="J481" i="1" s="1"/>
  <c r="K481" i="1"/>
  <c r="L481" i="1"/>
  <c r="M481" i="1"/>
  <c r="T481" i="1" s="1"/>
  <c r="AZ481" i="1" s="1"/>
  <c r="N481" i="1"/>
  <c r="O481" i="1" s="1"/>
  <c r="F482" i="1"/>
  <c r="G482" i="1"/>
  <c r="H482" i="1" s="1"/>
  <c r="I482" i="1"/>
  <c r="J482" i="1" s="1"/>
  <c r="K482" i="1"/>
  <c r="L482" i="1"/>
  <c r="M482" i="1"/>
  <c r="T482" i="1" s="1"/>
  <c r="AZ482" i="1" s="1"/>
  <c r="N482" i="1"/>
  <c r="O482" i="1" s="1"/>
  <c r="F483" i="1"/>
  <c r="G483" i="1"/>
  <c r="H483" i="1" s="1"/>
  <c r="I483" i="1"/>
  <c r="J483" i="1" s="1"/>
  <c r="K483" i="1"/>
  <c r="L483" i="1"/>
  <c r="M483" i="1"/>
  <c r="P483" i="1" s="1"/>
  <c r="Q483" i="1" s="1"/>
  <c r="BC483" i="1" s="1"/>
  <c r="BD483" i="1" s="1"/>
  <c r="N483" i="1"/>
  <c r="O483" i="1" s="1"/>
  <c r="F484" i="1"/>
  <c r="G484" i="1"/>
  <c r="H484" i="1" s="1"/>
  <c r="I484" i="1"/>
  <c r="J484" i="1" s="1"/>
  <c r="K484" i="1"/>
  <c r="L484" i="1"/>
  <c r="M484" i="1"/>
  <c r="T484" i="1" s="1"/>
  <c r="AZ484" i="1" s="1"/>
  <c r="N484" i="1"/>
  <c r="O484" i="1" s="1"/>
  <c r="F485" i="1"/>
  <c r="G485" i="1"/>
  <c r="H485" i="1" s="1"/>
  <c r="I485" i="1"/>
  <c r="J485" i="1" s="1"/>
  <c r="K485" i="1"/>
  <c r="L485" i="1"/>
  <c r="M485" i="1"/>
  <c r="T485" i="1" s="1"/>
  <c r="AZ485" i="1" s="1"/>
  <c r="N485" i="1"/>
  <c r="O485" i="1" s="1"/>
  <c r="F486" i="1"/>
  <c r="G486" i="1"/>
  <c r="H486" i="1" s="1"/>
  <c r="I486" i="1"/>
  <c r="J486" i="1" s="1"/>
  <c r="K486" i="1"/>
  <c r="L486" i="1"/>
  <c r="M486" i="1"/>
  <c r="T486" i="1" s="1"/>
  <c r="AZ486" i="1" s="1"/>
  <c r="N486" i="1"/>
  <c r="O486" i="1" s="1"/>
  <c r="F487" i="1"/>
  <c r="G487" i="1"/>
  <c r="H487" i="1" s="1"/>
  <c r="I487" i="1"/>
  <c r="J487" i="1" s="1"/>
  <c r="K487" i="1"/>
  <c r="L487" i="1"/>
  <c r="M487" i="1"/>
  <c r="P487" i="1" s="1"/>
  <c r="Q487" i="1" s="1"/>
  <c r="BC487" i="1" s="1"/>
  <c r="BD487" i="1" s="1"/>
  <c r="N487" i="1"/>
  <c r="O487" i="1" s="1"/>
  <c r="F488" i="1"/>
  <c r="G488" i="1"/>
  <c r="H488" i="1" s="1"/>
  <c r="I488" i="1"/>
  <c r="J488" i="1" s="1"/>
  <c r="K488" i="1"/>
  <c r="L488" i="1"/>
  <c r="M488" i="1"/>
  <c r="P488" i="1" s="1"/>
  <c r="N488" i="1"/>
  <c r="O488" i="1" s="1"/>
  <c r="F489" i="1"/>
  <c r="G489" i="1"/>
  <c r="H489" i="1" s="1"/>
  <c r="I489" i="1"/>
  <c r="J489" i="1" s="1"/>
  <c r="K489" i="1"/>
  <c r="L489" i="1"/>
  <c r="M489" i="1"/>
  <c r="T489" i="1" s="1"/>
  <c r="AZ489" i="1" s="1"/>
  <c r="N489" i="1"/>
  <c r="O489" i="1" s="1"/>
  <c r="F490" i="1"/>
  <c r="G490" i="1"/>
  <c r="H490" i="1" s="1"/>
  <c r="I490" i="1"/>
  <c r="J490" i="1" s="1"/>
  <c r="K490" i="1"/>
  <c r="L490" i="1"/>
  <c r="M490" i="1"/>
  <c r="U490" i="1" s="1"/>
  <c r="N490" i="1"/>
  <c r="O490" i="1" s="1"/>
  <c r="F491" i="1"/>
  <c r="G491" i="1"/>
  <c r="H491" i="1" s="1"/>
  <c r="I491" i="1"/>
  <c r="J491" i="1" s="1"/>
  <c r="K491" i="1"/>
  <c r="L491" i="1"/>
  <c r="M491" i="1"/>
  <c r="P491" i="1" s="1"/>
  <c r="Q491" i="1" s="1"/>
  <c r="BC491" i="1" s="1"/>
  <c r="BD491" i="1" s="1"/>
  <c r="N491" i="1"/>
  <c r="O491" i="1" s="1"/>
  <c r="F492" i="1"/>
  <c r="G492" i="1"/>
  <c r="H492" i="1" s="1"/>
  <c r="I492" i="1"/>
  <c r="J492" i="1" s="1"/>
  <c r="K492" i="1"/>
  <c r="L492" i="1"/>
  <c r="M492" i="1"/>
  <c r="P492" i="1" s="1"/>
  <c r="N492" i="1"/>
  <c r="O492" i="1" s="1"/>
  <c r="F493" i="1"/>
  <c r="G493" i="1"/>
  <c r="H493" i="1" s="1"/>
  <c r="I493" i="1"/>
  <c r="J493" i="1" s="1"/>
  <c r="K493" i="1"/>
  <c r="L493" i="1"/>
  <c r="M493" i="1"/>
  <c r="T493" i="1" s="1"/>
  <c r="AZ493" i="1" s="1"/>
  <c r="N493" i="1"/>
  <c r="O493" i="1" s="1"/>
  <c r="F494" i="1"/>
  <c r="G494" i="1"/>
  <c r="H494" i="1" s="1"/>
  <c r="I494" i="1"/>
  <c r="J494" i="1" s="1"/>
  <c r="K494" i="1"/>
  <c r="L494" i="1"/>
  <c r="M494" i="1"/>
  <c r="U494" i="1" s="1"/>
  <c r="N494" i="1"/>
  <c r="O494" i="1" s="1"/>
  <c r="F495" i="1"/>
  <c r="G495" i="1"/>
  <c r="H495" i="1" s="1"/>
  <c r="I495" i="1"/>
  <c r="J495" i="1" s="1"/>
  <c r="K495" i="1"/>
  <c r="L495" i="1"/>
  <c r="M495" i="1"/>
  <c r="P495" i="1" s="1"/>
  <c r="Q495" i="1" s="1"/>
  <c r="BC495" i="1" s="1"/>
  <c r="BD495" i="1" s="1"/>
  <c r="N495" i="1"/>
  <c r="O495" i="1" s="1"/>
  <c r="F496" i="1"/>
  <c r="G496" i="1"/>
  <c r="H496" i="1" s="1"/>
  <c r="I496" i="1"/>
  <c r="J496" i="1" s="1"/>
  <c r="K496" i="1"/>
  <c r="L496" i="1"/>
  <c r="M496" i="1"/>
  <c r="T496" i="1" s="1"/>
  <c r="AZ496" i="1" s="1"/>
  <c r="N496" i="1"/>
  <c r="O496" i="1" s="1"/>
  <c r="F497" i="1"/>
  <c r="G497" i="1"/>
  <c r="H497" i="1" s="1"/>
  <c r="I497" i="1"/>
  <c r="J497" i="1" s="1"/>
  <c r="K497" i="1"/>
  <c r="L497" i="1"/>
  <c r="M497" i="1"/>
  <c r="T497" i="1" s="1"/>
  <c r="AZ497" i="1" s="1"/>
  <c r="N497" i="1"/>
  <c r="O497" i="1" s="1"/>
  <c r="F498" i="1"/>
  <c r="G498" i="1"/>
  <c r="H498" i="1" s="1"/>
  <c r="I498" i="1"/>
  <c r="J498" i="1" s="1"/>
  <c r="K498" i="1"/>
  <c r="L498" i="1"/>
  <c r="M498" i="1"/>
  <c r="T498" i="1" s="1"/>
  <c r="AZ498" i="1" s="1"/>
  <c r="N498" i="1"/>
  <c r="O498" i="1" s="1"/>
  <c r="F499" i="1"/>
  <c r="G499" i="1"/>
  <c r="H499" i="1" s="1"/>
  <c r="I499" i="1"/>
  <c r="J499" i="1" s="1"/>
  <c r="K499" i="1"/>
  <c r="L499" i="1"/>
  <c r="M499" i="1"/>
  <c r="P499" i="1" s="1"/>
  <c r="Q499" i="1" s="1"/>
  <c r="BC499" i="1" s="1"/>
  <c r="BD499" i="1" s="1"/>
  <c r="N499" i="1"/>
  <c r="O499" i="1" s="1"/>
  <c r="F500" i="1"/>
  <c r="G500" i="1"/>
  <c r="H500" i="1" s="1"/>
  <c r="I500" i="1"/>
  <c r="J500" i="1" s="1"/>
  <c r="K500" i="1"/>
  <c r="L500" i="1"/>
  <c r="M500" i="1"/>
  <c r="T500" i="1" s="1"/>
  <c r="AZ500" i="1" s="1"/>
  <c r="N500" i="1"/>
  <c r="O500" i="1" s="1"/>
  <c r="K4" i="1"/>
  <c r="L4" i="1"/>
  <c r="M4" i="1"/>
  <c r="P4" i="1" s="1"/>
  <c r="N4" i="1"/>
  <c r="O4" i="1" s="1"/>
  <c r="K5" i="1"/>
  <c r="L5" i="1"/>
  <c r="M5" i="1"/>
  <c r="T5" i="1" s="1"/>
  <c r="AZ5" i="1" s="1"/>
  <c r="N5" i="1"/>
  <c r="O5" i="1" s="1"/>
  <c r="K6" i="1"/>
  <c r="L6" i="1"/>
  <c r="M6" i="1"/>
  <c r="T6" i="1" s="1"/>
  <c r="AZ6" i="1" s="1"/>
  <c r="N6" i="1"/>
  <c r="O6" i="1" s="1"/>
  <c r="K7" i="1"/>
  <c r="L7" i="1"/>
  <c r="M7" i="1"/>
  <c r="P7" i="1" s="1"/>
  <c r="N7" i="1"/>
  <c r="O7" i="1" s="1"/>
  <c r="K8" i="1"/>
  <c r="L8" i="1"/>
  <c r="M8" i="1"/>
  <c r="P8" i="1" s="1"/>
  <c r="N8" i="1"/>
  <c r="O8" i="1" s="1"/>
  <c r="K9" i="1"/>
  <c r="L9" i="1"/>
  <c r="M9" i="1"/>
  <c r="P9" i="1" s="1"/>
  <c r="N9" i="1"/>
  <c r="O9" i="1" s="1"/>
  <c r="K10" i="1"/>
  <c r="L10" i="1"/>
  <c r="M10" i="1"/>
  <c r="P10" i="1" s="1"/>
  <c r="N10" i="1"/>
  <c r="O10" i="1" s="1"/>
  <c r="K11" i="1"/>
  <c r="L11" i="1"/>
  <c r="M11" i="1"/>
  <c r="N11" i="1"/>
  <c r="O11" i="1" s="1"/>
  <c r="K12" i="1"/>
  <c r="L12" i="1"/>
  <c r="M12" i="1"/>
  <c r="T12" i="1" s="1"/>
  <c r="AZ12" i="1" s="1"/>
  <c r="N12" i="1"/>
  <c r="O12" i="1" s="1"/>
  <c r="K13" i="1"/>
  <c r="L13" i="1"/>
  <c r="M13" i="1"/>
  <c r="U13" i="1" s="1"/>
  <c r="N13" i="1"/>
  <c r="O13" i="1" s="1"/>
  <c r="K14" i="1"/>
  <c r="L14" i="1"/>
  <c r="M14" i="1"/>
  <c r="T14" i="1" s="1"/>
  <c r="AZ14" i="1" s="1"/>
  <c r="N14" i="1"/>
  <c r="O14" i="1" s="1"/>
  <c r="K15" i="1"/>
  <c r="L15" i="1"/>
  <c r="M15" i="1"/>
  <c r="P15" i="1" s="1"/>
  <c r="N15" i="1"/>
  <c r="O15" i="1" s="1"/>
  <c r="K16" i="1"/>
  <c r="L16" i="1"/>
  <c r="M16" i="1"/>
  <c r="P16" i="1" s="1"/>
  <c r="N16" i="1"/>
  <c r="O16" i="1" s="1"/>
  <c r="K17" i="1"/>
  <c r="L17" i="1"/>
  <c r="M17" i="1"/>
  <c r="T17" i="1" s="1"/>
  <c r="AZ17" i="1" s="1"/>
  <c r="N17" i="1"/>
  <c r="O17" i="1" s="1"/>
  <c r="K18" i="1"/>
  <c r="L18" i="1"/>
  <c r="M18" i="1"/>
  <c r="P18" i="1" s="1"/>
  <c r="N18" i="1"/>
  <c r="O18" i="1" s="1"/>
  <c r="K19" i="1"/>
  <c r="L19" i="1"/>
  <c r="M19" i="1"/>
  <c r="N19" i="1"/>
  <c r="O19" i="1" s="1"/>
  <c r="K20" i="1"/>
  <c r="L20" i="1"/>
  <c r="M20" i="1"/>
  <c r="T20" i="1" s="1"/>
  <c r="AZ20" i="1" s="1"/>
  <c r="N20" i="1"/>
  <c r="O20" i="1" s="1"/>
  <c r="K21" i="1"/>
  <c r="L21" i="1"/>
  <c r="M21" i="1"/>
  <c r="T21" i="1" s="1"/>
  <c r="AZ21" i="1" s="1"/>
  <c r="N21" i="1"/>
  <c r="O21" i="1" s="1"/>
  <c r="K22" i="1"/>
  <c r="L22" i="1"/>
  <c r="M22" i="1"/>
  <c r="T22" i="1" s="1"/>
  <c r="AZ22" i="1" s="1"/>
  <c r="N22" i="1"/>
  <c r="O22" i="1" s="1"/>
  <c r="K23" i="1"/>
  <c r="L23" i="1"/>
  <c r="M23" i="1"/>
  <c r="P23" i="1" s="1"/>
  <c r="N23" i="1"/>
  <c r="O23" i="1" s="1"/>
  <c r="K24" i="1"/>
  <c r="L24" i="1"/>
  <c r="M24" i="1"/>
  <c r="P24" i="1" s="1"/>
  <c r="N24" i="1"/>
  <c r="O24" i="1" s="1"/>
  <c r="K25" i="1"/>
  <c r="L25" i="1"/>
  <c r="M25" i="1"/>
  <c r="T25" i="1" s="1"/>
  <c r="AZ25" i="1" s="1"/>
  <c r="N25" i="1"/>
  <c r="O25" i="1" s="1"/>
  <c r="K26" i="1"/>
  <c r="L26" i="1"/>
  <c r="M26" i="1"/>
  <c r="P26" i="1" s="1"/>
  <c r="N26" i="1"/>
  <c r="O26" i="1" s="1"/>
  <c r="K27" i="1"/>
  <c r="L27" i="1"/>
  <c r="M27" i="1"/>
  <c r="P27" i="1" s="1"/>
  <c r="Q27" i="1" s="1"/>
  <c r="BC27" i="1" s="1"/>
  <c r="BD27" i="1" s="1"/>
  <c r="N27" i="1"/>
  <c r="O27" i="1" s="1"/>
  <c r="K28" i="1"/>
  <c r="L28" i="1"/>
  <c r="M28" i="1"/>
  <c r="T28" i="1" s="1"/>
  <c r="AZ28" i="1" s="1"/>
  <c r="N28" i="1"/>
  <c r="O28" i="1" s="1"/>
  <c r="K29" i="1"/>
  <c r="L29" i="1"/>
  <c r="M29" i="1"/>
  <c r="T29" i="1" s="1"/>
  <c r="AZ29" i="1" s="1"/>
  <c r="N29" i="1"/>
  <c r="O29" i="1" s="1"/>
  <c r="K30" i="1"/>
  <c r="L30" i="1"/>
  <c r="M30" i="1"/>
  <c r="P30" i="1" s="1"/>
  <c r="Q30" i="1" s="1"/>
  <c r="BC30" i="1" s="1"/>
  <c r="BD30" i="1" s="1"/>
  <c r="N30" i="1"/>
  <c r="O30" i="1" s="1"/>
  <c r="K31" i="1"/>
  <c r="L31" i="1"/>
  <c r="M31" i="1"/>
  <c r="P31" i="1" s="1"/>
  <c r="Q31" i="1" s="1"/>
  <c r="BC31" i="1" s="1"/>
  <c r="BD31" i="1" s="1"/>
  <c r="N31" i="1"/>
  <c r="O31" i="1" s="1"/>
  <c r="K32" i="1"/>
  <c r="L32" i="1"/>
  <c r="M32" i="1"/>
  <c r="P32" i="1" s="1"/>
  <c r="N32" i="1"/>
  <c r="O32" i="1" s="1"/>
  <c r="K33" i="1"/>
  <c r="L33" i="1"/>
  <c r="M33" i="1"/>
  <c r="T33" i="1" s="1"/>
  <c r="AZ33" i="1" s="1"/>
  <c r="N33" i="1"/>
  <c r="O33" i="1" s="1"/>
  <c r="K34" i="1"/>
  <c r="L34" i="1"/>
  <c r="M34" i="1"/>
  <c r="P34" i="1" s="1"/>
  <c r="N34" i="1"/>
  <c r="O34" i="1" s="1"/>
  <c r="K35" i="1"/>
  <c r="L35" i="1"/>
  <c r="M35" i="1"/>
  <c r="U35" i="1" s="1"/>
  <c r="N35" i="1"/>
  <c r="O35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D35" i="1"/>
  <c r="E35" i="1" s="1"/>
  <c r="AA35" i="1" s="1"/>
  <c r="D4" i="1"/>
  <c r="E4" i="1" s="1"/>
  <c r="Z4" i="1" s="1"/>
  <c r="D5" i="1"/>
  <c r="E5" i="1" s="1"/>
  <c r="Z5" i="1" s="1"/>
  <c r="D6" i="1"/>
  <c r="E6" i="1" s="1"/>
  <c r="Z6" i="1" s="1"/>
  <c r="D7" i="1"/>
  <c r="E7" i="1" s="1"/>
  <c r="AA7" i="1" s="1"/>
  <c r="D8" i="1"/>
  <c r="E8" i="1" s="1"/>
  <c r="Z8" i="1" s="1"/>
  <c r="D9" i="1"/>
  <c r="E9" i="1" s="1"/>
  <c r="Z9" i="1" s="1"/>
  <c r="D10" i="1"/>
  <c r="E10" i="1" s="1"/>
  <c r="Z10" i="1" s="1"/>
  <c r="D11" i="1"/>
  <c r="E11" i="1" s="1"/>
  <c r="AA11" i="1" s="1"/>
  <c r="D12" i="1"/>
  <c r="E12" i="1" s="1"/>
  <c r="Z12" i="1" s="1"/>
  <c r="D13" i="1"/>
  <c r="E13" i="1" s="1"/>
  <c r="Z13" i="1" s="1"/>
  <c r="D14" i="1"/>
  <c r="E14" i="1" s="1"/>
  <c r="Z14" i="1" s="1"/>
  <c r="D15" i="1"/>
  <c r="E15" i="1" s="1"/>
  <c r="AA15" i="1" s="1"/>
  <c r="D16" i="1"/>
  <c r="E16" i="1" s="1"/>
  <c r="Z16" i="1" s="1"/>
  <c r="D17" i="1"/>
  <c r="E17" i="1" s="1"/>
  <c r="Z17" i="1" s="1"/>
  <c r="D18" i="1"/>
  <c r="E18" i="1" s="1"/>
  <c r="Z18" i="1" s="1"/>
  <c r="D19" i="1"/>
  <c r="E19" i="1" s="1"/>
  <c r="AA19" i="1" s="1"/>
  <c r="D20" i="1"/>
  <c r="E20" i="1" s="1"/>
  <c r="Z20" i="1" s="1"/>
  <c r="D21" i="1"/>
  <c r="E21" i="1" s="1"/>
  <c r="Z21" i="1" s="1"/>
  <c r="D22" i="1"/>
  <c r="E22" i="1" s="1"/>
  <c r="Z22" i="1" s="1"/>
  <c r="D23" i="1"/>
  <c r="E23" i="1" s="1"/>
  <c r="AA23" i="1" s="1"/>
  <c r="D24" i="1"/>
  <c r="E24" i="1" s="1"/>
  <c r="Z24" i="1" s="1"/>
  <c r="D25" i="1"/>
  <c r="E25" i="1" s="1"/>
  <c r="Z25" i="1" s="1"/>
  <c r="D26" i="1"/>
  <c r="E26" i="1" s="1"/>
  <c r="Z26" i="1" s="1"/>
  <c r="D27" i="1"/>
  <c r="E27" i="1" s="1"/>
  <c r="AA27" i="1" s="1"/>
  <c r="D28" i="1"/>
  <c r="E28" i="1" s="1"/>
  <c r="Z28" i="1" s="1"/>
  <c r="D29" i="1"/>
  <c r="E29" i="1" s="1"/>
  <c r="Z29" i="1" s="1"/>
  <c r="D30" i="1"/>
  <c r="E30" i="1" s="1"/>
  <c r="Z30" i="1" s="1"/>
  <c r="D31" i="1"/>
  <c r="E31" i="1" s="1"/>
  <c r="AA31" i="1" s="1"/>
  <c r="D32" i="1"/>
  <c r="E32" i="1" s="1"/>
  <c r="Z32" i="1" s="1"/>
  <c r="D33" i="1"/>
  <c r="E33" i="1" s="1"/>
  <c r="Z33" i="1" s="1"/>
  <c r="D34" i="1"/>
  <c r="E34" i="1" s="1"/>
  <c r="Z34" i="1" s="1"/>
  <c r="K3" i="1"/>
  <c r="N3" i="1"/>
  <c r="O3" i="1" s="1"/>
  <c r="M3" i="1"/>
  <c r="P3" i="1" s="1"/>
  <c r="Q3" i="1" s="1"/>
  <c r="BC3" i="1" s="1"/>
  <c r="BD3" i="1" s="1"/>
  <c r="I3" i="1"/>
  <c r="J3" i="1" s="1"/>
  <c r="G3" i="1"/>
  <c r="H3" i="1" s="1"/>
  <c r="F3" i="1"/>
  <c r="D3" i="1"/>
  <c r="E3" i="1" s="1"/>
  <c r="Z3" i="1" s="1"/>
  <c r="BK7" i="1" l="1"/>
  <c r="P35" i="2" s="1"/>
  <c r="BK8" i="1"/>
  <c r="V35" i="2" s="1"/>
  <c r="BK5" i="1"/>
  <c r="L35" i="2" s="1"/>
  <c r="BK6" i="1"/>
  <c r="R35" i="2" s="1"/>
  <c r="BK4" i="1"/>
  <c r="T35" i="2" s="1"/>
  <c r="BK3" i="1"/>
  <c r="N35" i="2" s="1"/>
  <c r="BH15" i="1"/>
  <c r="AB56" i="2" s="1"/>
  <c r="BH13" i="1"/>
  <c r="X56" i="2" s="1"/>
  <c r="BH14" i="1"/>
  <c r="Z56" i="2" s="1"/>
  <c r="BH11" i="1"/>
  <c r="T56" i="2" s="1"/>
  <c r="BH12" i="1"/>
  <c r="V56" i="2" s="1"/>
  <c r="BH9" i="1"/>
  <c r="P56" i="2" s="1"/>
  <c r="BH10" i="1"/>
  <c r="R56" i="2" s="1"/>
  <c r="BH7" i="1"/>
  <c r="L56" i="2" s="1"/>
  <c r="BH8" i="1"/>
  <c r="N56" i="2" s="1"/>
  <c r="BH5" i="1"/>
  <c r="H56" i="2" s="1"/>
  <c r="BH6" i="1"/>
  <c r="J56" i="2" s="1"/>
  <c r="BH4" i="1"/>
  <c r="F56" i="2" s="1"/>
  <c r="BH3" i="1"/>
  <c r="D56" i="2" s="1"/>
  <c r="R309" i="1"/>
  <c r="AX309" i="1" s="1"/>
  <c r="R301" i="1"/>
  <c r="AX301" i="1" s="1"/>
  <c r="R293" i="1"/>
  <c r="AX293" i="1" s="1"/>
  <c r="R285" i="1"/>
  <c r="AX285" i="1" s="1"/>
  <c r="R277" i="1"/>
  <c r="AX277" i="1" s="1"/>
  <c r="R269" i="1"/>
  <c r="AX269" i="1" s="1"/>
  <c r="R261" i="1"/>
  <c r="AX261" i="1" s="1"/>
  <c r="R253" i="1"/>
  <c r="AX253" i="1" s="1"/>
  <c r="R245" i="1"/>
  <c r="AX245" i="1" s="1"/>
  <c r="R237" i="1"/>
  <c r="AX237" i="1" s="1"/>
  <c r="R229" i="1"/>
  <c r="AX229" i="1" s="1"/>
  <c r="R221" i="1"/>
  <c r="AX221" i="1" s="1"/>
  <c r="R213" i="1"/>
  <c r="AX213" i="1" s="1"/>
  <c r="R205" i="1"/>
  <c r="AX205" i="1" s="1"/>
  <c r="R197" i="1"/>
  <c r="AX197" i="1" s="1"/>
  <c r="R189" i="1"/>
  <c r="AX189" i="1" s="1"/>
  <c r="R181" i="1"/>
  <c r="AX181" i="1" s="1"/>
  <c r="R173" i="1"/>
  <c r="AX173" i="1" s="1"/>
  <c r="R165" i="1"/>
  <c r="AX165" i="1" s="1"/>
  <c r="R157" i="1"/>
  <c r="AX157" i="1" s="1"/>
  <c r="R149" i="1"/>
  <c r="AX149" i="1" s="1"/>
  <c r="R141" i="1"/>
  <c r="AX141" i="1" s="1"/>
  <c r="R133" i="1"/>
  <c r="AX133" i="1" s="1"/>
  <c r="R125" i="1"/>
  <c r="AX125" i="1" s="1"/>
  <c r="R117" i="1"/>
  <c r="AX117" i="1" s="1"/>
  <c r="R109" i="1"/>
  <c r="AX109" i="1" s="1"/>
  <c r="R101" i="1"/>
  <c r="AX101" i="1" s="1"/>
  <c r="R93" i="1"/>
  <c r="AX93" i="1" s="1"/>
  <c r="R85" i="1"/>
  <c r="AX85" i="1" s="1"/>
  <c r="R77" i="1"/>
  <c r="AX77" i="1" s="1"/>
  <c r="R69" i="1"/>
  <c r="AX69" i="1" s="1"/>
  <c r="R61" i="1"/>
  <c r="AX61" i="1" s="1"/>
  <c r="R53" i="1"/>
  <c r="AX53" i="1" s="1"/>
  <c r="R385" i="1"/>
  <c r="AX385" i="1" s="1"/>
  <c r="R377" i="1"/>
  <c r="AX377" i="1" s="1"/>
  <c r="R369" i="1"/>
  <c r="AX369" i="1" s="1"/>
  <c r="R323" i="1"/>
  <c r="AX323" i="1" s="1"/>
  <c r="R315" i="1"/>
  <c r="AX315" i="1" s="1"/>
  <c r="R307" i="1"/>
  <c r="AX307" i="1" s="1"/>
  <c r="R299" i="1"/>
  <c r="AX299" i="1" s="1"/>
  <c r="R291" i="1"/>
  <c r="AX291" i="1" s="1"/>
  <c r="R283" i="1"/>
  <c r="AX283" i="1" s="1"/>
  <c r="R275" i="1"/>
  <c r="AX275" i="1" s="1"/>
  <c r="R267" i="1"/>
  <c r="AX267" i="1" s="1"/>
  <c r="R259" i="1"/>
  <c r="AX259" i="1" s="1"/>
  <c r="R251" i="1"/>
  <c r="AX251" i="1" s="1"/>
  <c r="R243" i="1"/>
  <c r="AX243" i="1" s="1"/>
  <c r="R235" i="1"/>
  <c r="AX235" i="1" s="1"/>
  <c r="R227" i="1"/>
  <c r="AX227" i="1" s="1"/>
  <c r="R195" i="1"/>
  <c r="AX195" i="1" s="1"/>
  <c r="R187" i="1"/>
  <c r="AX187" i="1" s="1"/>
  <c r="R179" i="1"/>
  <c r="AX179" i="1" s="1"/>
  <c r="R171" i="1"/>
  <c r="AX171" i="1" s="1"/>
  <c r="R163" i="1"/>
  <c r="AX163" i="1" s="1"/>
  <c r="R155" i="1"/>
  <c r="AX155" i="1" s="1"/>
  <c r="R147" i="1"/>
  <c r="AX147" i="1" s="1"/>
  <c r="R139" i="1"/>
  <c r="AX139" i="1" s="1"/>
  <c r="R131" i="1"/>
  <c r="AX131" i="1" s="1"/>
  <c r="R123" i="1"/>
  <c r="AX123" i="1" s="1"/>
  <c r="R115" i="1"/>
  <c r="AX115" i="1" s="1"/>
  <c r="R107" i="1"/>
  <c r="AX107" i="1" s="1"/>
  <c r="R99" i="1"/>
  <c r="AX99" i="1" s="1"/>
  <c r="R91" i="1"/>
  <c r="AX91" i="1" s="1"/>
  <c r="R83" i="1"/>
  <c r="AX83" i="1" s="1"/>
  <c r="R75" i="1"/>
  <c r="AX75" i="1" s="1"/>
  <c r="R67" i="1"/>
  <c r="AX67" i="1" s="1"/>
  <c r="R120" i="1"/>
  <c r="AX120" i="1" s="1"/>
  <c r="R59" i="1"/>
  <c r="AX59" i="1" s="1"/>
  <c r="R497" i="1"/>
  <c r="AX497" i="1" s="1"/>
  <c r="R489" i="1"/>
  <c r="AX489" i="1" s="1"/>
  <c r="R481" i="1"/>
  <c r="AX481" i="1" s="1"/>
  <c r="R473" i="1"/>
  <c r="AX473" i="1" s="1"/>
  <c r="R465" i="1"/>
  <c r="AX465" i="1" s="1"/>
  <c r="R457" i="1"/>
  <c r="AX457" i="1" s="1"/>
  <c r="R417" i="1"/>
  <c r="AX417" i="1" s="1"/>
  <c r="R409" i="1"/>
  <c r="AX409" i="1" s="1"/>
  <c r="R361" i="1"/>
  <c r="AX361" i="1" s="1"/>
  <c r="R353" i="1"/>
  <c r="AX353" i="1" s="1"/>
  <c r="R345" i="1"/>
  <c r="AX345" i="1" s="1"/>
  <c r="R329" i="1"/>
  <c r="AX329" i="1" s="1"/>
  <c r="R321" i="1"/>
  <c r="AX321" i="1" s="1"/>
  <c r="R305" i="1"/>
  <c r="AX305" i="1" s="1"/>
  <c r="R289" i="1"/>
  <c r="AX289" i="1" s="1"/>
  <c r="R281" i="1"/>
  <c r="AX281" i="1" s="1"/>
  <c r="R273" i="1"/>
  <c r="AX273" i="1" s="1"/>
  <c r="R265" i="1"/>
  <c r="AX265" i="1" s="1"/>
  <c r="R257" i="1"/>
  <c r="AX257" i="1" s="1"/>
  <c r="R249" i="1"/>
  <c r="AX249" i="1" s="1"/>
  <c r="R241" i="1"/>
  <c r="AX241" i="1" s="1"/>
  <c r="R233" i="1"/>
  <c r="AX233" i="1" s="1"/>
  <c r="R225" i="1"/>
  <c r="AX225" i="1" s="1"/>
  <c r="R217" i="1"/>
  <c r="AX217" i="1" s="1"/>
  <c r="R209" i="1"/>
  <c r="AX209" i="1" s="1"/>
  <c r="R201" i="1"/>
  <c r="AX201" i="1" s="1"/>
  <c r="R193" i="1"/>
  <c r="AX193" i="1" s="1"/>
  <c r="R185" i="1"/>
  <c r="AX185" i="1" s="1"/>
  <c r="R177" i="1"/>
  <c r="AX177" i="1" s="1"/>
  <c r="R81" i="1"/>
  <c r="AX81" i="1" s="1"/>
  <c r="R499" i="1"/>
  <c r="AX499" i="1" s="1"/>
  <c r="R491" i="1"/>
  <c r="AX491" i="1" s="1"/>
  <c r="R483" i="1"/>
  <c r="AX483" i="1" s="1"/>
  <c r="R475" i="1"/>
  <c r="AX475" i="1" s="1"/>
  <c r="R467" i="1"/>
  <c r="AX467" i="1" s="1"/>
  <c r="R459" i="1"/>
  <c r="AX459" i="1" s="1"/>
  <c r="R451" i="1"/>
  <c r="AX451" i="1" s="1"/>
  <c r="R443" i="1"/>
  <c r="AX443" i="1" s="1"/>
  <c r="R435" i="1"/>
  <c r="AX435" i="1" s="1"/>
  <c r="R427" i="1"/>
  <c r="AX427" i="1" s="1"/>
  <c r="R419" i="1"/>
  <c r="AX419" i="1" s="1"/>
  <c r="R411" i="1"/>
  <c r="AX411" i="1" s="1"/>
  <c r="R403" i="1"/>
  <c r="AX403" i="1" s="1"/>
  <c r="R395" i="1"/>
  <c r="AX395" i="1" s="1"/>
  <c r="R387" i="1"/>
  <c r="AX387" i="1" s="1"/>
  <c r="R379" i="1"/>
  <c r="AX379" i="1" s="1"/>
  <c r="R371" i="1"/>
  <c r="AX371" i="1" s="1"/>
  <c r="R363" i="1"/>
  <c r="AX363" i="1" s="1"/>
  <c r="R355" i="1"/>
  <c r="AX355" i="1" s="1"/>
  <c r="R347" i="1"/>
  <c r="AX347" i="1" s="1"/>
  <c r="R339" i="1"/>
  <c r="AX339" i="1" s="1"/>
  <c r="R331" i="1"/>
  <c r="AX331" i="1" s="1"/>
  <c r="R477" i="1"/>
  <c r="AX477" i="1" s="1"/>
  <c r="R437" i="1"/>
  <c r="AX437" i="1" s="1"/>
  <c r="R365" i="1"/>
  <c r="AX365" i="1" s="1"/>
  <c r="R349" i="1"/>
  <c r="AX349" i="1" s="1"/>
  <c r="R341" i="1"/>
  <c r="AX341" i="1" s="1"/>
  <c r="R333" i="1"/>
  <c r="AX333" i="1" s="1"/>
  <c r="R325" i="1"/>
  <c r="AX325" i="1" s="1"/>
  <c r="R317" i="1"/>
  <c r="AX317" i="1" s="1"/>
  <c r="R493" i="1"/>
  <c r="AX493" i="1" s="1"/>
  <c r="R445" i="1"/>
  <c r="AX445" i="1" s="1"/>
  <c r="R405" i="1"/>
  <c r="AX405" i="1" s="1"/>
  <c r="R381" i="1"/>
  <c r="AX381" i="1" s="1"/>
  <c r="R429" i="1"/>
  <c r="AX429" i="1" s="1"/>
  <c r="R397" i="1"/>
  <c r="AX397" i="1" s="1"/>
  <c r="R373" i="1"/>
  <c r="AX373" i="1" s="1"/>
  <c r="R357" i="1"/>
  <c r="AX357" i="1" s="1"/>
  <c r="R471" i="1"/>
  <c r="AX471" i="1" s="1"/>
  <c r="R463" i="1"/>
  <c r="AX463" i="1" s="1"/>
  <c r="R455" i="1"/>
  <c r="AX455" i="1" s="1"/>
  <c r="R447" i="1"/>
  <c r="AX447" i="1" s="1"/>
  <c r="R439" i="1"/>
  <c r="AX439" i="1" s="1"/>
  <c r="R431" i="1"/>
  <c r="AX431" i="1" s="1"/>
  <c r="R423" i="1"/>
  <c r="AX423" i="1" s="1"/>
  <c r="R415" i="1"/>
  <c r="AX415" i="1" s="1"/>
  <c r="R407" i="1"/>
  <c r="AX407" i="1" s="1"/>
  <c r="R399" i="1"/>
  <c r="AX399" i="1" s="1"/>
  <c r="R391" i="1"/>
  <c r="AX391" i="1" s="1"/>
  <c r="R383" i="1"/>
  <c r="AX383" i="1" s="1"/>
  <c r="R375" i="1"/>
  <c r="AX375" i="1" s="1"/>
  <c r="R367" i="1"/>
  <c r="AX367" i="1" s="1"/>
  <c r="R359" i="1"/>
  <c r="AX359" i="1" s="1"/>
  <c r="R351" i="1"/>
  <c r="AX351" i="1" s="1"/>
  <c r="R343" i="1"/>
  <c r="AX343" i="1" s="1"/>
  <c r="R335" i="1"/>
  <c r="AX335" i="1" s="1"/>
  <c r="R327" i="1"/>
  <c r="AX327" i="1" s="1"/>
  <c r="R319" i="1"/>
  <c r="AX319" i="1" s="1"/>
  <c r="R311" i="1"/>
  <c r="AX311" i="1" s="1"/>
  <c r="R469" i="1"/>
  <c r="AX469" i="1" s="1"/>
  <c r="R461" i="1"/>
  <c r="AX461" i="1" s="1"/>
  <c r="R413" i="1"/>
  <c r="AX413" i="1" s="1"/>
  <c r="R487" i="1"/>
  <c r="AX487" i="1" s="1"/>
  <c r="R479" i="1"/>
  <c r="AX479" i="1" s="1"/>
  <c r="R485" i="1"/>
  <c r="AX485" i="1" s="1"/>
  <c r="R453" i="1"/>
  <c r="AX453" i="1" s="1"/>
  <c r="R421" i="1"/>
  <c r="AX421" i="1" s="1"/>
  <c r="R389" i="1"/>
  <c r="AX389" i="1" s="1"/>
  <c r="R495" i="1"/>
  <c r="AX495" i="1" s="1"/>
  <c r="R36" i="1"/>
  <c r="AX36" i="1" s="1"/>
  <c r="R303" i="1"/>
  <c r="AX303" i="1" s="1"/>
  <c r="R295" i="1"/>
  <c r="AX295" i="1" s="1"/>
  <c r="R287" i="1"/>
  <c r="AX287" i="1" s="1"/>
  <c r="R279" i="1"/>
  <c r="AX279" i="1" s="1"/>
  <c r="R271" i="1"/>
  <c r="AX271" i="1" s="1"/>
  <c r="R263" i="1"/>
  <c r="AX263" i="1" s="1"/>
  <c r="R255" i="1"/>
  <c r="AX255" i="1" s="1"/>
  <c r="R247" i="1"/>
  <c r="AX247" i="1" s="1"/>
  <c r="R239" i="1"/>
  <c r="AX239" i="1" s="1"/>
  <c r="R231" i="1"/>
  <c r="AX231" i="1" s="1"/>
  <c r="R223" i="1"/>
  <c r="AX223" i="1" s="1"/>
  <c r="R215" i="1"/>
  <c r="AX215" i="1" s="1"/>
  <c r="R207" i="1"/>
  <c r="AX207" i="1" s="1"/>
  <c r="R199" i="1"/>
  <c r="AX199" i="1" s="1"/>
  <c r="R191" i="1"/>
  <c r="AX191" i="1" s="1"/>
  <c r="R183" i="1"/>
  <c r="AX183" i="1" s="1"/>
  <c r="R175" i="1"/>
  <c r="AX175" i="1" s="1"/>
  <c r="R95" i="1"/>
  <c r="AX95" i="1" s="1"/>
  <c r="R87" i="1"/>
  <c r="AX87" i="1" s="1"/>
  <c r="R63" i="1"/>
  <c r="AX63" i="1" s="1"/>
  <c r="R55" i="1"/>
  <c r="AX55" i="1" s="1"/>
  <c r="R47" i="1"/>
  <c r="AX47" i="1" s="1"/>
  <c r="R39" i="1"/>
  <c r="AX39" i="1" s="1"/>
  <c r="R169" i="1"/>
  <c r="AX169" i="1" s="1"/>
  <c r="R161" i="1"/>
  <c r="AX161" i="1" s="1"/>
  <c r="R153" i="1"/>
  <c r="AX153" i="1" s="1"/>
  <c r="R145" i="1"/>
  <c r="AX145" i="1" s="1"/>
  <c r="R137" i="1"/>
  <c r="AX137" i="1" s="1"/>
  <c r="R129" i="1"/>
  <c r="AX129" i="1" s="1"/>
  <c r="R121" i="1"/>
  <c r="AX121" i="1" s="1"/>
  <c r="R113" i="1"/>
  <c r="AX113" i="1" s="1"/>
  <c r="R105" i="1"/>
  <c r="AX105" i="1" s="1"/>
  <c r="R97" i="1"/>
  <c r="AX97" i="1" s="1"/>
  <c r="R89" i="1"/>
  <c r="AX89" i="1" s="1"/>
  <c r="R73" i="1"/>
  <c r="AX73" i="1" s="1"/>
  <c r="R65" i="1"/>
  <c r="AX65" i="1" s="1"/>
  <c r="R57" i="1"/>
  <c r="AX57" i="1" s="1"/>
  <c r="R49" i="1"/>
  <c r="AX49" i="1" s="1"/>
  <c r="R41" i="1"/>
  <c r="AX41" i="1" s="1"/>
  <c r="R35" i="1"/>
  <c r="AX35" i="1" s="1"/>
  <c r="R33" i="1"/>
  <c r="AX33" i="1" s="1"/>
  <c r="R31" i="1"/>
  <c r="AX31" i="1" s="1"/>
  <c r="R29" i="1"/>
  <c r="AX29" i="1" s="1"/>
  <c r="R27" i="1"/>
  <c r="AX27" i="1" s="1"/>
  <c r="R25" i="1"/>
  <c r="AX25" i="1" s="1"/>
  <c r="R23" i="1"/>
  <c r="R21" i="1"/>
  <c r="AX21" i="1" s="1"/>
  <c r="R19" i="1"/>
  <c r="AX19" i="1" s="1"/>
  <c r="R17" i="1"/>
  <c r="AX17" i="1" s="1"/>
  <c r="R15" i="1"/>
  <c r="AX15" i="1" s="1"/>
  <c r="R13" i="1"/>
  <c r="AX13" i="1" s="1"/>
  <c r="R11" i="1"/>
  <c r="AX11" i="1" s="1"/>
  <c r="R9" i="1"/>
  <c r="AX9" i="1" s="1"/>
  <c r="R7" i="1"/>
  <c r="R5" i="1"/>
  <c r="AX5" i="1" s="1"/>
  <c r="R500" i="1"/>
  <c r="AX500" i="1" s="1"/>
  <c r="R492" i="1"/>
  <c r="AX492" i="1" s="1"/>
  <c r="R484" i="1"/>
  <c r="AX484" i="1" s="1"/>
  <c r="R476" i="1"/>
  <c r="AX476" i="1" s="1"/>
  <c r="R468" i="1"/>
  <c r="AX468" i="1" s="1"/>
  <c r="R460" i="1"/>
  <c r="AX460" i="1" s="1"/>
  <c r="R452" i="1"/>
  <c r="R444" i="1"/>
  <c r="AX444" i="1" s="1"/>
  <c r="R436" i="1"/>
  <c r="AX436" i="1" s="1"/>
  <c r="R428" i="1"/>
  <c r="AX428" i="1" s="1"/>
  <c r="R420" i="1"/>
  <c r="AX420" i="1" s="1"/>
  <c r="R412" i="1"/>
  <c r="AX412" i="1" s="1"/>
  <c r="R404" i="1"/>
  <c r="AX404" i="1" s="1"/>
  <c r="R396" i="1"/>
  <c r="AX396" i="1" s="1"/>
  <c r="R388" i="1"/>
  <c r="R380" i="1"/>
  <c r="AX380" i="1" s="1"/>
  <c r="R372" i="1"/>
  <c r="AX372" i="1" s="1"/>
  <c r="R364" i="1"/>
  <c r="AX364" i="1" s="1"/>
  <c r="R356" i="1"/>
  <c r="AX356" i="1" s="1"/>
  <c r="R348" i="1"/>
  <c r="AX348" i="1" s="1"/>
  <c r="R340" i="1"/>
  <c r="AX340" i="1" s="1"/>
  <c r="R332" i="1"/>
  <c r="AX332" i="1" s="1"/>
  <c r="R324" i="1"/>
  <c r="R316" i="1"/>
  <c r="AX316" i="1" s="1"/>
  <c r="R308" i="1"/>
  <c r="AX308" i="1" s="1"/>
  <c r="R300" i="1"/>
  <c r="AX300" i="1" s="1"/>
  <c r="R292" i="1"/>
  <c r="AX292" i="1" s="1"/>
  <c r="R284" i="1"/>
  <c r="AX284" i="1" s="1"/>
  <c r="R276" i="1"/>
  <c r="AX276" i="1" s="1"/>
  <c r="R268" i="1"/>
  <c r="AX268" i="1" s="1"/>
  <c r="R260" i="1"/>
  <c r="R252" i="1"/>
  <c r="AX252" i="1" s="1"/>
  <c r="R244" i="1"/>
  <c r="AX244" i="1" s="1"/>
  <c r="R236" i="1"/>
  <c r="AX236" i="1" s="1"/>
  <c r="R228" i="1"/>
  <c r="AX228" i="1" s="1"/>
  <c r="R220" i="1"/>
  <c r="AX220" i="1" s="1"/>
  <c r="R212" i="1"/>
  <c r="AX212" i="1" s="1"/>
  <c r="R204" i="1"/>
  <c r="AX204" i="1" s="1"/>
  <c r="R196" i="1"/>
  <c r="R188" i="1"/>
  <c r="AX188" i="1" s="1"/>
  <c r="R180" i="1"/>
  <c r="AX180" i="1" s="1"/>
  <c r="R172" i="1"/>
  <c r="AX172" i="1" s="1"/>
  <c r="R164" i="1"/>
  <c r="AX164" i="1" s="1"/>
  <c r="R156" i="1"/>
  <c r="AX156" i="1" s="1"/>
  <c r="R148" i="1"/>
  <c r="AX148" i="1" s="1"/>
  <c r="R140" i="1"/>
  <c r="AX140" i="1" s="1"/>
  <c r="R132" i="1"/>
  <c r="R124" i="1"/>
  <c r="AX124" i="1" s="1"/>
  <c r="R116" i="1"/>
  <c r="AX116" i="1" s="1"/>
  <c r="R108" i="1"/>
  <c r="AX108" i="1" s="1"/>
  <c r="R100" i="1"/>
  <c r="AX100" i="1" s="1"/>
  <c r="R92" i="1"/>
  <c r="AX92" i="1" s="1"/>
  <c r="R84" i="1"/>
  <c r="AX84" i="1" s="1"/>
  <c r="R76" i="1"/>
  <c r="AX76" i="1" s="1"/>
  <c r="R68" i="1"/>
  <c r="R60" i="1"/>
  <c r="AX60" i="1" s="1"/>
  <c r="R52" i="1"/>
  <c r="AX52" i="1" s="1"/>
  <c r="R44" i="1"/>
  <c r="AX44" i="1" s="1"/>
  <c r="R46" i="1"/>
  <c r="AX46" i="1" s="1"/>
  <c r="R38" i="1"/>
  <c r="AX38" i="1" s="1"/>
  <c r="R112" i="1"/>
  <c r="AX112" i="1" s="1"/>
  <c r="R104" i="1"/>
  <c r="AX104" i="1" s="1"/>
  <c r="R449" i="1"/>
  <c r="R441" i="1"/>
  <c r="AX441" i="1" s="1"/>
  <c r="R433" i="1"/>
  <c r="AX433" i="1" s="1"/>
  <c r="R425" i="1"/>
  <c r="AX425" i="1" s="1"/>
  <c r="R401" i="1"/>
  <c r="AX401" i="1" s="1"/>
  <c r="R393" i="1"/>
  <c r="AX393" i="1" s="1"/>
  <c r="R337" i="1"/>
  <c r="AX337" i="1" s="1"/>
  <c r="R313" i="1"/>
  <c r="AX313" i="1" s="1"/>
  <c r="R297" i="1"/>
  <c r="R498" i="1"/>
  <c r="AX498" i="1" s="1"/>
  <c r="R490" i="1"/>
  <c r="AX490" i="1" s="1"/>
  <c r="R482" i="1"/>
  <c r="AX482" i="1" s="1"/>
  <c r="R474" i="1"/>
  <c r="AX474" i="1" s="1"/>
  <c r="R466" i="1"/>
  <c r="AX466" i="1" s="1"/>
  <c r="R458" i="1"/>
  <c r="AX458" i="1" s="1"/>
  <c r="R450" i="1"/>
  <c r="AX450" i="1" s="1"/>
  <c r="R442" i="1"/>
  <c r="R434" i="1"/>
  <c r="AX434" i="1" s="1"/>
  <c r="R426" i="1"/>
  <c r="AX426" i="1" s="1"/>
  <c r="R418" i="1"/>
  <c r="AX418" i="1" s="1"/>
  <c r="R410" i="1"/>
  <c r="AX410" i="1" s="1"/>
  <c r="R402" i="1"/>
  <c r="AX402" i="1" s="1"/>
  <c r="R394" i="1"/>
  <c r="AX394" i="1" s="1"/>
  <c r="R386" i="1"/>
  <c r="AX386" i="1" s="1"/>
  <c r="R378" i="1"/>
  <c r="R370" i="1"/>
  <c r="AX370" i="1" s="1"/>
  <c r="R362" i="1"/>
  <c r="AX362" i="1" s="1"/>
  <c r="R354" i="1"/>
  <c r="AX354" i="1" s="1"/>
  <c r="R346" i="1"/>
  <c r="AX346" i="1" s="1"/>
  <c r="R338" i="1"/>
  <c r="AX338" i="1" s="1"/>
  <c r="R330" i="1"/>
  <c r="AX330" i="1" s="1"/>
  <c r="R322" i="1"/>
  <c r="AX322" i="1" s="1"/>
  <c r="R314" i="1"/>
  <c r="R306" i="1"/>
  <c r="AX306" i="1" s="1"/>
  <c r="R298" i="1"/>
  <c r="AX298" i="1" s="1"/>
  <c r="R290" i="1"/>
  <c r="AX290" i="1" s="1"/>
  <c r="R282" i="1"/>
  <c r="AX282" i="1" s="1"/>
  <c r="R274" i="1"/>
  <c r="AX274" i="1" s="1"/>
  <c r="R266" i="1"/>
  <c r="AX266" i="1" s="1"/>
  <c r="R258" i="1"/>
  <c r="AX258" i="1" s="1"/>
  <c r="R250" i="1"/>
  <c r="R242" i="1"/>
  <c r="AX242" i="1" s="1"/>
  <c r="R234" i="1"/>
  <c r="AX234" i="1" s="1"/>
  <c r="R226" i="1"/>
  <c r="AX226" i="1" s="1"/>
  <c r="R218" i="1"/>
  <c r="AX218" i="1" s="1"/>
  <c r="R210" i="1"/>
  <c r="AX210" i="1" s="1"/>
  <c r="R202" i="1"/>
  <c r="AX202" i="1" s="1"/>
  <c r="R194" i="1"/>
  <c r="AX194" i="1" s="1"/>
  <c r="R186" i="1"/>
  <c r="R178" i="1"/>
  <c r="AX178" i="1" s="1"/>
  <c r="R170" i="1"/>
  <c r="AX170" i="1" s="1"/>
  <c r="R162" i="1"/>
  <c r="AX162" i="1" s="1"/>
  <c r="R154" i="1"/>
  <c r="AX154" i="1" s="1"/>
  <c r="R146" i="1"/>
  <c r="AX146" i="1" s="1"/>
  <c r="R138" i="1"/>
  <c r="AX138" i="1" s="1"/>
  <c r="R130" i="1"/>
  <c r="AX130" i="1" s="1"/>
  <c r="R122" i="1"/>
  <c r="R114" i="1"/>
  <c r="AX114" i="1" s="1"/>
  <c r="R106" i="1"/>
  <c r="AX106" i="1" s="1"/>
  <c r="R98" i="1"/>
  <c r="AX98" i="1" s="1"/>
  <c r="R90" i="1"/>
  <c r="AX90" i="1" s="1"/>
  <c r="R82" i="1"/>
  <c r="AX82" i="1" s="1"/>
  <c r="R74" i="1"/>
  <c r="AX74" i="1" s="1"/>
  <c r="R66" i="1"/>
  <c r="AX66" i="1" s="1"/>
  <c r="R58" i="1"/>
  <c r="R50" i="1"/>
  <c r="AX50" i="1" s="1"/>
  <c r="R42" i="1"/>
  <c r="AX42" i="1" s="1"/>
  <c r="R3" i="1"/>
  <c r="AX3" i="1" s="1"/>
  <c r="R219" i="1"/>
  <c r="AX219" i="1" s="1"/>
  <c r="R211" i="1"/>
  <c r="AX211" i="1" s="1"/>
  <c r="R203" i="1"/>
  <c r="AX203" i="1" s="1"/>
  <c r="R51" i="1"/>
  <c r="AX51" i="1" s="1"/>
  <c r="R43" i="1"/>
  <c r="R45" i="1"/>
  <c r="AX45" i="1" s="1"/>
  <c r="R37" i="1"/>
  <c r="AX37" i="1" s="1"/>
  <c r="R494" i="1"/>
  <c r="AX494" i="1" s="1"/>
  <c r="R486" i="1"/>
  <c r="AX486" i="1" s="1"/>
  <c r="R478" i="1"/>
  <c r="AX478" i="1" s="1"/>
  <c r="R470" i="1"/>
  <c r="AX470" i="1" s="1"/>
  <c r="R462" i="1"/>
  <c r="AX462" i="1" s="1"/>
  <c r="R454" i="1"/>
  <c r="R446" i="1"/>
  <c r="AX446" i="1" s="1"/>
  <c r="R438" i="1"/>
  <c r="AX438" i="1" s="1"/>
  <c r="R430" i="1"/>
  <c r="AX430" i="1" s="1"/>
  <c r="R422" i="1"/>
  <c r="AX422" i="1" s="1"/>
  <c r="R414" i="1"/>
  <c r="AX414" i="1" s="1"/>
  <c r="R406" i="1"/>
  <c r="AX406" i="1" s="1"/>
  <c r="R398" i="1"/>
  <c r="AX398" i="1" s="1"/>
  <c r="R390" i="1"/>
  <c r="R382" i="1"/>
  <c r="AX382" i="1" s="1"/>
  <c r="R374" i="1"/>
  <c r="AX374" i="1" s="1"/>
  <c r="R366" i="1"/>
  <c r="AX366" i="1" s="1"/>
  <c r="R358" i="1"/>
  <c r="AX358" i="1" s="1"/>
  <c r="R350" i="1"/>
  <c r="AX350" i="1" s="1"/>
  <c r="R342" i="1"/>
  <c r="AX342" i="1" s="1"/>
  <c r="R334" i="1"/>
  <c r="AX334" i="1" s="1"/>
  <c r="R326" i="1"/>
  <c r="R318" i="1"/>
  <c r="AX318" i="1" s="1"/>
  <c r="R310" i="1"/>
  <c r="AX310" i="1" s="1"/>
  <c r="R302" i="1"/>
  <c r="AX302" i="1" s="1"/>
  <c r="R294" i="1"/>
  <c r="AX294" i="1" s="1"/>
  <c r="R286" i="1"/>
  <c r="AX286" i="1" s="1"/>
  <c r="R278" i="1"/>
  <c r="AX278" i="1" s="1"/>
  <c r="R270" i="1"/>
  <c r="AX270" i="1" s="1"/>
  <c r="R262" i="1"/>
  <c r="R254" i="1"/>
  <c r="AX254" i="1" s="1"/>
  <c r="R246" i="1"/>
  <c r="AX246" i="1" s="1"/>
  <c r="R238" i="1"/>
  <c r="AX238" i="1" s="1"/>
  <c r="R230" i="1"/>
  <c r="AX230" i="1" s="1"/>
  <c r="R222" i="1"/>
  <c r="AX222" i="1" s="1"/>
  <c r="R214" i="1"/>
  <c r="AX214" i="1" s="1"/>
  <c r="R206" i="1"/>
  <c r="AX206" i="1" s="1"/>
  <c r="R198" i="1"/>
  <c r="R190" i="1"/>
  <c r="AX190" i="1" s="1"/>
  <c r="R182" i="1"/>
  <c r="AX182" i="1" s="1"/>
  <c r="R174" i="1"/>
  <c r="AX174" i="1" s="1"/>
  <c r="R166" i="1"/>
  <c r="AX166" i="1" s="1"/>
  <c r="R158" i="1"/>
  <c r="AX158" i="1" s="1"/>
  <c r="R150" i="1"/>
  <c r="AX150" i="1" s="1"/>
  <c r="R142" i="1"/>
  <c r="AX142" i="1" s="1"/>
  <c r="R134" i="1"/>
  <c r="R126" i="1"/>
  <c r="AX126" i="1" s="1"/>
  <c r="R118" i="1"/>
  <c r="AX118" i="1" s="1"/>
  <c r="R110" i="1"/>
  <c r="AX110" i="1" s="1"/>
  <c r="R102" i="1"/>
  <c r="AX102" i="1" s="1"/>
  <c r="R94" i="1"/>
  <c r="AX94" i="1" s="1"/>
  <c r="R86" i="1"/>
  <c r="AX86" i="1" s="1"/>
  <c r="R78" i="1"/>
  <c r="AX78" i="1" s="1"/>
  <c r="R70" i="1"/>
  <c r="R62" i="1"/>
  <c r="AX62" i="1" s="1"/>
  <c r="R54" i="1"/>
  <c r="AX54" i="1" s="1"/>
  <c r="R167" i="1"/>
  <c r="AX167" i="1" s="1"/>
  <c r="R159" i="1"/>
  <c r="AX159" i="1" s="1"/>
  <c r="R151" i="1"/>
  <c r="AX151" i="1" s="1"/>
  <c r="R143" i="1"/>
  <c r="AX143" i="1" s="1"/>
  <c r="R135" i="1"/>
  <c r="AX135" i="1" s="1"/>
  <c r="R127" i="1"/>
  <c r="R119" i="1"/>
  <c r="AX119" i="1" s="1"/>
  <c r="R111" i="1"/>
  <c r="AX111" i="1" s="1"/>
  <c r="R103" i="1"/>
  <c r="AX103" i="1" s="1"/>
  <c r="R79" i="1"/>
  <c r="AX79" i="1" s="1"/>
  <c r="R71" i="1"/>
  <c r="AX71" i="1" s="1"/>
  <c r="R34" i="1"/>
  <c r="AX34" i="1" s="1"/>
  <c r="R32" i="1"/>
  <c r="AX32" i="1" s="1"/>
  <c r="R30" i="1"/>
  <c r="R28" i="1"/>
  <c r="AX28" i="1" s="1"/>
  <c r="R26" i="1"/>
  <c r="AX26" i="1" s="1"/>
  <c r="R24" i="1"/>
  <c r="AX24" i="1" s="1"/>
  <c r="R22" i="1"/>
  <c r="AX22" i="1" s="1"/>
  <c r="R20" i="1"/>
  <c r="AX20" i="1" s="1"/>
  <c r="R18" i="1"/>
  <c r="AX18" i="1" s="1"/>
  <c r="R16" i="1"/>
  <c r="AX16" i="1" s="1"/>
  <c r="R14" i="1"/>
  <c r="R12" i="1"/>
  <c r="AX12" i="1" s="1"/>
  <c r="R10" i="1"/>
  <c r="AX10" i="1" s="1"/>
  <c r="R8" i="1"/>
  <c r="AX8" i="1" s="1"/>
  <c r="R6" i="1"/>
  <c r="AX6" i="1" s="1"/>
  <c r="R4" i="1"/>
  <c r="AX4" i="1" s="1"/>
  <c r="R496" i="1"/>
  <c r="AX496" i="1" s="1"/>
  <c r="R488" i="1"/>
  <c r="AX488" i="1" s="1"/>
  <c r="R480" i="1"/>
  <c r="R472" i="1"/>
  <c r="AX472" i="1" s="1"/>
  <c r="R464" i="1"/>
  <c r="AX464" i="1" s="1"/>
  <c r="R456" i="1"/>
  <c r="AX456" i="1" s="1"/>
  <c r="R448" i="1"/>
  <c r="AX448" i="1" s="1"/>
  <c r="R440" i="1"/>
  <c r="AX440" i="1" s="1"/>
  <c r="R432" i="1"/>
  <c r="AX432" i="1" s="1"/>
  <c r="R424" i="1"/>
  <c r="AX424" i="1" s="1"/>
  <c r="R416" i="1"/>
  <c r="R408" i="1"/>
  <c r="AX408" i="1" s="1"/>
  <c r="R400" i="1"/>
  <c r="AX400" i="1" s="1"/>
  <c r="R392" i="1"/>
  <c r="AX392" i="1" s="1"/>
  <c r="R384" i="1"/>
  <c r="AX384" i="1" s="1"/>
  <c r="R376" i="1"/>
  <c r="AX376" i="1" s="1"/>
  <c r="R368" i="1"/>
  <c r="AX368" i="1" s="1"/>
  <c r="R360" i="1"/>
  <c r="AX360" i="1" s="1"/>
  <c r="R352" i="1"/>
  <c r="R344" i="1"/>
  <c r="AX344" i="1" s="1"/>
  <c r="R336" i="1"/>
  <c r="AX336" i="1" s="1"/>
  <c r="R328" i="1"/>
  <c r="AX328" i="1" s="1"/>
  <c r="R320" i="1"/>
  <c r="AX320" i="1" s="1"/>
  <c r="R312" i="1"/>
  <c r="AX312" i="1" s="1"/>
  <c r="R304" i="1"/>
  <c r="AX304" i="1" s="1"/>
  <c r="R296" i="1"/>
  <c r="AX296" i="1" s="1"/>
  <c r="R288" i="1"/>
  <c r="R280" i="1"/>
  <c r="AX280" i="1" s="1"/>
  <c r="R272" i="1"/>
  <c r="AX272" i="1" s="1"/>
  <c r="R264" i="1"/>
  <c r="AX264" i="1" s="1"/>
  <c r="R256" i="1"/>
  <c r="AX256" i="1" s="1"/>
  <c r="R248" i="1"/>
  <c r="AX248" i="1" s="1"/>
  <c r="R240" i="1"/>
  <c r="AX240" i="1" s="1"/>
  <c r="R232" i="1"/>
  <c r="AX232" i="1" s="1"/>
  <c r="R224" i="1"/>
  <c r="R216" i="1"/>
  <c r="AX216" i="1" s="1"/>
  <c r="R208" i="1"/>
  <c r="AX208" i="1" s="1"/>
  <c r="R200" i="1"/>
  <c r="AX200" i="1" s="1"/>
  <c r="R192" i="1"/>
  <c r="AX192" i="1" s="1"/>
  <c r="R184" i="1"/>
  <c r="AX184" i="1" s="1"/>
  <c r="R176" i="1"/>
  <c r="AX176" i="1" s="1"/>
  <c r="R168" i="1"/>
  <c r="AX168" i="1" s="1"/>
  <c r="R160" i="1"/>
  <c r="R152" i="1"/>
  <c r="AX152" i="1" s="1"/>
  <c r="R144" i="1"/>
  <c r="AX144" i="1" s="1"/>
  <c r="R136" i="1"/>
  <c r="AX136" i="1" s="1"/>
  <c r="R128" i="1"/>
  <c r="AX128" i="1" s="1"/>
  <c r="R96" i="1"/>
  <c r="AX96" i="1" s="1"/>
  <c r="R88" i="1"/>
  <c r="AX88" i="1" s="1"/>
  <c r="R80" i="1"/>
  <c r="AX80" i="1" s="1"/>
  <c r="R72" i="1"/>
  <c r="R64" i="1"/>
  <c r="AX64" i="1" s="1"/>
  <c r="R56" i="1"/>
  <c r="AX56" i="1" s="1"/>
  <c r="R48" i="1"/>
  <c r="AX48" i="1" s="1"/>
  <c r="R40" i="1"/>
  <c r="AX40" i="1" s="1"/>
  <c r="AV3" i="1"/>
  <c r="H13" i="2" s="1"/>
  <c r="AR3" i="1"/>
  <c r="R8" i="2" s="1"/>
  <c r="AT3" i="1"/>
  <c r="V8" i="2" s="1"/>
  <c r="AS3" i="1"/>
  <c r="T8" i="2" s="1"/>
  <c r="AH3" i="1"/>
  <c r="N8" i="2" s="1"/>
  <c r="AQ3" i="1"/>
  <c r="P8" i="2" s="1"/>
  <c r="AG3" i="1"/>
  <c r="L8" i="2" s="1"/>
  <c r="AE2" i="1"/>
  <c r="H8" i="2" s="1"/>
  <c r="Z370" i="1"/>
  <c r="AA442" i="1"/>
  <c r="AA378" i="1"/>
  <c r="AA314" i="1"/>
  <c r="AA250" i="1"/>
  <c r="AA186" i="1"/>
  <c r="AA122" i="1"/>
  <c r="AA58" i="1"/>
  <c r="AA498" i="1"/>
  <c r="AA434" i="1"/>
  <c r="AA306" i="1"/>
  <c r="AA242" i="1"/>
  <c r="AA178" i="1"/>
  <c r="AA114" i="1"/>
  <c r="AA50" i="1"/>
  <c r="AA490" i="1"/>
  <c r="AA426" i="1"/>
  <c r="AA362" i="1"/>
  <c r="AA298" i="1"/>
  <c r="AA234" i="1"/>
  <c r="AA170" i="1"/>
  <c r="AA106" i="1"/>
  <c r="AA42" i="1"/>
  <c r="AA482" i="1"/>
  <c r="AA418" i="1"/>
  <c r="AA354" i="1"/>
  <c r="AA290" i="1"/>
  <c r="AA226" i="1"/>
  <c r="AA162" i="1"/>
  <c r="AA98" i="1"/>
  <c r="AA34" i="1"/>
  <c r="AA474" i="1"/>
  <c r="AA410" i="1"/>
  <c r="AA346" i="1"/>
  <c r="AA282" i="1"/>
  <c r="AA218" i="1"/>
  <c r="AA154" i="1"/>
  <c r="AA90" i="1"/>
  <c r="AA26" i="1"/>
  <c r="AA466" i="1"/>
  <c r="AA402" i="1"/>
  <c r="AA338" i="1"/>
  <c r="AA274" i="1"/>
  <c r="AA210" i="1"/>
  <c r="AA146" i="1"/>
  <c r="AA82" i="1"/>
  <c r="AA18" i="1"/>
  <c r="AA458" i="1"/>
  <c r="AA394" i="1"/>
  <c r="AA330" i="1"/>
  <c r="AA266" i="1"/>
  <c r="AA202" i="1"/>
  <c r="AA138" i="1"/>
  <c r="AA74" i="1"/>
  <c r="AA10" i="1"/>
  <c r="AA450" i="1"/>
  <c r="AA386" i="1"/>
  <c r="AA322" i="1"/>
  <c r="AA258" i="1"/>
  <c r="AA194" i="1"/>
  <c r="AA130" i="1"/>
  <c r="AA66" i="1"/>
  <c r="AA499" i="1"/>
  <c r="AA491" i="1"/>
  <c r="AA483" i="1"/>
  <c r="AA475" i="1"/>
  <c r="AA467" i="1"/>
  <c r="AA459" i="1"/>
  <c r="AA451" i="1"/>
  <c r="AA443" i="1"/>
  <c r="AA435" i="1"/>
  <c r="AA427" i="1"/>
  <c r="AA419" i="1"/>
  <c r="AA411" i="1"/>
  <c r="AA403" i="1"/>
  <c r="AA395" i="1"/>
  <c r="AA387" i="1"/>
  <c r="AA379" i="1"/>
  <c r="AA371" i="1"/>
  <c r="AA363" i="1"/>
  <c r="AA355" i="1"/>
  <c r="AA347" i="1"/>
  <c r="AA473" i="1"/>
  <c r="AA465" i="1"/>
  <c r="AA457" i="1"/>
  <c r="AA449" i="1"/>
  <c r="AA441" i="1"/>
  <c r="AA433" i="1"/>
  <c r="AA425" i="1"/>
  <c r="AA417" i="1"/>
  <c r="AA409" i="1"/>
  <c r="AA401" i="1"/>
  <c r="AA393" i="1"/>
  <c r="AA385" i="1"/>
  <c r="AA377" i="1"/>
  <c r="AA369" i="1"/>
  <c r="AA361" i="1"/>
  <c r="AA353" i="1"/>
  <c r="AA233" i="1"/>
  <c r="AA225" i="1"/>
  <c r="AA217" i="1"/>
  <c r="AA209" i="1"/>
  <c r="AA201" i="1"/>
  <c r="AA193" i="1"/>
  <c r="AA185" i="1"/>
  <c r="AA177" i="1"/>
  <c r="AA169" i="1"/>
  <c r="AA161" i="1"/>
  <c r="AA153" i="1"/>
  <c r="AA145" i="1"/>
  <c r="AA137" i="1"/>
  <c r="AA129" i="1"/>
  <c r="AA121" i="1"/>
  <c r="AA113" i="1"/>
  <c r="AA105" i="1"/>
  <c r="AA97" i="1"/>
  <c r="AA89" i="1"/>
  <c r="AA81" i="1"/>
  <c r="AA73" i="1"/>
  <c r="AA65" i="1"/>
  <c r="AA57" i="1"/>
  <c r="AA49" i="1"/>
  <c r="AA41" i="1"/>
  <c r="AA33" i="1"/>
  <c r="AA25" i="1"/>
  <c r="AA17" i="1"/>
  <c r="AA9" i="1"/>
  <c r="AA496" i="1"/>
  <c r="AA488" i="1"/>
  <c r="AA480" i="1"/>
  <c r="AA472" i="1"/>
  <c r="AA464" i="1"/>
  <c r="AA456" i="1"/>
  <c r="AA448" i="1"/>
  <c r="AA440" i="1"/>
  <c r="AA432" i="1"/>
  <c r="AA424" i="1"/>
  <c r="AA416" i="1"/>
  <c r="AA408" i="1"/>
  <c r="AA400" i="1"/>
  <c r="AA392" i="1"/>
  <c r="AA384" i="1"/>
  <c r="AA376" i="1"/>
  <c r="AA368" i="1"/>
  <c r="AA360" i="1"/>
  <c r="AA352" i="1"/>
  <c r="AA344" i="1"/>
  <c r="AA336" i="1"/>
  <c r="AA328" i="1"/>
  <c r="AA320" i="1"/>
  <c r="AA312" i="1"/>
  <c r="AA304" i="1"/>
  <c r="AA296" i="1"/>
  <c r="AA288" i="1"/>
  <c r="AA280" i="1"/>
  <c r="AA272" i="1"/>
  <c r="AA264" i="1"/>
  <c r="AA256" i="1"/>
  <c r="AA248" i="1"/>
  <c r="AA240" i="1"/>
  <c r="AA232" i="1"/>
  <c r="AA216" i="1"/>
  <c r="AA192" i="1"/>
  <c r="AA184" i="1"/>
  <c r="AA176" i="1"/>
  <c r="AA168" i="1"/>
  <c r="AA160" i="1"/>
  <c r="AA152" i="1"/>
  <c r="AA144" i="1"/>
  <c r="AA136" i="1"/>
  <c r="AA128" i="1"/>
  <c r="AA120" i="1"/>
  <c r="AA112" i="1"/>
  <c r="AA104" i="1"/>
  <c r="AA96" i="1"/>
  <c r="AA88" i="1"/>
  <c r="AA80" i="1"/>
  <c r="AA72" i="1"/>
  <c r="AA64" i="1"/>
  <c r="AA56" i="1"/>
  <c r="AA48" i="1"/>
  <c r="AA40" i="1"/>
  <c r="AA32" i="1"/>
  <c r="AA24" i="1"/>
  <c r="AA16" i="1"/>
  <c r="AA8" i="1"/>
  <c r="AA495" i="1"/>
  <c r="AA487" i="1"/>
  <c r="AA479" i="1"/>
  <c r="AA471" i="1"/>
  <c r="AA463" i="1"/>
  <c r="AA455" i="1"/>
  <c r="AA447" i="1"/>
  <c r="AA439" i="1"/>
  <c r="AA431" i="1"/>
  <c r="AA423" i="1"/>
  <c r="AA415" i="1"/>
  <c r="AA407" i="1"/>
  <c r="AA399" i="1"/>
  <c r="AA391" i="1"/>
  <c r="AA383" i="1"/>
  <c r="AA375" i="1"/>
  <c r="AA367" i="1"/>
  <c r="AA359" i="1"/>
  <c r="AA351" i="1"/>
  <c r="AA247" i="1"/>
  <c r="AA47" i="1"/>
  <c r="AA494" i="1"/>
  <c r="AA486" i="1"/>
  <c r="AA478" i="1"/>
  <c r="AA470" i="1"/>
  <c r="AA462" i="1"/>
  <c r="AA454" i="1"/>
  <c r="AA446" i="1"/>
  <c r="AA438" i="1"/>
  <c r="AA430" i="1"/>
  <c r="AA422" i="1"/>
  <c r="AA414" i="1"/>
  <c r="AA406" i="1"/>
  <c r="AA398" i="1"/>
  <c r="AA390" i="1"/>
  <c r="AA382" i="1"/>
  <c r="AA374" i="1"/>
  <c r="AA366" i="1"/>
  <c r="AA358" i="1"/>
  <c r="AA350" i="1"/>
  <c r="AA342" i="1"/>
  <c r="AA334" i="1"/>
  <c r="AA326" i="1"/>
  <c r="AA318" i="1"/>
  <c r="AA310" i="1"/>
  <c r="AA302" i="1"/>
  <c r="AA294" i="1"/>
  <c r="AA286" i="1"/>
  <c r="AA278" i="1"/>
  <c r="AA270" i="1"/>
  <c r="AA262" i="1"/>
  <c r="AA254" i="1"/>
  <c r="AA246" i="1"/>
  <c r="AA238" i="1"/>
  <c r="AA230" i="1"/>
  <c r="AA222" i="1"/>
  <c r="AA214" i="1"/>
  <c r="AA206" i="1"/>
  <c r="AA198" i="1"/>
  <c r="AA190" i="1"/>
  <c r="AA182" i="1"/>
  <c r="AA174" i="1"/>
  <c r="AA166" i="1"/>
  <c r="AA158" i="1"/>
  <c r="AA150" i="1"/>
  <c r="AA142" i="1"/>
  <c r="AA134" i="1"/>
  <c r="AA126" i="1"/>
  <c r="AA118" i="1"/>
  <c r="AA110" i="1"/>
  <c r="AA102" i="1"/>
  <c r="AA94" i="1"/>
  <c r="AA86" i="1"/>
  <c r="AA78" i="1"/>
  <c r="AA70" i="1"/>
  <c r="AA62" i="1"/>
  <c r="AA54" i="1"/>
  <c r="AA46" i="1"/>
  <c r="AA38" i="1"/>
  <c r="AA30" i="1"/>
  <c r="AA22" i="1"/>
  <c r="AA14" i="1"/>
  <c r="AA6" i="1"/>
  <c r="AA493" i="1"/>
  <c r="AA485" i="1"/>
  <c r="AA477" i="1"/>
  <c r="AA469" i="1"/>
  <c r="AA461" i="1"/>
  <c r="AA453" i="1"/>
  <c r="AA445" i="1"/>
  <c r="AA437" i="1"/>
  <c r="AA413" i="1"/>
  <c r="AA405" i="1"/>
  <c r="AA397" i="1"/>
  <c r="AA389" i="1"/>
  <c r="AA381" i="1"/>
  <c r="AA373" i="1"/>
  <c r="AA365" i="1"/>
  <c r="AA357" i="1"/>
  <c r="AA349" i="1"/>
  <c r="AA237" i="1"/>
  <c r="AA229" i="1"/>
  <c r="AA221" i="1"/>
  <c r="AA213" i="1"/>
  <c r="AA205" i="1"/>
  <c r="AA197" i="1"/>
  <c r="AA189" i="1"/>
  <c r="AA181" i="1"/>
  <c r="AA173" i="1"/>
  <c r="AA165" i="1"/>
  <c r="AA157" i="1"/>
  <c r="AA149" i="1"/>
  <c r="AA141" i="1"/>
  <c r="AA133" i="1"/>
  <c r="AA125" i="1"/>
  <c r="AA117" i="1"/>
  <c r="AA109" i="1"/>
  <c r="AA101" i="1"/>
  <c r="AA93" i="1"/>
  <c r="AA85" i="1"/>
  <c r="AA77" i="1"/>
  <c r="AA69" i="1"/>
  <c r="AA61" i="1"/>
  <c r="AA53" i="1"/>
  <c r="AA45" i="1"/>
  <c r="AA37" i="1"/>
  <c r="AA29" i="1"/>
  <c r="AA21" i="1"/>
  <c r="AA13" i="1"/>
  <c r="AA5" i="1"/>
  <c r="AA500" i="1"/>
  <c r="AA492" i="1"/>
  <c r="AA484" i="1"/>
  <c r="AA476" i="1"/>
  <c r="AA468" i="1"/>
  <c r="AA460" i="1"/>
  <c r="AA452" i="1"/>
  <c r="AA444" i="1"/>
  <c r="AA436" i="1"/>
  <c r="AA428" i="1"/>
  <c r="AA420" i="1"/>
  <c r="AA412" i="1"/>
  <c r="AA404" i="1"/>
  <c r="AA396" i="1"/>
  <c r="AA388" i="1"/>
  <c r="AA380" i="1"/>
  <c r="AA372" i="1"/>
  <c r="AA364" i="1"/>
  <c r="AA356" i="1"/>
  <c r="AA348" i="1"/>
  <c r="AA332" i="1"/>
  <c r="AA300" i="1"/>
  <c r="AA284" i="1"/>
  <c r="AA268" i="1"/>
  <c r="AA260" i="1"/>
  <c r="AA252" i="1"/>
  <c r="AA236" i="1"/>
  <c r="AA228" i="1"/>
  <c r="AA220" i="1"/>
  <c r="AA212" i="1"/>
  <c r="AA204" i="1"/>
  <c r="AA196" i="1"/>
  <c r="AA188" i="1"/>
  <c r="AA180" i="1"/>
  <c r="AA172" i="1"/>
  <c r="AA164" i="1"/>
  <c r="AA156" i="1"/>
  <c r="AA148" i="1"/>
  <c r="AA140" i="1"/>
  <c r="AA132" i="1"/>
  <c r="AA124" i="1"/>
  <c r="AA116" i="1"/>
  <c r="AA108" i="1"/>
  <c r="AA100" i="1"/>
  <c r="AA92" i="1"/>
  <c r="AA84" i="1"/>
  <c r="AA76" i="1"/>
  <c r="AA68" i="1"/>
  <c r="AA60" i="1"/>
  <c r="AA52" i="1"/>
  <c r="AA44" i="1"/>
  <c r="AA36" i="1"/>
  <c r="AA28" i="1"/>
  <c r="AA20" i="1"/>
  <c r="AA12" i="1"/>
  <c r="AA4" i="1"/>
  <c r="AA3" i="1"/>
  <c r="Z339" i="1"/>
  <c r="Z331" i="1"/>
  <c r="Z323" i="1"/>
  <c r="Z315" i="1"/>
  <c r="Z307" i="1"/>
  <c r="Z299" i="1"/>
  <c r="Z291" i="1"/>
  <c r="Z283" i="1"/>
  <c r="Z275" i="1"/>
  <c r="Z267" i="1"/>
  <c r="Z259" i="1"/>
  <c r="Z251" i="1"/>
  <c r="Z243" i="1"/>
  <c r="Z235" i="1"/>
  <c r="Z227" i="1"/>
  <c r="Z219" i="1"/>
  <c r="Z211" i="1"/>
  <c r="Z203" i="1"/>
  <c r="Z195" i="1"/>
  <c r="Z187" i="1"/>
  <c r="Z179" i="1"/>
  <c r="Z171" i="1"/>
  <c r="Z163" i="1"/>
  <c r="Z155" i="1"/>
  <c r="Z147" i="1"/>
  <c r="Z139" i="1"/>
  <c r="Z131" i="1"/>
  <c r="Z123" i="1"/>
  <c r="Z115" i="1"/>
  <c r="Z107" i="1"/>
  <c r="Z99" i="1"/>
  <c r="Z91" i="1"/>
  <c r="Z83" i="1"/>
  <c r="Z75" i="1"/>
  <c r="Z67" i="1"/>
  <c r="Z59" i="1"/>
  <c r="Z51" i="1"/>
  <c r="Z43" i="1"/>
  <c r="Z35" i="1"/>
  <c r="Z27" i="1"/>
  <c r="Z19" i="1"/>
  <c r="Z11" i="1"/>
  <c r="Z497" i="1"/>
  <c r="Z489" i="1"/>
  <c r="Z481" i="1"/>
  <c r="Z345" i="1"/>
  <c r="Z337" i="1"/>
  <c r="Z329" i="1"/>
  <c r="Z321" i="1"/>
  <c r="Z313" i="1"/>
  <c r="Z305" i="1"/>
  <c r="Z297" i="1"/>
  <c r="Z289" i="1"/>
  <c r="Z281" i="1"/>
  <c r="Z273" i="1"/>
  <c r="Z265" i="1"/>
  <c r="Z257" i="1"/>
  <c r="Z249" i="1"/>
  <c r="Z241" i="1"/>
  <c r="Z224" i="1"/>
  <c r="Z208" i="1"/>
  <c r="Z200" i="1"/>
  <c r="Z343" i="1"/>
  <c r="Z335" i="1"/>
  <c r="Z327" i="1"/>
  <c r="Z319" i="1"/>
  <c r="Z311" i="1"/>
  <c r="Z303" i="1"/>
  <c r="Z295" i="1"/>
  <c r="Z287" i="1"/>
  <c r="Z279" i="1"/>
  <c r="Z271" i="1"/>
  <c r="Z263" i="1"/>
  <c r="Z255" i="1"/>
  <c r="Z239" i="1"/>
  <c r="Z231" i="1"/>
  <c r="Z223" i="1"/>
  <c r="Z215" i="1"/>
  <c r="Z207" i="1"/>
  <c r="Z199" i="1"/>
  <c r="Z191" i="1"/>
  <c r="Z183" i="1"/>
  <c r="Z175" i="1"/>
  <c r="Z167" i="1"/>
  <c r="Z159" i="1"/>
  <c r="Z151" i="1"/>
  <c r="Z143" i="1"/>
  <c r="Z135" i="1"/>
  <c r="Z127" i="1"/>
  <c r="Z119" i="1"/>
  <c r="Z111" i="1"/>
  <c r="Z103" i="1"/>
  <c r="Z95" i="1"/>
  <c r="Z87" i="1"/>
  <c r="Z79" i="1"/>
  <c r="Z71" i="1"/>
  <c r="Z63" i="1"/>
  <c r="Z55" i="1"/>
  <c r="Z39" i="1"/>
  <c r="Z31" i="1"/>
  <c r="Z23" i="1"/>
  <c r="Z15" i="1"/>
  <c r="Z7" i="1"/>
  <c r="Z429" i="1"/>
  <c r="Z421" i="1"/>
  <c r="Z341" i="1"/>
  <c r="Z333" i="1"/>
  <c r="Z325" i="1"/>
  <c r="Z317" i="1"/>
  <c r="Z309" i="1"/>
  <c r="Z301" i="1"/>
  <c r="Z293" i="1"/>
  <c r="Z285" i="1"/>
  <c r="Z277" i="1"/>
  <c r="Z269" i="1"/>
  <c r="Z261" i="1"/>
  <c r="Z253" i="1"/>
  <c r="Z245" i="1"/>
  <c r="Z340" i="1"/>
  <c r="Z324" i="1"/>
  <c r="Z316" i="1"/>
  <c r="Z308" i="1"/>
  <c r="Z292" i="1"/>
  <c r="Z276" i="1"/>
  <c r="Z244" i="1"/>
  <c r="P58" i="1"/>
  <c r="Q58" i="1" s="1"/>
  <c r="BC58" i="1" s="1"/>
  <c r="BD58" i="1" s="1"/>
  <c r="U243" i="1"/>
  <c r="S498" i="1"/>
  <c r="U240" i="1"/>
  <c r="U214" i="1"/>
  <c r="P245" i="1"/>
  <c r="Q245" i="1" s="1"/>
  <c r="BC245" i="1" s="1"/>
  <c r="BD245" i="1" s="1"/>
  <c r="U242" i="1"/>
  <c r="U498" i="1"/>
  <c r="T139" i="1"/>
  <c r="AZ139" i="1" s="1"/>
  <c r="T474" i="1"/>
  <c r="AZ474" i="1" s="1"/>
  <c r="P359" i="1"/>
  <c r="Q359" i="1" s="1"/>
  <c r="BC359" i="1" s="1"/>
  <c r="BD359" i="1" s="1"/>
  <c r="U157" i="1"/>
  <c r="U127" i="1"/>
  <c r="U303" i="1"/>
  <c r="U277" i="1"/>
  <c r="T157" i="1"/>
  <c r="AZ157" i="1" s="1"/>
  <c r="P127" i="1"/>
  <c r="Q127" i="1" s="1"/>
  <c r="BC127" i="1" s="1"/>
  <c r="BD127" i="1" s="1"/>
  <c r="U245" i="1"/>
  <c r="U410" i="1"/>
  <c r="U409" i="1"/>
  <c r="U299" i="1"/>
  <c r="T277" i="1"/>
  <c r="AZ277" i="1" s="1"/>
  <c r="T409" i="1"/>
  <c r="AZ409" i="1" s="1"/>
  <c r="U400" i="1"/>
  <c r="P299" i="1"/>
  <c r="Q299" i="1" s="1"/>
  <c r="BC299" i="1" s="1"/>
  <c r="BD299" i="1" s="1"/>
  <c r="T297" i="1"/>
  <c r="AZ297" i="1" s="1"/>
  <c r="U9" i="1"/>
  <c r="T460" i="1"/>
  <c r="AZ460" i="1" s="1"/>
  <c r="U442" i="1"/>
  <c r="U352" i="1"/>
  <c r="T305" i="1"/>
  <c r="AZ305" i="1" s="1"/>
  <c r="T442" i="1"/>
  <c r="AZ442" i="1" s="1"/>
  <c r="U374" i="1"/>
  <c r="P352" i="1"/>
  <c r="Q352" i="1" s="1"/>
  <c r="BC352" i="1" s="1"/>
  <c r="BD352" i="1" s="1"/>
  <c r="P305" i="1"/>
  <c r="Q305" i="1" s="1"/>
  <c r="BC305" i="1" s="1"/>
  <c r="BD305" i="1" s="1"/>
  <c r="U22" i="1"/>
  <c r="T490" i="1"/>
  <c r="AZ490" i="1" s="1"/>
  <c r="T374" i="1"/>
  <c r="AZ374" i="1" s="1"/>
  <c r="T166" i="1"/>
  <c r="AZ166" i="1" s="1"/>
  <c r="U252" i="1"/>
  <c r="T135" i="1"/>
  <c r="AZ135" i="1" s="1"/>
  <c r="U112" i="1"/>
  <c r="P490" i="1"/>
  <c r="Q490" i="1" s="1"/>
  <c r="BC490" i="1" s="1"/>
  <c r="BD490" i="1" s="1"/>
  <c r="P227" i="1"/>
  <c r="Q227" i="1" s="1"/>
  <c r="BC227" i="1" s="1"/>
  <c r="BD227" i="1" s="1"/>
  <c r="T226" i="1"/>
  <c r="AZ226" i="1" s="1"/>
  <c r="P141" i="1"/>
  <c r="Q141" i="1" s="1"/>
  <c r="BC141" i="1" s="1"/>
  <c r="BD141" i="1" s="1"/>
  <c r="U139" i="1"/>
  <c r="P135" i="1"/>
  <c r="Q135" i="1" s="1"/>
  <c r="BC135" i="1" s="1"/>
  <c r="BD135" i="1" s="1"/>
  <c r="P112" i="1"/>
  <c r="Q112" i="1" s="1"/>
  <c r="BC112" i="1" s="1"/>
  <c r="BD112" i="1" s="1"/>
  <c r="U102" i="1"/>
  <c r="U58" i="1"/>
  <c r="T342" i="1"/>
  <c r="AZ342" i="1" s="1"/>
  <c r="U239" i="1"/>
  <c r="U38" i="1"/>
  <c r="P430" i="1"/>
  <c r="Q430" i="1" s="1"/>
  <c r="BC430" i="1" s="1"/>
  <c r="BD430" i="1" s="1"/>
  <c r="P384" i="1"/>
  <c r="Q384" i="1" s="1"/>
  <c r="BC384" i="1" s="1"/>
  <c r="BD384" i="1" s="1"/>
  <c r="T344" i="1"/>
  <c r="AZ344" i="1" s="1"/>
  <c r="P342" i="1"/>
  <c r="Q342" i="1" s="1"/>
  <c r="BC342" i="1" s="1"/>
  <c r="BD342" i="1" s="1"/>
  <c r="P341" i="1"/>
  <c r="Q341" i="1" s="1"/>
  <c r="BC341" i="1" s="1"/>
  <c r="BD341" i="1" s="1"/>
  <c r="P239" i="1"/>
  <c r="Q239" i="1" s="1"/>
  <c r="BC239" i="1" s="1"/>
  <c r="BD239" i="1" s="1"/>
  <c r="U172" i="1"/>
  <c r="P151" i="1"/>
  <c r="U150" i="1"/>
  <c r="P70" i="1"/>
  <c r="Q70" i="1" s="1"/>
  <c r="BC70" i="1" s="1"/>
  <c r="BD70" i="1" s="1"/>
  <c r="P42" i="1"/>
  <c r="Q42" i="1" s="1"/>
  <c r="BC42" i="1" s="1"/>
  <c r="BD42" i="1" s="1"/>
  <c r="T40" i="1"/>
  <c r="AZ40" i="1" s="1"/>
  <c r="T38" i="1"/>
  <c r="AZ38" i="1" s="1"/>
  <c r="T151" i="1"/>
  <c r="AZ151" i="1" s="1"/>
  <c r="U70" i="1"/>
  <c r="T444" i="1"/>
  <c r="AZ444" i="1" s="1"/>
  <c r="U346" i="1"/>
  <c r="P230" i="1"/>
  <c r="Q230" i="1" s="1"/>
  <c r="BC230" i="1" s="1"/>
  <c r="BD230" i="1" s="1"/>
  <c r="U178" i="1"/>
  <c r="T150" i="1"/>
  <c r="AZ150" i="1" s="1"/>
  <c r="T97" i="1"/>
  <c r="AZ97" i="1" s="1"/>
  <c r="U92" i="1"/>
  <c r="U25" i="1"/>
  <c r="P22" i="1"/>
  <c r="Q22" i="1" s="1"/>
  <c r="BC22" i="1" s="1"/>
  <c r="BD22" i="1" s="1"/>
  <c r="T9" i="1"/>
  <c r="AZ9" i="1" s="1"/>
  <c r="T499" i="1"/>
  <c r="AZ499" i="1" s="1"/>
  <c r="T452" i="1"/>
  <c r="AZ452" i="1" s="1"/>
  <c r="T402" i="1"/>
  <c r="AZ402" i="1" s="1"/>
  <c r="P400" i="1"/>
  <c r="Q400" i="1" s="1"/>
  <c r="BC400" i="1" s="1"/>
  <c r="BD400" i="1" s="1"/>
  <c r="T222" i="1"/>
  <c r="AZ222" i="1" s="1"/>
  <c r="T163" i="1"/>
  <c r="AZ163" i="1" s="1"/>
  <c r="T105" i="1"/>
  <c r="AZ105" i="1" s="1"/>
  <c r="P104" i="1"/>
  <c r="Q104" i="1" s="1"/>
  <c r="BC104" i="1" s="1"/>
  <c r="BD104" i="1" s="1"/>
  <c r="P25" i="1"/>
  <c r="U455" i="1"/>
  <c r="T454" i="1"/>
  <c r="AZ454" i="1" s="1"/>
  <c r="U451" i="1"/>
  <c r="P424" i="1"/>
  <c r="Q424" i="1" s="1"/>
  <c r="BC424" i="1" s="1"/>
  <c r="BD424" i="1" s="1"/>
  <c r="P423" i="1"/>
  <c r="Q423" i="1" s="1"/>
  <c r="BC423" i="1" s="1"/>
  <c r="BD423" i="1" s="1"/>
  <c r="U422" i="1"/>
  <c r="P367" i="1"/>
  <c r="Q367" i="1" s="1"/>
  <c r="BC367" i="1" s="1"/>
  <c r="BD367" i="1" s="1"/>
  <c r="U322" i="1"/>
  <c r="U167" i="1"/>
  <c r="U436" i="1"/>
  <c r="T353" i="1"/>
  <c r="AZ353" i="1" s="1"/>
  <c r="P297" i="1"/>
  <c r="Q297" i="1" s="1"/>
  <c r="BC297" i="1" s="1"/>
  <c r="BD297" i="1" s="1"/>
  <c r="U10" i="1"/>
  <c r="T436" i="1"/>
  <c r="AZ436" i="1" s="1"/>
  <c r="U434" i="1"/>
  <c r="P418" i="1"/>
  <c r="Q418" i="1" s="1"/>
  <c r="BC418" i="1" s="1"/>
  <c r="BD418" i="1" s="1"/>
  <c r="P353" i="1"/>
  <c r="Q353" i="1" s="1"/>
  <c r="BC353" i="1" s="1"/>
  <c r="BD353" i="1" s="1"/>
  <c r="T322" i="1"/>
  <c r="AZ322" i="1" s="1"/>
  <c r="P314" i="1"/>
  <c r="Q314" i="1" s="1"/>
  <c r="BC314" i="1" s="1"/>
  <c r="BD314" i="1" s="1"/>
  <c r="U296" i="1"/>
  <c r="U294" i="1"/>
  <c r="T289" i="1"/>
  <c r="AZ289" i="1" s="1"/>
  <c r="T216" i="1"/>
  <c r="AZ216" i="1" s="1"/>
  <c r="P214" i="1"/>
  <c r="Q214" i="1" s="1"/>
  <c r="BC214" i="1" s="1"/>
  <c r="BD214" i="1" s="1"/>
  <c r="T202" i="1"/>
  <c r="AZ202" i="1" s="1"/>
  <c r="T194" i="1"/>
  <c r="AZ194" i="1" s="1"/>
  <c r="U130" i="1"/>
  <c r="T66" i="1"/>
  <c r="AZ66" i="1" s="1"/>
  <c r="U46" i="1"/>
  <c r="U452" i="1"/>
  <c r="P434" i="1"/>
  <c r="Q434" i="1" s="1"/>
  <c r="BC434" i="1" s="1"/>
  <c r="BD434" i="1" s="1"/>
  <c r="U431" i="1"/>
  <c r="T430" i="1"/>
  <c r="AZ430" i="1" s="1"/>
  <c r="U359" i="1"/>
  <c r="U347" i="1"/>
  <c r="U344" i="1"/>
  <c r="P289" i="1"/>
  <c r="Q289" i="1" s="1"/>
  <c r="BC289" i="1" s="1"/>
  <c r="BD289" i="1" s="1"/>
  <c r="U222" i="1"/>
  <c r="U149" i="1"/>
  <c r="P66" i="1"/>
  <c r="Q66" i="1" s="1"/>
  <c r="BC66" i="1" s="1"/>
  <c r="BD66" i="1" s="1"/>
  <c r="T48" i="1"/>
  <c r="AZ48" i="1" s="1"/>
  <c r="P46" i="1"/>
  <c r="Q46" i="1" s="1"/>
  <c r="BC46" i="1" s="1"/>
  <c r="BD46" i="1" s="1"/>
  <c r="P321" i="1"/>
  <c r="Q321" i="1" s="1"/>
  <c r="BC321" i="1" s="1"/>
  <c r="BD321" i="1" s="1"/>
  <c r="U220" i="1"/>
  <c r="U154" i="1"/>
  <c r="U80" i="1"/>
  <c r="P35" i="1"/>
  <c r="Q35" i="1" s="1"/>
  <c r="BC35" i="1" s="1"/>
  <c r="BD35" i="1" s="1"/>
  <c r="P498" i="1"/>
  <c r="P496" i="1"/>
  <c r="Q496" i="1" s="1"/>
  <c r="BC496" i="1" s="1"/>
  <c r="BD496" i="1" s="1"/>
  <c r="T480" i="1"/>
  <c r="AZ480" i="1" s="1"/>
  <c r="U450" i="1"/>
  <c r="U366" i="1"/>
  <c r="P364" i="1"/>
  <c r="Q364" i="1" s="1"/>
  <c r="BC364" i="1" s="1"/>
  <c r="BD364" i="1" s="1"/>
  <c r="T358" i="1"/>
  <c r="AZ358" i="1" s="1"/>
  <c r="P270" i="1"/>
  <c r="Q270" i="1" s="1"/>
  <c r="BC270" i="1" s="1"/>
  <c r="BD270" i="1" s="1"/>
  <c r="P242" i="1"/>
  <c r="Q242" i="1" s="1"/>
  <c r="BC242" i="1" s="1"/>
  <c r="BD242" i="1" s="1"/>
  <c r="P234" i="1"/>
  <c r="Q234" i="1" s="1"/>
  <c r="BC234" i="1" s="1"/>
  <c r="BD234" i="1" s="1"/>
  <c r="P232" i="1"/>
  <c r="Q232" i="1" s="1"/>
  <c r="BC232" i="1" s="1"/>
  <c r="BD232" i="1" s="1"/>
  <c r="T230" i="1"/>
  <c r="AZ230" i="1" s="1"/>
  <c r="T154" i="1"/>
  <c r="AZ154" i="1" s="1"/>
  <c r="P494" i="1"/>
  <c r="Q494" i="1" s="1"/>
  <c r="BC494" i="1" s="1"/>
  <c r="BD494" i="1" s="1"/>
  <c r="P493" i="1"/>
  <c r="Q493" i="1" s="1"/>
  <c r="BC493" i="1" s="1"/>
  <c r="BD493" i="1" s="1"/>
  <c r="P482" i="1"/>
  <c r="Q482" i="1" s="1"/>
  <c r="BC482" i="1" s="1"/>
  <c r="BD482" i="1" s="1"/>
  <c r="T478" i="1"/>
  <c r="AZ478" i="1" s="1"/>
  <c r="U477" i="1"/>
  <c r="P470" i="1"/>
  <c r="U394" i="1"/>
  <c r="T393" i="1"/>
  <c r="AZ393" i="1" s="1"/>
  <c r="P391" i="1"/>
  <c r="Q391" i="1" s="1"/>
  <c r="BC391" i="1" s="1"/>
  <c r="BD391" i="1" s="1"/>
  <c r="P335" i="1"/>
  <c r="Q335" i="1" s="1"/>
  <c r="BC335" i="1" s="1"/>
  <c r="BD335" i="1" s="1"/>
  <c r="T54" i="1"/>
  <c r="AZ54" i="1" s="1"/>
  <c r="U160" i="1"/>
  <c r="U141" i="1"/>
  <c r="T74" i="1"/>
  <c r="AZ74" i="1" s="1"/>
  <c r="P348" i="1"/>
  <c r="Q348" i="1" s="1"/>
  <c r="BC348" i="1" s="1"/>
  <c r="BD348" i="1" s="1"/>
  <c r="U348" i="1"/>
  <c r="U271" i="1"/>
  <c r="P229" i="1"/>
  <c r="Q229" i="1" s="1"/>
  <c r="BC229" i="1" s="1"/>
  <c r="BD229" i="1" s="1"/>
  <c r="T229" i="1"/>
  <c r="AZ229" i="1" s="1"/>
  <c r="U229" i="1"/>
  <c r="P89" i="1"/>
  <c r="Q89" i="1" s="1"/>
  <c r="BC89" i="1" s="1"/>
  <c r="BD89" i="1" s="1"/>
  <c r="U89" i="1"/>
  <c r="P147" i="1"/>
  <c r="Q147" i="1" s="1"/>
  <c r="BC147" i="1" s="1"/>
  <c r="BD147" i="1" s="1"/>
  <c r="T147" i="1"/>
  <c r="AZ147" i="1" s="1"/>
  <c r="U147" i="1"/>
  <c r="U325" i="1"/>
  <c r="P325" i="1"/>
  <c r="Q325" i="1" s="1"/>
  <c r="BC325" i="1" s="1"/>
  <c r="BD325" i="1" s="1"/>
  <c r="T283" i="1"/>
  <c r="AZ283" i="1" s="1"/>
  <c r="P283" i="1"/>
  <c r="Q283" i="1" s="1"/>
  <c r="BC283" i="1" s="1"/>
  <c r="BD283" i="1" s="1"/>
  <c r="P486" i="1"/>
  <c r="Q486" i="1" s="1"/>
  <c r="BC486" i="1" s="1"/>
  <c r="BD486" i="1" s="1"/>
  <c r="T476" i="1"/>
  <c r="AZ476" i="1" s="1"/>
  <c r="T466" i="1"/>
  <c r="AZ466" i="1" s="1"/>
  <c r="P450" i="1"/>
  <c r="T418" i="1"/>
  <c r="AZ418" i="1" s="1"/>
  <c r="P383" i="1"/>
  <c r="Q383" i="1" s="1"/>
  <c r="BC383" i="1" s="1"/>
  <c r="BD383" i="1" s="1"/>
  <c r="T366" i="1"/>
  <c r="AZ366" i="1" s="1"/>
  <c r="U279" i="1"/>
  <c r="U276" i="1"/>
  <c r="T265" i="1"/>
  <c r="AZ265" i="1" s="1"/>
  <c r="U257" i="1"/>
  <c r="T204" i="1"/>
  <c r="AZ204" i="1" s="1"/>
  <c r="U204" i="1"/>
  <c r="U77" i="1"/>
  <c r="U301" i="1"/>
  <c r="T295" i="1"/>
  <c r="AZ295" i="1" s="1"/>
  <c r="U295" i="1"/>
  <c r="P269" i="1"/>
  <c r="Q269" i="1" s="1"/>
  <c r="BC269" i="1" s="1"/>
  <c r="BD269" i="1" s="1"/>
  <c r="T269" i="1"/>
  <c r="AZ269" i="1" s="1"/>
  <c r="U267" i="1"/>
  <c r="U255" i="1"/>
  <c r="T253" i="1"/>
  <c r="AZ253" i="1" s="1"/>
  <c r="P196" i="1"/>
  <c r="Q196" i="1" s="1"/>
  <c r="BC196" i="1" s="1"/>
  <c r="BD196" i="1" s="1"/>
  <c r="U196" i="1"/>
  <c r="T175" i="1"/>
  <c r="AZ175" i="1" s="1"/>
  <c r="P99" i="1"/>
  <c r="Q99" i="1" s="1"/>
  <c r="BC99" i="1" s="1"/>
  <c r="BD99" i="1" s="1"/>
  <c r="T99" i="1"/>
  <c r="AZ99" i="1" s="1"/>
  <c r="P96" i="1"/>
  <c r="Q96" i="1" s="1"/>
  <c r="BC96" i="1" s="1"/>
  <c r="BD96" i="1" s="1"/>
  <c r="U96" i="1"/>
  <c r="T349" i="1"/>
  <c r="AZ349" i="1" s="1"/>
  <c r="U349" i="1"/>
  <c r="P308" i="1"/>
  <c r="Q308" i="1" s="1"/>
  <c r="BC308" i="1" s="1"/>
  <c r="BD308" i="1" s="1"/>
  <c r="U308" i="1"/>
  <c r="P326" i="1"/>
  <c r="Q326" i="1" s="1"/>
  <c r="BC326" i="1" s="1"/>
  <c r="BD326" i="1" s="1"/>
  <c r="T326" i="1"/>
  <c r="AZ326" i="1" s="1"/>
  <c r="U310" i="1"/>
  <c r="P310" i="1"/>
  <c r="Q310" i="1" s="1"/>
  <c r="BC310" i="1" s="1"/>
  <c r="BD310" i="1" s="1"/>
  <c r="T238" i="1"/>
  <c r="AZ238" i="1" s="1"/>
  <c r="U238" i="1"/>
  <c r="T398" i="1"/>
  <c r="AZ398" i="1" s="1"/>
  <c r="P484" i="1"/>
  <c r="Q484" i="1" s="1"/>
  <c r="BC484" i="1" s="1"/>
  <c r="BD484" i="1" s="1"/>
  <c r="P474" i="1"/>
  <c r="Q474" i="1" s="1"/>
  <c r="BC474" i="1" s="1"/>
  <c r="BD474" i="1" s="1"/>
  <c r="U462" i="1"/>
  <c r="U440" i="1"/>
  <c r="U417" i="1"/>
  <c r="T414" i="1"/>
  <c r="AZ414" i="1" s="1"/>
  <c r="T343" i="1"/>
  <c r="AZ343" i="1" s="1"/>
  <c r="P343" i="1"/>
  <c r="Q343" i="1" s="1"/>
  <c r="BC343" i="1" s="1"/>
  <c r="BD343" i="1" s="1"/>
  <c r="P333" i="1"/>
  <c r="U333" i="1"/>
  <c r="T317" i="1"/>
  <c r="AZ317" i="1" s="1"/>
  <c r="P302" i="1"/>
  <c r="Q302" i="1" s="1"/>
  <c r="BC302" i="1" s="1"/>
  <c r="BD302" i="1" s="1"/>
  <c r="U302" i="1"/>
  <c r="T301" i="1"/>
  <c r="AZ301" i="1" s="1"/>
  <c r="T291" i="1"/>
  <c r="AZ291" i="1" s="1"/>
  <c r="U291" i="1"/>
  <c r="U287" i="1"/>
  <c r="U273" i="1"/>
  <c r="P203" i="1"/>
  <c r="Q203" i="1" s="1"/>
  <c r="BC203" i="1" s="1"/>
  <c r="BD203" i="1" s="1"/>
  <c r="U203" i="1"/>
  <c r="P174" i="1"/>
  <c r="Q174" i="1" s="1"/>
  <c r="BC174" i="1" s="1"/>
  <c r="BD174" i="1" s="1"/>
  <c r="U174" i="1"/>
  <c r="P137" i="1"/>
  <c r="Q137" i="1" s="1"/>
  <c r="BC137" i="1" s="1"/>
  <c r="BD137" i="1" s="1"/>
  <c r="T137" i="1"/>
  <c r="AZ137" i="1" s="1"/>
  <c r="U137" i="1"/>
  <c r="P123" i="1"/>
  <c r="Q123" i="1" s="1"/>
  <c r="BC123" i="1" s="1"/>
  <c r="BD123" i="1" s="1"/>
  <c r="T123" i="1"/>
  <c r="AZ123" i="1" s="1"/>
  <c r="U123" i="1"/>
  <c r="T95" i="1"/>
  <c r="AZ95" i="1" s="1"/>
  <c r="U95" i="1"/>
  <c r="P5" i="1"/>
  <c r="Q5" i="1" s="1"/>
  <c r="BC5" i="1" s="1"/>
  <c r="BD5" i="1" s="1"/>
  <c r="U472" i="1"/>
  <c r="U470" i="1"/>
  <c r="T462" i="1"/>
  <c r="AZ462" i="1" s="1"/>
  <c r="T448" i="1"/>
  <c r="AZ448" i="1" s="1"/>
  <c r="U439" i="1"/>
  <c r="T438" i="1"/>
  <c r="AZ438" i="1" s="1"/>
  <c r="U428" i="1"/>
  <c r="U406" i="1"/>
  <c r="U380" i="1"/>
  <c r="P349" i="1"/>
  <c r="Q349" i="1" s="1"/>
  <c r="BC349" i="1" s="1"/>
  <c r="BD349" i="1" s="1"/>
  <c r="U341" i="1"/>
  <c r="T319" i="1"/>
  <c r="AZ319" i="1" s="1"/>
  <c r="U319" i="1"/>
  <c r="P317" i="1"/>
  <c r="Q317" i="1" s="1"/>
  <c r="BC317" i="1" s="1"/>
  <c r="BD317" i="1" s="1"/>
  <c r="U313" i="1"/>
  <c r="P253" i="1"/>
  <c r="Q253" i="1" s="1"/>
  <c r="BC253" i="1" s="1"/>
  <c r="BD253" i="1" s="1"/>
  <c r="T208" i="1"/>
  <c r="AZ208" i="1" s="1"/>
  <c r="P208" i="1"/>
  <c r="U208" i="1"/>
  <c r="T201" i="1"/>
  <c r="AZ201" i="1" s="1"/>
  <c r="P201" i="1"/>
  <c r="Q201" i="1" s="1"/>
  <c r="BC201" i="1" s="1"/>
  <c r="BD201" i="1" s="1"/>
  <c r="P195" i="1"/>
  <c r="Q195" i="1" s="1"/>
  <c r="BC195" i="1" s="1"/>
  <c r="BD195" i="1" s="1"/>
  <c r="U195" i="1"/>
  <c r="T144" i="1"/>
  <c r="AZ144" i="1" s="1"/>
  <c r="P144" i="1"/>
  <c r="Q144" i="1" s="1"/>
  <c r="BC144" i="1" s="1"/>
  <c r="BD144" i="1" s="1"/>
  <c r="P120" i="1"/>
  <c r="Q120" i="1" s="1"/>
  <c r="BC120" i="1" s="1"/>
  <c r="BD120" i="1" s="1"/>
  <c r="U120" i="1"/>
  <c r="T287" i="1"/>
  <c r="AZ287" i="1" s="1"/>
  <c r="P287" i="1"/>
  <c r="Q287" i="1" s="1"/>
  <c r="BC287" i="1" s="1"/>
  <c r="BD287" i="1" s="1"/>
  <c r="U246" i="1"/>
  <c r="T246" i="1"/>
  <c r="AZ246" i="1" s="1"/>
  <c r="P324" i="1"/>
  <c r="Q324" i="1" s="1"/>
  <c r="BC324" i="1" s="1"/>
  <c r="BD324" i="1" s="1"/>
  <c r="U324" i="1"/>
  <c r="P312" i="1"/>
  <c r="Q312" i="1" s="1"/>
  <c r="BC312" i="1" s="1"/>
  <c r="BD312" i="1" s="1"/>
  <c r="U312" i="1"/>
  <c r="U484" i="1"/>
  <c r="U26" i="1"/>
  <c r="P13" i="1"/>
  <c r="Q13" i="1" s="1"/>
  <c r="BC13" i="1" s="1"/>
  <c r="BD13" i="1" s="1"/>
  <c r="U500" i="1"/>
  <c r="T494" i="1"/>
  <c r="AZ494" i="1" s="1"/>
  <c r="U482" i="1"/>
  <c r="U447" i="1"/>
  <c r="P438" i="1"/>
  <c r="Q438" i="1" s="1"/>
  <c r="BC438" i="1" s="1"/>
  <c r="BD438" i="1" s="1"/>
  <c r="T428" i="1"/>
  <c r="AZ428" i="1" s="1"/>
  <c r="U427" i="1"/>
  <c r="T412" i="1"/>
  <c r="AZ412" i="1" s="1"/>
  <c r="U402" i="1"/>
  <c r="U396" i="1"/>
  <c r="P380" i="1"/>
  <c r="Q380" i="1" s="1"/>
  <c r="BC380" i="1" s="1"/>
  <c r="BD380" i="1" s="1"/>
  <c r="T348" i="1"/>
  <c r="AZ348" i="1" s="1"/>
  <c r="U337" i="1"/>
  <c r="U327" i="1"/>
  <c r="T325" i="1"/>
  <c r="AZ325" i="1" s="1"/>
  <c r="P298" i="1"/>
  <c r="Q298" i="1" s="1"/>
  <c r="BC298" i="1" s="1"/>
  <c r="BD298" i="1" s="1"/>
  <c r="U285" i="1"/>
  <c r="U275" i="1"/>
  <c r="U269" i="1"/>
  <c r="P249" i="1"/>
  <c r="Q249" i="1" s="1"/>
  <c r="BC249" i="1" s="1"/>
  <c r="BD249" i="1" s="1"/>
  <c r="U249" i="1"/>
  <c r="P238" i="1"/>
  <c r="Q238" i="1" s="1"/>
  <c r="BC238" i="1" s="1"/>
  <c r="BD238" i="1" s="1"/>
  <c r="T237" i="1"/>
  <c r="AZ237" i="1" s="1"/>
  <c r="P180" i="1"/>
  <c r="Q180" i="1" s="1"/>
  <c r="BC180" i="1" s="1"/>
  <c r="BD180" i="1" s="1"/>
  <c r="T180" i="1"/>
  <c r="AZ180" i="1" s="1"/>
  <c r="U180" i="1"/>
  <c r="P93" i="1"/>
  <c r="Q93" i="1" s="1"/>
  <c r="BC93" i="1" s="1"/>
  <c r="BD93" i="1" s="1"/>
  <c r="T93" i="1"/>
  <c r="AZ93" i="1" s="1"/>
  <c r="U286" i="1"/>
  <c r="U232" i="1"/>
  <c r="U224" i="1"/>
  <c r="U202" i="1"/>
  <c r="U194" i="1"/>
  <c r="U173" i="1"/>
  <c r="P165" i="1"/>
  <c r="Q165" i="1" s="1"/>
  <c r="BC165" i="1" s="1"/>
  <c r="BD165" i="1" s="1"/>
  <c r="U164" i="1"/>
  <c r="U146" i="1"/>
  <c r="T142" i="1"/>
  <c r="AZ142" i="1" s="1"/>
  <c r="T116" i="1"/>
  <c r="AZ116" i="1" s="1"/>
  <c r="U113" i="1"/>
  <c r="P111" i="1"/>
  <c r="Q111" i="1" s="1"/>
  <c r="BC111" i="1" s="1"/>
  <c r="BD111" i="1" s="1"/>
  <c r="U97" i="1"/>
  <c r="U94" i="1"/>
  <c r="U74" i="1"/>
  <c r="T68" i="1"/>
  <c r="AZ68" i="1" s="1"/>
  <c r="P172" i="1"/>
  <c r="Q172" i="1" s="1"/>
  <c r="BC172" i="1" s="1"/>
  <c r="BD172" i="1" s="1"/>
  <c r="P160" i="1"/>
  <c r="Q160" i="1" s="1"/>
  <c r="BC160" i="1" s="1"/>
  <c r="BD160" i="1" s="1"/>
  <c r="P153" i="1"/>
  <c r="Q153" i="1" s="1"/>
  <c r="BC153" i="1" s="1"/>
  <c r="BD153" i="1" s="1"/>
  <c r="P149" i="1"/>
  <c r="Q149" i="1" s="1"/>
  <c r="BC149" i="1" s="1"/>
  <c r="BD149" i="1" s="1"/>
  <c r="T130" i="1"/>
  <c r="AZ130" i="1" s="1"/>
  <c r="U126" i="1"/>
  <c r="T124" i="1"/>
  <c r="AZ124" i="1" s="1"/>
  <c r="P113" i="1"/>
  <c r="Q113" i="1" s="1"/>
  <c r="BC113" i="1" s="1"/>
  <c r="BD113" i="1" s="1"/>
  <c r="P105" i="1"/>
  <c r="Q105" i="1" s="1"/>
  <c r="BC105" i="1" s="1"/>
  <c r="BD105" i="1" s="1"/>
  <c r="T138" i="1"/>
  <c r="AZ138" i="1" s="1"/>
  <c r="U103" i="1"/>
  <c r="U64" i="1"/>
  <c r="T60" i="1"/>
  <c r="AZ60" i="1" s="1"/>
  <c r="U54" i="1"/>
  <c r="T64" i="1"/>
  <c r="AZ64" i="1" s="1"/>
  <c r="T50" i="1"/>
  <c r="AZ50" i="1" s="1"/>
  <c r="U282" i="1"/>
  <c r="T236" i="1"/>
  <c r="AZ236" i="1" s="1"/>
  <c r="T234" i="1"/>
  <c r="AZ234" i="1" s="1"/>
  <c r="P220" i="1"/>
  <c r="Q220" i="1" s="1"/>
  <c r="BC220" i="1" s="1"/>
  <c r="BD220" i="1" s="1"/>
  <c r="U218" i="1"/>
  <c r="U217" i="1"/>
  <c r="U216" i="1"/>
  <c r="U200" i="1"/>
  <c r="P103" i="1"/>
  <c r="Q103" i="1" s="1"/>
  <c r="BC103" i="1" s="1"/>
  <c r="BD103" i="1" s="1"/>
  <c r="P226" i="1"/>
  <c r="Q226" i="1" s="1"/>
  <c r="BC226" i="1" s="1"/>
  <c r="BD226" i="1" s="1"/>
  <c r="U165" i="1"/>
  <c r="U111" i="1"/>
  <c r="T109" i="1"/>
  <c r="AZ109" i="1" s="1"/>
  <c r="T80" i="1"/>
  <c r="AZ80" i="1" s="1"/>
  <c r="T76" i="1"/>
  <c r="AZ76" i="1" s="1"/>
  <c r="Q478" i="1"/>
  <c r="BC478" i="1" s="1"/>
  <c r="BD478" i="1" s="1"/>
  <c r="P29" i="1"/>
  <c r="Q29" i="1" s="1"/>
  <c r="BC29" i="1" s="1"/>
  <c r="BD29" i="1" s="1"/>
  <c r="P485" i="1"/>
  <c r="Q485" i="1" s="1"/>
  <c r="BC485" i="1" s="1"/>
  <c r="BD485" i="1" s="1"/>
  <c r="T483" i="1"/>
  <c r="AZ483" i="1" s="1"/>
  <c r="U479" i="1"/>
  <c r="T471" i="1"/>
  <c r="AZ471" i="1" s="1"/>
  <c r="T468" i="1"/>
  <c r="AZ468" i="1" s="1"/>
  <c r="U458" i="1"/>
  <c r="U456" i="1"/>
  <c r="U443" i="1"/>
  <c r="U432" i="1"/>
  <c r="T426" i="1"/>
  <c r="AZ426" i="1" s="1"/>
  <c r="T420" i="1"/>
  <c r="AZ420" i="1" s="1"/>
  <c r="U384" i="1"/>
  <c r="U376" i="1"/>
  <c r="U371" i="1"/>
  <c r="U356" i="1"/>
  <c r="T346" i="1"/>
  <c r="AZ346" i="1" s="1"/>
  <c r="P340" i="1"/>
  <c r="Q340" i="1" s="1"/>
  <c r="BC340" i="1" s="1"/>
  <c r="BD340" i="1" s="1"/>
  <c r="T340" i="1"/>
  <c r="AZ340" i="1" s="1"/>
  <c r="T293" i="1"/>
  <c r="AZ293" i="1" s="1"/>
  <c r="U293" i="1"/>
  <c r="P293" i="1"/>
  <c r="Q293" i="1" s="1"/>
  <c r="BC293" i="1" s="1"/>
  <c r="BD293" i="1" s="1"/>
  <c r="Q240" i="1"/>
  <c r="BC240" i="1" s="1"/>
  <c r="BD240" i="1" s="1"/>
  <c r="U27" i="1"/>
  <c r="U17" i="1"/>
  <c r="T4" i="1"/>
  <c r="AZ4" i="1" s="1"/>
  <c r="U486" i="1"/>
  <c r="T479" i="1"/>
  <c r="AZ479" i="1" s="1"/>
  <c r="U476" i="1"/>
  <c r="U464" i="1"/>
  <c r="T458" i="1"/>
  <c r="AZ458" i="1" s="1"/>
  <c r="T456" i="1"/>
  <c r="AZ456" i="1" s="1"/>
  <c r="P446" i="1"/>
  <c r="T432" i="1"/>
  <c r="AZ432" i="1" s="1"/>
  <c r="P426" i="1"/>
  <c r="Q426" i="1" s="1"/>
  <c r="BC426" i="1" s="1"/>
  <c r="BD426" i="1" s="1"/>
  <c r="P420" i="1"/>
  <c r="Q420" i="1" s="1"/>
  <c r="BC420" i="1" s="1"/>
  <c r="BD420" i="1" s="1"/>
  <c r="U407" i="1"/>
  <c r="U405" i="1"/>
  <c r="P399" i="1"/>
  <c r="Q399" i="1" s="1"/>
  <c r="BC399" i="1" s="1"/>
  <c r="BD399" i="1" s="1"/>
  <c r="P392" i="1"/>
  <c r="Q392" i="1" s="1"/>
  <c r="BC392" i="1" s="1"/>
  <c r="BD392" i="1" s="1"/>
  <c r="T382" i="1"/>
  <c r="AZ382" i="1" s="1"/>
  <c r="U367" i="1"/>
  <c r="U360" i="1"/>
  <c r="P356" i="1"/>
  <c r="T334" i="1"/>
  <c r="AZ334" i="1" s="1"/>
  <c r="U334" i="1"/>
  <c r="Q244" i="1"/>
  <c r="BC244" i="1" s="1"/>
  <c r="BD244" i="1" s="1"/>
  <c r="P20" i="1"/>
  <c r="Q20" i="1" s="1"/>
  <c r="BC20" i="1" s="1"/>
  <c r="BD20" i="1" s="1"/>
  <c r="P12" i="1"/>
  <c r="Q12" i="1" s="1"/>
  <c r="BC12" i="1" s="1"/>
  <c r="BD12" i="1" s="1"/>
  <c r="U5" i="1"/>
  <c r="P497" i="1"/>
  <c r="Q497" i="1" s="1"/>
  <c r="BC497" i="1" s="1"/>
  <c r="BD497" i="1" s="1"/>
  <c r="P473" i="1"/>
  <c r="Q473" i="1" s="1"/>
  <c r="BC473" i="1" s="1"/>
  <c r="BD473" i="1" s="1"/>
  <c r="T464" i="1"/>
  <c r="AZ464" i="1" s="1"/>
  <c r="U435" i="1"/>
  <c r="T405" i="1"/>
  <c r="AZ405" i="1" s="1"/>
  <c r="U401" i="1"/>
  <c r="P388" i="1"/>
  <c r="Q388" i="1" s="1"/>
  <c r="BC388" i="1" s="1"/>
  <c r="BD388" i="1" s="1"/>
  <c r="T318" i="1"/>
  <c r="AZ318" i="1" s="1"/>
  <c r="P318" i="1"/>
  <c r="Q318" i="1" s="1"/>
  <c r="BC318" i="1" s="1"/>
  <c r="BD318" i="1" s="1"/>
  <c r="P304" i="1"/>
  <c r="Q304" i="1" s="1"/>
  <c r="BC304" i="1" s="1"/>
  <c r="BD304" i="1" s="1"/>
  <c r="T304" i="1"/>
  <c r="AZ304" i="1" s="1"/>
  <c r="U18" i="1"/>
  <c r="P17" i="1"/>
  <c r="Q17" i="1" s="1"/>
  <c r="BC17" i="1" s="1"/>
  <c r="BD17" i="1" s="1"/>
  <c r="T13" i="1"/>
  <c r="AZ13" i="1" s="1"/>
  <c r="P500" i="1"/>
  <c r="Q500" i="1" s="1"/>
  <c r="BC500" i="1" s="1"/>
  <c r="BD500" i="1" s="1"/>
  <c r="U478" i="1"/>
  <c r="U466" i="1"/>
  <c r="U454" i="1"/>
  <c r="U448" i="1"/>
  <c r="P419" i="1"/>
  <c r="Q419" i="1" s="1"/>
  <c r="BC419" i="1" s="1"/>
  <c r="BD419" i="1" s="1"/>
  <c r="T417" i="1"/>
  <c r="AZ417" i="1" s="1"/>
  <c r="P410" i="1"/>
  <c r="Q410" i="1" s="1"/>
  <c r="BC410" i="1" s="1"/>
  <c r="BD410" i="1" s="1"/>
  <c r="P407" i="1"/>
  <c r="Q407" i="1" s="1"/>
  <c r="BC407" i="1" s="1"/>
  <c r="BD407" i="1" s="1"/>
  <c r="T394" i="1"/>
  <c r="AZ394" i="1" s="1"/>
  <c r="P376" i="1"/>
  <c r="Q376" i="1" s="1"/>
  <c r="BC376" i="1" s="1"/>
  <c r="BD376" i="1" s="1"/>
  <c r="U364" i="1"/>
  <c r="P360" i="1"/>
  <c r="Q360" i="1" s="1"/>
  <c r="BC360" i="1" s="1"/>
  <c r="BD360" i="1" s="1"/>
  <c r="U358" i="1"/>
  <c r="T345" i="1"/>
  <c r="AZ345" i="1" s="1"/>
  <c r="T311" i="1"/>
  <c r="AZ311" i="1" s="1"/>
  <c r="P311" i="1"/>
  <c r="U311" i="1"/>
  <c r="T323" i="1"/>
  <c r="AZ323" i="1" s="1"/>
  <c r="P323" i="1"/>
  <c r="Q323" i="1" s="1"/>
  <c r="BC323" i="1" s="1"/>
  <c r="BD323" i="1" s="1"/>
  <c r="P21" i="1"/>
  <c r="Q21" i="1" s="1"/>
  <c r="BC21" i="1" s="1"/>
  <c r="BD21" i="1" s="1"/>
  <c r="P14" i="1"/>
  <c r="Q14" i="1" s="1"/>
  <c r="BC14" i="1" s="1"/>
  <c r="BD14" i="1" s="1"/>
  <c r="T7" i="1"/>
  <c r="AZ7" i="1" s="1"/>
  <c r="P6" i="1"/>
  <c r="Q6" i="1" s="1"/>
  <c r="BC6" i="1" s="1"/>
  <c r="BD6" i="1" s="1"/>
  <c r="U499" i="1"/>
  <c r="U485" i="1"/>
  <c r="U480" i="1"/>
  <c r="T472" i="1"/>
  <c r="AZ472" i="1" s="1"/>
  <c r="U460" i="1"/>
  <c r="U444" i="1"/>
  <c r="T421" i="1"/>
  <c r="AZ421" i="1" s="1"/>
  <c r="U414" i="1"/>
  <c r="T404" i="1"/>
  <c r="AZ404" i="1" s="1"/>
  <c r="U368" i="1"/>
  <c r="P345" i="1"/>
  <c r="U326" i="1"/>
  <c r="U321" i="1"/>
  <c r="T315" i="1"/>
  <c r="AZ315" i="1" s="1"/>
  <c r="P315" i="1"/>
  <c r="U315" i="1"/>
  <c r="P309" i="1"/>
  <c r="Q309" i="1" s="1"/>
  <c r="BC309" i="1" s="1"/>
  <c r="BD309" i="1" s="1"/>
  <c r="T309" i="1"/>
  <c r="AZ309" i="1" s="1"/>
  <c r="U309" i="1"/>
  <c r="U446" i="1"/>
  <c r="U392" i="1"/>
  <c r="U329" i="1"/>
  <c r="P329" i="1"/>
  <c r="T307" i="1"/>
  <c r="AZ307" i="1" s="1"/>
  <c r="P307" i="1"/>
  <c r="U307" i="1"/>
  <c r="Q228" i="1"/>
  <c r="BC228" i="1" s="1"/>
  <c r="BD228" i="1" s="1"/>
  <c r="U471" i="1"/>
  <c r="U468" i="1"/>
  <c r="T440" i="1"/>
  <c r="AZ440" i="1" s="1"/>
  <c r="P396" i="1"/>
  <c r="Q396" i="1" s="1"/>
  <c r="BC396" i="1" s="1"/>
  <c r="BD396" i="1" s="1"/>
  <c r="T390" i="1"/>
  <c r="AZ390" i="1" s="1"/>
  <c r="P375" i="1"/>
  <c r="Q375" i="1" s="1"/>
  <c r="BC375" i="1" s="1"/>
  <c r="BD375" i="1" s="1"/>
  <c r="P368" i="1"/>
  <c r="T337" i="1"/>
  <c r="AZ337" i="1" s="1"/>
  <c r="P337" i="1"/>
  <c r="Q337" i="1" s="1"/>
  <c r="BC337" i="1" s="1"/>
  <c r="BD337" i="1" s="1"/>
  <c r="U318" i="1"/>
  <c r="Q236" i="1"/>
  <c r="BC236" i="1" s="1"/>
  <c r="BD236" i="1" s="1"/>
  <c r="Q235" i="1"/>
  <c r="BC235" i="1" s="1"/>
  <c r="BD235" i="1" s="1"/>
  <c r="T243" i="1"/>
  <c r="AZ243" i="1" s="1"/>
  <c r="T240" i="1"/>
  <c r="AZ240" i="1" s="1"/>
  <c r="U210" i="1"/>
  <c r="T190" i="1"/>
  <c r="AZ190" i="1" s="1"/>
  <c r="P171" i="1"/>
  <c r="Q171" i="1" s="1"/>
  <c r="BC171" i="1" s="1"/>
  <c r="BD171" i="1" s="1"/>
  <c r="U171" i="1"/>
  <c r="P155" i="1"/>
  <c r="Q155" i="1" s="1"/>
  <c r="BC155" i="1" s="1"/>
  <c r="BD155" i="1" s="1"/>
  <c r="U155" i="1"/>
  <c r="P100" i="1"/>
  <c r="Q100" i="1" s="1"/>
  <c r="BC100" i="1" s="1"/>
  <c r="BD100" i="1" s="1"/>
  <c r="T100" i="1"/>
  <c r="AZ100" i="1" s="1"/>
  <c r="U100" i="1"/>
  <c r="T320" i="1"/>
  <c r="AZ320" i="1" s="1"/>
  <c r="U288" i="1"/>
  <c r="P281" i="1"/>
  <c r="Q281" i="1" s="1"/>
  <c r="BC281" i="1" s="1"/>
  <c r="BD281" i="1" s="1"/>
  <c r="U274" i="1"/>
  <c r="P273" i="1"/>
  <c r="Q273" i="1" s="1"/>
  <c r="BC273" i="1" s="1"/>
  <c r="BD273" i="1" s="1"/>
  <c r="U261" i="1"/>
  <c r="P257" i="1"/>
  <c r="Q257" i="1" s="1"/>
  <c r="BC257" i="1" s="1"/>
  <c r="BD257" i="1" s="1"/>
  <c r="U251" i="1"/>
  <c r="U244" i="1"/>
  <c r="P237" i="1"/>
  <c r="Q237" i="1" s="1"/>
  <c r="BC237" i="1" s="1"/>
  <c r="BD237" i="1" s="1"/>
  <c r="U235" i="1"/>
  <c r="T224" i="1"/>
  <c r="AZ224" i="1" s="1"/>
  <c r="U221" i="1"/>
  <c r="P212" i="1"/>
  <c r="Q212" i="1" s="1"/>
  <c r="BC212" i="1" s="1"/>
  <c r="BD212" i="1" s="1"/>
  <c r="U212" i="1"/>
  <c r="T210" i="1"/>
  <c r="AZ210" i="1" s="1"/>
  <c r="P190" i="1"/>
  <c r="Q190" i="1" s="1"/>
  <c r="BC190" i="1" s="1"/>
  <c r="BD190" i="1" s="1"/>
  <c r="P161" i="1"/>
  <c r="T161" i="1"/>
  <c r="AZ161" i="1" s="1"/>
  <c r="U161" i="1"/>
  <c r="P129" i="1"/>
  <c r="T129" i="1"/>
  <c r="AZ129" i="1" s="1"/>
  <c r="U129" i="1"/>
  <c r="U117" i="1"/>
  <c r="T117" i="1"/>
  <c r="AZ117" i="1" s="1"/>
  <c r="P115" i="1"/>
  <c r="T115" i="1"/>
  <c r="AZ115" i="1" s="1"/>
  <c r="U115" i="1"/>
  <c r="T110" i="1"/>
  <c r="AZ110" i="1" s="1"/>
  <c r="U110" i="1"/>
  <c r="P88" i="1"/>
  <c r="Q88" i="1" s="1"/>
  <c r="BC88" i="1" s="1"/>
  <c r="BD88" i="1" s="1"/>
  <c r="T88" i="1"/>
  <c r="AZ88" i="1" s="1"/>
  <c r="U88" i="1"/>
  <c r="T288" i="1"/>
  <c r="AZ288" i="1" s="1"/>
  <c r="P285" i="1"/>
  <c r="Q285" i="1" s="1"/>
  <c r="BC285" i="1" s="1"/>
  <c r="BD285" i="1" s="1"/>
  <c r="P267" i="1"/>
  <c r="Q267" i="1" s="1"/>
  <c r="BC267" i="1" s="1"/>
  <c r="BD267" i="1" s="1"/>
  <c r="T261" i="1"/>
  <c r="AZ261" i="1" s="1"/>
  <c r="P251" i="1"/>
  <c r="Q251" i="1" s="1"/>
  <c r="BC251" i="1" s="1"/>
  <c r="BD251" i="1" s="1"/>
  <c r="U248" i="1"/>
  <c r="P246" i="1"/>
  <c r="Q246" i="1" s="1"/>
  <c r="BC246" i="1" s="1"/>
  <c r="BD246" i="1" s="1"/>
  <c r="T244" i="1"/>
  <c r="AZ244" i="1" s="1"/>
  <c r="U241" i="1"/>
  <c r="T235" i="1"/>
  <c r="AZ235" i="1" s="1"/>
  <c r="U228" i="1"/>
  <c r="T221" i="1"/>
  <c r="AZ221" i="1" s="1"/>
  <c r="P145" i="1"/>
  <c r="Q145" i="1" s="1"/>
  <c r="BC145" i="1" s="1"/>
  <c r="BD145" i="1" s="1"/>
  <c r="U145" i="1"/>
  <c r="P72" i="1"/>
  <c r="Q72" i="1" s="1"/>
  <c r="BC72" i="1" s="1"/>
  <c r="BD72" i="1" s="1"/>
  <c r="T72" i="1"/>
  <c r="AZ72" i="1" s="1"/>
  <c r="U72" i="1"/>
  <c r="Q38" i="1"/>
  <c r="BC38" i="1" s="1"/>
  <c r="BD38" i="1" s="1"/>
  <c r="P37" i="1"/>
  <c r="Q37" i="1" s="1"/>
  <c r="BC37" i="1" s="1"/>
  <c r="BD37" i="1" s="1"/>
  <c r="T37" i="1"/>
  <c r="AZ37" i="1" s="1"/>
  <c r="U37" i="1"/>
  <c r="P320" i="1"/>
  <c r="Q320" i="1" s="1"/>
  <c r="BC320" i="1" s="1"/>
  <c r="BD320" i="1" s="1"/>
  <c r="U317" i="1"/>
  <c r="T313" i="1"/>
  <c r="AZ313" i="1" s="1"/>
  <c r="P303" i="1"/>
  <c r="U292" i="1"/>
  <c r="U280" i="1"/>
  <c r="T276" i="1"/>
  <c r="AZ276" i="1" s="1"/>
  <c r="U263" i="1"/>
  <c r="U256" i="1"/>
  <c r="U247" i="1"/>
  <c r="T241" i="1"/>
  <c r="AZ241" i="1" s="1"/>
  <c r="U236" i="1"/>
  <c r="U233" i="1"/>
  <c r="T228" i="1"/>
  <c r="AZ228" i="1" s="1"/>
  <c r="P219" i="1"/>
  <c r="Q219" i="1" s="1"/>
  <c r="BC219" i="1" s="1"/>
  <c r="BD219" i="1" s="1"/>
  <c r="T186" i="1"/>
  <c r="AZ186" i="1" s="1"/>
  <c r="U175" i="1"/>
  <c r="T152" i="1"/>
  <c r="AZ152" i="1" s="1"/>
  <c r="P152" i="1"/>
  <c r="Q152" i="1" s="1"/>
  <c r="BC152" i="1" s="1"/>
  <c r="BD152" i="1" s="1"/>
  <c r="U152" i="1"/>
  <c r="P247" i="1"/>
  <c r="Q247" i="1" s="1"/>
  <c r="BC247" i="1" s="1"/>
  <c r="BD247" i="1" s="1"/>
  <c r="P186" i="1"/>
  <c r="Q186" i="1" s="1"/>
  <c r="BC186" i="1" s="1"/>
  <c r="BD186" i="1" s="1"/>
  <c r="T179" i="1"/>
  <c r="AZ179" i="1" s="1"/>
  <c r="U179" i="1"/>
  <c r="P158" i="1"/>
  <c r="Q158" i="1" s="1"/>
  <c r="BC158" i="1" s="1"/>
  <c r="BD158" i="1" s="1"/>
  <c r="T158" i="1"/>
  <c r="AZ158" i="1" s="1"/>
  <c r="U158" i="1"/>
  <c r="T143" i="1"/>
  <c r="AZ143" i="1" s="1"/>
  <c r="U143" i="1"/>
  <c r="U281" i="1"/>
  <c r="P263" i="1"/>
  <c r="Q263" i="1" s="1"/>
  <c r="BC263" i="1" s="1"/>
  <c r="BD263" i="1" s="1"/>
  <c r="T257" i="1"/>
  <c r="AZ257" i="1" s="1"/>
  <c r="P255" i="1"/>
  <c r="Q255" i="1" s="1"/>
  <c r="BC255" i="1" s="1"/>
  <c r="BD255" i="1" s="1"/>
  <c r="T218" i="1"/>
  <c r="AZ218" i="1" s="1"/>
  <c r="U182" i="1"/>
  <c r="U177" i="1"/>
  <c r="T176" i="1"/>
  <c r="AZ176" i="1" s="1"/>
  <c r="P176" i="1"/>
  <c r="Q176" i="1" s="1"/>
  <c r="BC176" i="1" s="1"/>
  <c r="BD176" i="1" s="1"/>
  <c r="T155" i="1"/>
  <c r="AZ155" i="1" s="1"/>
  <c r="P121" i="1"/>
  <c r="Q121" i="1" s="1"/>
  <c r="BC121" i="1" s="1"/>
  <c r="BD121" i="1" s="1"/>
  <c r="T121" i="1"/>
  <c r="AZ121" i="1" s="1"/>
  <c r="U121" i="1"/>
  <c r="U314" i="1"/>
  <c r="P271" i="1"/>
  <c r="U265" i="1"/>
  <c r="U259" i="1"/>
  <c r="T249" i="1"/>
  <c r="AZ249" i="1" s="1"/>
  <c r="U225" i="1"/>
  <c r="P182" i="1"/>
  <c r="Q182" i="1" s="1"/>
  <c r="BC182" i="1" s="1"/>
  <c r="BD182" i="1" s="1"/>
  <c r="P62" i="1"/>
  <c r="Q62" i="1" s="1"/>
  <c r="BC62" i="1" s="1"/>
  <c r="BD62" i="1" s="1"/>
  <c r="T62" i="1"/>
  <c r="AZ62" i="1" s="1"/>
  <c r="U62" i="1"/>
  <c r="P56" i="1"/>
  <c r="Q56" i="1" s="1"/>
  <c r="BC56" i="1" s="1"/>
  <c r="BD56" i="1" s="1"/>
  <c r="T56" i="1"/>
  <c r="AZ56" i="1" s="1"/>
  <c r="U56" i="1"/>
  <c r="P134" i="1"/>
  <c r="T134" i="1"/>
  <c r="AZ134" i="1" s="1"/>
  <c r="U133" i="1"/>
  <c r="P133" i="1"/>
  <c r="T133" i="1"/>
  <c r="AZ133" i="1" s="1"/>
  <c r="P131" i="1"/>
  <c r="Q131" i="1" s="1"/>
  <c r="BC131" i="1" s="1"/>
  <c r="BD131" i="1" s="1"/>
  <c r="T131" i="1"/>
  <c r="AZ131" i="1" s="1"/>
  <c r="P84" i="1"/>
  <c r="Q84" i="1" s="1"/>
  <c r="BC84" i="1" s="1"/>
  <c r="BD84" i="1" s="1"/>
  <c r="T84" i="1"/>
  <c r="AZ84" i="1" s="1"/>
  <c r="U84" i="1"/>
  <c r="Q146" i="1"/>
  <c r="BC146" i="1" s="1"/>
  <c r="BD146" i="1" s="1"/>
  <c r="U128" i="1"/>
  <c r="T125" i="1"/>
  <c r="AZ125" i="1" s="1"/>
  <c r="U116" i="1"/>
  <c r="P107" i="1"/>
  <c r="Q107" i="1" s="1"/>
  <c r="BC107" i="1" s="1"/>
  <c r="BD107" i="1" s="1"/>
  <c r="T104" i="1"/>
  <c r="AZ104" i="1" s="1"/>
  <c r="T42" i="1"/>
  <c r="AZ42" i="1" s="1"/>
  <c r="U162" i="1"/>
  <c r="U153" i="1"/>
  <c r="P119" i="1"/>
  <c r="U118" i="1"/>
  <c r="U108" i="1"/>
  <c r="T101" i="1"/>
  <c r="AZ101" i="1" s="1"/>
  <c r="T89" i="1"/>
  <c r="AZ89" i="1" s="1"/>
  <c r="U41" i="1"/>
  <c r="U166" i="1"/>
  <c r="P164" i="1"/>
  <c r="Q164" i="1" s="1"/>
  <c r="BC164" i="1" s="1"/>
  <c r="BD164" i="1" s="1"/>
  <c r="T162" i="1"/>
  <c r="AZ162" i="1" s="1"/>
  <c r="P159" i="1"/>
  <c r="Q159" i="1" s="1"/>
  <c r="BC159" i="1" s="1"/>
  <c r="BD159" i="1" s="1"/>
  <c r="U142" i="1"/>
  <c r="U124" i="1"/>
  <c r="T108" i="1"/>
  <c r="AZ108" i="1" s="1"/>
  <c r="T96" i="1"/>
  <c r="AZ96" i="1" s="1"/>
  <c r="T94" i="1"/>
  <c r="AZ94" i="1" s="1"/>
  <c r="T92" i="1"/>
  <c r="AZ92" i="1" s="1"/>
  <c r="U68" i="1"/>
  <c r="T52" i="1"/>
  <c r="AZ52" i="1" s="1"/>
  <c r="U201" i="1"/>
  <c r="T173" i="1"/>
  <c r="AZ173" i="1" s="1"/>
  <c r="U163" i="1"/>
  <c r="U148" i="1"/>
  <c r="U138" i="1"/>
  <c r="U107" i="1"/>
  <c r="U50" i="1"/>
  <c r="U45" i="1"/>
  <c r="U119" i="1"/>
  <c r="T203" i="1"/>
  <c r="AZ203" i="1" s="1"/>
  <c r="T195" i="1"/>
  <c r="AZ195" i="1" s="1"/>
  <c r="T146" i="1"/>
  <c r="AZ146" i="1" s="1"/>
  <c r="T126" i="1"/>
  <c r="AZ126" i="1" s="1"/>
  <c r="U60" i="1"/>
  <c r="Q492" i="1"/>
  <c r="BC492" i="1" s="1"/>
  <c r="BD492" i="1" s="1"/>
  <c r="Q488" i="1"/>
  <c r="BC488" i="1" s="1"/>
  <c r="BD488" i="1" s="1"/>
  <c r="Q440" i="1"/>
  <c r="BC440" i="1" s="1"/>
  <c r="BD440" i="1" s="1"/>
  <c r="P408" i="1"/>
  <c r="T408" i="1"/>
  <c r="AZ408" i="1" s="1"/>
  <c r="U408" i="1"/>
  <c r="U488" i="1"/>
  <c r="Q472" i="1"/>
  <c r="BC472" i="1" s="1"/>
  <c r="BD472" i="1" s="1"/>
  <c r="Q462" i="1"/>
  <c r="BC462" i="1" s="1"/>
  <c r="BD462" i="1" s="1"/>
  <c r="Q415" i="1"/>
  <c r="BC415" i="1" s="1"/>
  <c r="BD415" i="1" s="1"/>
  <c r="Q454" i="1"/>
  <c r="BC454" i="1" s="1"/>
  <c r="BD454" i="1" s="1"/>
  <c r="U489" i="1"/>
  <c r="T488" i="1"/>
  <c r="AZ488" i="1" s="1"/>
  <c r="U487" i="1"/>
  <c r="U481" i="1"/>
  <c r="Q458" i="1"/>
  <c r="BC458" i="1" s="1"/>
  <c r="BD458" i="1" s="1"/>
  <c r="Q452" i="1"/>
  <c r="BC452" i="1" s="1"/>
  <c r="BD452" i="1" s="1"/>
  <c r="T411" i="1"/>
  <c r="AZ411" i="1" s="1"/>
  <c r="U411" i="1"/>
  <c r="P411" i="1"/>
  <c r="T336" i="1"/>
  <c r="AZ336" i="1" s="1"/>
  <c r="U336" i="1"/>
  <c r="P336" i="1"/>
  <c r="T459" i="1"/>
  <c r="AZ459" i="1" s="1"/>
  <c r="P459" i="1"/>
  <c r="Q448" i="1"/>
  <c r="BC448" i="1" s="1"/>
  <c r="BD448" i="1" s="1"/>
  <c r="T31" i="1"/>
  <c r="AZ31" i="1" s="1"/>
  <c r="U492" i="1"/>
  <c r="T487" i="1"/>
  <c r="AZ487" i="1" s="1"/>
  <c r="P477" i="1"/>
  <c r="Q468" i="1"/>
  <c r="BC468" i="1" s="1"/>
  <c r="BD468" i="1" s="1"/>
  <c r="P449" i="1"/>
  <c r="T449" i="1"/>
  <c r="AZ449" i="1" s="1"/>
  <c r="P441" i="1"/>
  <c r="T441" i="1"/>
  <c r="AZ441" i="1" s="1"/>
  <c r="P433" i="1"/>
  <c r="T433" i="1"/>
  <c r="AZ433" i="1" s="1"/>
  <c r="U31" i="1"/>
  <c r="U493" i="1"/>
  <c r="T492" i="1"/>
  <c r="AZ492" i="1" s="1"/>
  <c r="U491" i="1"/>
  <c r="Q476" i="1"/>
  <c r="BC476" i="1" s="1"/>
  <c r="BD476" i="1" s="1"/>
  <c r="U475" i="1"/>
  <c r="Q464" i="1"/>
  <c r="BC464" i="1" s="1"/>
  <c r="BD464" i="1" s="1"/>
  <c r="Q456" i="1"/>
  <c r="BC456" i="1" s="1"/>
  <c r="BD456" i="1" s="1"/>
  <c r="Q444" i="1"/>
  <c r="BC444" i="1" s="1"/>
  <c r="BD444" i="1" s="1"/>
  <c r="Q436" i="1"/>
  <c r="BC436" i="1" s="1"/>
  <c r="BD436" i="1" s="1"/>
  <c r="Q428" i="1"/>
  <c r="BC428" i="1" s="1"/>
  <c r="BD428" i="1" s="1"/>
  <c r="P389" i="1"/>
  <c r="U389" i="1"/>
  <c r="T389" i="1"/>
  <c r="AZ389" i="1" s="1"/>
  <c r="Q432" i="1"/>
  <c r="BC432" i="1" s="1"/>
  <c r="BD432" i="1" s="1"/>
  <c r="U30" i="1"/>
  <c r="U33" i="1"/>
  <c r="T30" i="1"/>
  <c r="AZ30" i="1" s="1"/>
  <c r="U29" i="1"/>
  <c r="U28" i="1"/>
  <c r="U23" i="1"/>
  <c r="U19" i="1"/>
  <c r="U496" i="1"/>
  <c r="T491" i="1"/>
  <c r="AZ491" i="1" s="1"/>
  <c r="T475" i="1"/>
  <c r="AZ475" i="1" s="1"/>
  <c r="U473" i="1"/>
  <c r="P469" i="1"/>
  <c r="T469" i="1"/>
  <c r="AZ469" i="1" s="1"/>
  <c r="Q460" i="1"/>
  <c r="BC460" i="1" s="1"/>
  <c r="BD460" i="1" s="1"/>
  <c r="U459" i="1"/>
  <c r="P453" i="1"/>
  <c r="T453" i="1"/>
  <c r="AZ453" i="1" s="1"/>
  <c r="Q466" i="1"/>
  <c r="BC466" i="1" s="1"/>
  <c r="BD466" i="1" s="1"/>
  <c r="T23" i="1"/>
  <c r="AZ23" i="1" s="1"/>
  <c r="U21" i="1"/>
  <c r="U20" i="1"/>
  <c r="P19" i="1"/>
  <c r="Q19" i="1" s="1"/>
  <c r="BC19" i="1" s="1"/>
  <c r="BD19" i="1" s="1"/>
  <c r="U15" i="1"/>
  <c r="U14" i="1"/>
  <c r="U12" i="1"/>
  <c r="U11" i="1"/>
  <c r="U6" i="1"/>
  <c r="U497" i="1"/>
  <c r="U495" i="1"/>
  <c r="P489" i="1"/>
  <c r="P481" i="1"/>
  <c r="T467" i="1"/>
  <c r="AZ467" i="1" s="1"/>
  <c r="P467" i="1"/>
  <c r="P465" i="1"/>
  <c r="T465" i="1"/>
  <c r="AZ465" i="1" s="1"/>
  <c r="U34" i="1"/>
  <c r="P33" i="1"/>
  <c r="Q33" i="1" s="1"/>
  <c r="BC33" i="1" s="1"/>
  <c r="BD33" i="1" s="1"/>
  <c r="P28" i="1"/>
  <c r="Q28" i="1" s="1"/>
  <c r="BC28" i="1" s="1"/>
  <c r="BD28" i="1" s="1"/>
  <c r="T15" i="1"/>
  <c r="AZ15" i="1" s="1"/>
  <c r="P11" i="1"/>
  <c r="Q11" i="1" s="1"/>
  <c r="BC11" i="1" s="1"/>
  <c r="BD11" i="1" s="1"/>
  <c r="U7" i="1"/>
  <c r="U4" i="1"/>
  <c r="T495" i="1"/>
  <c r="AZ495" i="1" s="1"/>
  <c r="U483" i="1"/>
  <c r="Q480" i="1"/>
  <c r="BC480" i="1" s="1"/>
  <c r="BD480" i="1" s="1"/>
  <c r="T463" i="1"/>
  <c r="AZ463" i="1" s="1"/>
  <c r="P463" i="1"/>
  <c r="P461" i="1"/>
  <c r="T461" i="1"/>
  <c r="AZ461" i="1" s="1"/>
  <c r="P457" i="1"/>
  <c r="T457" i="1"/>
  <c r="AZ457" i="1" s="1"/>
  <c r="P445" i="1"/>
  <c r="T445" i="1"/>
  <c r="AZ445" i="1" s="1"/>
  <c r="P437" i="1"/>
  <c r="T437" i="1"/>
  <c r="AZ437" i="1" s="1"/>
  <c r="P429" i="1"/>
  <c r="T429" i="1"/>
  <c r="AZ429" i="1" s="1"/>
  <c r="T416" i="1"/>
  <c r="AZ416" i="1" s="1"/>
  <c r="U404" i="1"/>
  <c r="Q402" i="1"/>
  <c r="BC402" i="1" s="1"/>
  <c r="BD402" i="1" s="1"/>
  <c r="U393" i="1"/>
  <c r="U388" i="1"/>
  <c r="P373" i="1"/>
  <c r="U373" i="1"/>
  <c r="P372" i="1"/>
  <c r="P455" i="1"/>
  <c r="P451" i="1"/>
  <c r="P447" i="1"/>
  <c r="P443" i="1"/>
  <c r="P439" i="1"/>
  <c r="P435" i="1"/>
  <c r="P431" i="1"/>
  <c r="P422" i="1"/>
  <c r="P416" i="1"/>
  <c r="T406" i="1"/>
  <c r="AZ406" i="1" s="1"/>
  <c r="T401" i="1"/>
  <c r="AZ401" i="1" s="1"/>
  <c r="P397" i="1"/>
  <c r="U397" i="1"/>
  <c r="T395" i="1"/>
  <c r="AZ395" i="1" s="1"/>
  <c r="P395" i="1"/>
  <c r="T379" i="1"/>
  <c r="AZ379" i="1" s="1"/>
  <c r="P379" i="1"/>
  <c r="P377" i="1"/>
  <c r="T377" i="1"/>
  <c r="AZ377" i="1" s="1"/>
  <c r="P370" i="1"/>
  <c r="T370" i="1"/>
  <c r="AZ370" i="1" s="1"/>
  <c r="P357" i="1"/>
  <c r="U357" i="1"/>
  <c r="Q442" i="1"/>
  <c r="BC442" i="1" s="1"/>
  <c r="BD442" i="1" s="1"/>
  <c r="P413" i="1"/>
  <c r="U413" i="1"/>
  <c r="T403" i="1"/>
  <c r="AZ403" i="1" s="1"/>
  <c r="P403" i="1"/>
  <c r="P386" i="1"/>
  <c r="T386" i="1"/>
  <c r="AZ386" i="1" s="1"/>
  <c r="T363" i="1"/>
  <c r="AZ363" i="1" s="1"/>
  <c r="P363" i="1"/>
  <c r="P361" i="1"/>
  <c r="T361" i="1"/>
  <c r="AZ361" i="1" s="1"/>
  <c r="T415" i="1"/>
  <c r="AZ415" i="1" s="1"/>
  <c r="P381" i="1"/>
  <c r="U381" i="1"/>
  <c r="U425" i="1"/>
  <c r="U424" i="1"/>
  <c r="U423" i="1"/>
  <c r="P365" i="1"/>
  <c r="U365" i="1"/>
  <c r="T355" i="1"/>
  <c r="AZ355" i="1" s="1"/>
  <c r="P355" i="1"/>
  <c r="U355" i="1"/>
  <c r="Q344" i="1"/>
  <c r="BC344" i="1" s="1"/>
  <c r="BD344" i="1" s="1"/>
  <c r="T425" i="1"/>
  <c r="AZ425" i="1" s="1"/>
  <c r="U415" i="1"/>
  <c r="U403" i="1"/>
  <c r="U379" i="1"/>
  <c r="P378" i="1"/>
  <c r="T378" i="1"/>
  <c r="AZ378" i="1" s="1"/>
  <c r="T371" i="1"/>
  <c r="AZ371" i="1" s="1"/>
  <c r="P371" i="1"/>
  <c r="U370" i="1"/>
  <c r="P369" i="1"/>
  <c r="T369" i="1"/>
  <c r="AZ369" i="1" s="1"/>
  <c r="Q339" i="1"/>
  <c r="BC339" i="1" s="1"/>
  <c r="BD339" i="1" s="1"/>
  <c r="P427" i="1"/>
  <c r="U421" i="1"/>
  <c r="U419" i="1"/>
  <c r="Q414" i="1"/>
  <c r="BC414" i="1" s="1"/>
  <c r="BD414" i="1" s="1"/>
  <c r="P412" i="1"/>
  <c r="Q394" i="1"/>
  <c r="BC394" i="1" s="1"/>
  <c r="BD394" i="1" s="1"/>
  <c r="T387" i="1"/>
  <c r="AZ387" i="1" s="1"/>
  <c r="P387" i="1"/>
  <c r="U386" i="1"/>
  <c r="P385" i="1"/>
  <c r="T385" i="1"/>
  <c r="AZ385" i="1" s="1"/>
  <c r="T381" i="1"/>
  <c r="AZ381" i="1" s="1"/>
  <c r="U377" i="1"/>
  <c r="U372" i="1"/>
  <c r="U363" i="1"/>
  <c r="P362" i="1"/>
  <c r="T362" i="1"/>
  <c r="AZ362" i="1" s="1"/>
  <c r="P354" i="1"/>
  <c r="T354" i="1"/>
  <c r="AZ354" i="1" s="1"/>
  <c r="U354" i="1"/>
  <c r="P350" i="1"/>
  <c r="T350" i="1"/>
  <c r="AZ350" i="1" s="1"/>
  <c r="U350" i="1"/>
  <c r="Q346" i="1"/>
  <c r="BC346" i="1" s="1"/>
  <c r="BD346" i="1" s="1"/>
  <c r="T351" i="1"/>
  <c r="AZ351" i="1" s="1"/>
  <c r="T206" i="1"/>
  <c r="AZ206" i="1" s="1"/>
  <c r="U206" i="1"/>
  <c r="P206" i="1"/>
  <c r="T331" i="1"/>
  <c r="AZ331" i="1" s="1"/>
  <c r="P331" i="1"/>
  <c r="U331" i="1"/>
  <c r="P316" i="1"/>
  <c r="T316" i="1"/>
  <c r="AZ316" i="1" s="1"/>
  <c r="U316" i="1"/>
  <c r="T306" i="1"/>
  <c r="AZ306" i="1" s="1"/>
  <c r="P306" i="1"/>
  <c r="U306" i="1"/>
  <c r="P300" i="1"/>
  <c r="T300" i="1"/>
  <c r="AZ300" i="1" s="1"/>
  <c r="U300" i="1"/>
  <c r="T290" i="1"/>
  <c r="AZ290" i="1" s="1"/>
  <c r="P290" i="1"/>
  <c r="U290" i="1"/>
  <c r="T278" i="1"/>
  <c r="AZ278" i="1" s="1"/>
  <c r="P278" i="1"/>
  <c r="U278" i="1"/>
  <c r="T338" i="1"/>
  <c r="AZ338" i="1" s="1"/>
  <c r="U338" i="1"/>
  <c r="U332" i="1"/>
  <c r="P284" i="1"/>
  <c r="T284" i="1"/>
  <c r="AZ284" i="1" s="1"/>
  <c r="U284" i="1"/>
  <c r="P272" i="1"/>
  <c r="T272" i="1"/>
  <c r="AZ272" i="1" s="1"/>
  <c r="U272" i="1"/>
  <c r="U399" i="1"/>
  <c r="U398" i="1"/>
  <c r="U391" i="1"/>
  <c r="U390" i="1"/>
  <c r="U383" i="1"/>
  <c r="U382" i="1"/>
  <c r="U375" i="1"/>
  <c r="U351" i="1"/>
  <c r="Q334" i="1"/>
  <c r="BC334" i="1" s="1"/>
  <c r="BD334" i="1" s="1"/>
  <c r="P332" i="1"/>
  <c r="T339" i="1"/>
  <c r="AZ339" i="1" s="1"/>
  <c r="U339" i="1"/>
  <c r="P330" i="1"/>
  <c r="T330" i="1"/>
  <c r="AZ330" i="1" s="1"/>
  <c r="P328" i="1"/>
  <c r="U328" i="1"/>
  <c r="P347" i="1"/>
  <c r="T324" i="1"/>
  <c r="AZ324" i="1" s="1"/>
  <c r="T310" i="1"/>
  <c r="AZ310" i="1" s="1"/>
  <c r="T308" i="1"/>
  <c r="AZ308" i="1" s="1"/>
  <c r="T294" i="1"/>
  <c r="AZ294" i="1" s="1"/>
  <c r="T292" i="1"/>
  <c r="AZ292" i="1" s="1"/>
  <c r="T270" i="1"/>
  <c r="AZ270" i="1" s="1"/>
  <c r="Q265" i="1"/>
  <c r="BC265" i="1" s="1"/>
  <c r="BD265" i="1" s="1"/>
  <c r="Q261" i="1"/>
  <c r="BC261" i="1" s="1"/>
  <c r="BD261" i="1" s="1"/>
  <c r="P209" i="1"/>
  <c r="T209" i="1"/>
  <c r="AZ209" i="1" s="1"/>
  <c r="U209" i="1"/>
  <c r="U335" i="1"/>
  <c r="P327" i="1"/>
  <c r="T312" i="1"/>
  <c r="AZ312" i="1" s="1"/>
  <c r="T298" i="1"/>
  <c r="AZ298" i="1" s="1"/>
  <c r="T296" i="1"/>
  <c r="AZ296" i="1" s="1"/>
  <c r="T282" i="1"/>
  <c r="AZ282" i="1" s="1"/>
  <c r="T280" i="1"/>
  <c r="AZ280" i="1" s="1"/>
  <c r="T268" i="1"/>
  <c r="AZ268" i="1" s="1"/>
  <c r="P268" i="1"/>
  <c r="P266" i="1"/>
  <c r="T266" i="1"/>
  <c r="AZ266" i="1" s="1"/>
  <c r="T264" i="1"/>
  <c r="AZ264" i="1" s="1"/>
  <c r="P264" i="1"/>
  <c r="P262" i="1"/>
  <c r="T262" i="1"/>
  <c r="AZ262" i="1" s="1"/>
  <c r="T260" i="1"/>
  <c r="AZ260" i="1" s="1"/>
  <c r="P260" i="1"/>
  <c r="P258" i="1"/>
  <c r="T258" i="1"/>
  <c r="AZ258" i="1" s="1"/>
  <c r="P254" i="1"/>
  <c r="T254" i="1"/>
  <c r="AZ254" i="1" s="1"/>
  <c r="P250" i="1"/>
  <c r="T250" i="1"/>
  <c r="AZ250" i="1" s="1"/>
  <c r="T302" i="1"/>
  <c r="AZ302" i="1" s="1"/>
  <c r="T286" i="1"/>
  <c r="AZ286" i="1" s="1"/>
  <c r="T274" i="1"/>
  <c r="AZ274" i="1" s="1"/>
  <c r="U304" i="1"/>
  <c r="Q222" i="1"/>
  <c r="BC222" i="1" s="1"/>
  <c r="BD222" i="1" s="1"/>
  <c r="P213" i="1"/>
  <c r="T213" i="1"/>
  <c r="AZ213" i="1" s="1"/>
  <c r="U213" i="1"/>
  <c r="Q210" i="1"/>
  <c r="BC210" i="1" s="1"/>
  <c r="BD210" i="1" s="1"/>
  <c r="T279" i="1"/>
  <c r="AZ279" i="1" s="1"/>
  <c r="T275" i="1"/>
  <c r="AZ275" i="1" s="1"/>
  <c r="T271" i="1"/>
  <c r="AZ271" i="1" s="1"/>
  <c r="T267" i="1"/>
  <c r="AZ267" i="1" s="1"/>
  <c r="T263" i="1"/>
  <c r="AZ263" i="1" s="1"/>
  <c r="T259" i="1"/>
  <c r="AZ259" i="1" s="1"/>
  <c r="T255" i="1"/>
  <c r="AZ255" i="1" s="1"/>
  <c r="T251" i="1"/>
  <c r="AZ251" i="1" s="1"/>
  <c r="T247" i="1"/>
  <c r="AZ247" i="1" s="1"/>
  <c r="P200" i="1"/>
  <c r="P198" i="1"/>
  <c r="T198" i="1"/>
  <c r="AZ198" i="1" s="1"/>
  <c r="U198" i="1"/>
  <c r="P256" i="1"/>
  <c r="P252" i="1"/>
  <c r="P248" i="1"/>
  <c r="T233" i="1"/>
  <c r="AZ233" i="1" s="1"/>
  <c r="P231" i="1"/>
  <c r="T225" i="1"/>
  <c r="AZ225" i="1" s="1"/>
  <c r="P223" i="1"/>
  <c r="T217" i="1"/>
  <c r="AZ217" i="1" s="1"/>
  <c r="P215" i="1"/>
  <c r="T183" i="1"/>
  <c r="AZ183" i="1" s="1"/>
  <c r="P183" i="1"/>
  <c r="U183" i="1"/>
  <c r="U227" i="1"/>
  <c r="U219" i="1"/>
  <c r="T197" i="1"/>
  <c r="AZ197" i="1" s="1"/>
  <c r="P197" i="1"/>
  <c r="U197" i="1"/>
  <c r="P192" i="1"/>
  <c r="T192" i="1"/>
  <c r="AZ192" i="1" s="1"/>
  <c r="U192" i="1"/>
  <c r="Q194" i="1"/>
  <c r="BC194" i="1" s="1"/>
  <c r="BD194" i="1" s="1"/>
  <c r="Q218" i="1"/>
  <c r="BC218" i="1" s="1"/>
  <c r="BD218" i="1" s="1"/>
  <c r="T211" i="1"/>
  <c r="AZ211" i="1" s="1"/>
  <c r="P211" i="1"/>
  <c r="T207" i="1"/>
  <c r="AZ207" i="1" s="1"/>
  <c r="P207" i="1"/>
  <c r="T205" i="1"/>
  <c r="AZ205" i="1" s="1"/>
  <c r="U205" i="1"/>
  <c r="P205" i="1"/>
  <c r="P199" i="1"/>
  <c r="T199" i="1"/>
  <c r="AZ199" i="1" s="1"/>
  <c r="U199" i="1"/>
  <c r="T191" i="1"/>
  <c r="AZ191" i="1" s="1"/>
  <c r="P191" i="1"/>
  <c r="U191" i="1"/>
  <c r="T140" i="1"/>
  <c r="AZ140" i="1" s="1"/>
  <c r="U140" i="1"/>
  <c r="P140" i="1"/>
  <c r="U231" i="1"/>
  <c r="U223" i="1"/>
  <c r="U215" i="1"/>
  <c r="P184" i="1"/>
  <c r="T184" i="1"/>
  <c r="AZ184" i="1" s="1"/>
  <c r="U184" i="1"/>
  <c r="Q178" i="1"/>
  <c r="BC178" i="1" s="1"/>
  <c r="BD178" i="1" s="1"/>
  <c r="P193" i="1"/>
  <c r="T193" i="1"/>
  <c r="AZ193" i="1" s="1"/>
  <c r="P188" i="1"/>
  <c r="P185" i="1"/>
  <c r="T185" i="1"/>
  <c r="AZ185" i="1" s="1"/>
  <c r="T178" i="1"/>
  <c r="AZ178" i="1" s="1"/>
  <c r="Q173" i="1"/>
  <c r="BC173" i="1" s="1"/>
  <c r="BD173" i="1" s="1"/>
  <c r="T171" i="1"/>
  <c r="AZ171" i="1" s="1"/>
  <c r="P169" i="1"/>
  <c r="T169" i="1"/>
  <c r="AZ169" i="1" s="1"/>
  <c r="Q154" i="1"/>
  <c r="BC154" i="1" s="1"/>
  <c r="BD154" i="1" s="1"/>
  <c r="P36" i="1"/>
  <c r="T36" i="1"/>
  <c r="AZ36" i="1" s="1"/>
  <c r="U36" i="1"/>
  <c r="P204" i="1"/>
  <c r="Q202" i="1"/>
  <c r="BC202" i="1" s="1"/>
  <c r="BD202" i="1" s="1"/>
  <c r="T196" i="1"/>
  <c r="AZ196" i="1" s="1"/>
  <c r="Q163" i="1"/>
  <c r="BC163" i="1" s="1"/>
  <c r="BD163" i="1" s="1"/>
  <c r="Q142" i="1"/>
  <c r="BC142" i="1" s="1"/>
  <c r="BD142" i="1" s="1"/>
  <c r="Q108" i="1"/>
  <c r="BC108" i="1" s="1"/>
  <c r="BD108" i="1" s="1"/>
  <c r="T187" i="1"/>
  <c r="AZ187" i="1" s="1"/>
  <c r="P187" i="1"/>
  <c r="P181" i="1"/>
  <c r="T181" i="1"/>
  <c r="AZ181" i="1" s="1"/>
  <c r="P170" i="1"/>
  <c r="T170" i="1"/>
  <c r="AZ170" i="1" s="1"/>
  <c r="P167" i="1"/>
  <c r="T167" i="1"/>
  <c r="AZ167" i="1" s="1"/>
  <c r="P189" i="1"/>
  <c r="T189" i="1"/>
  <c r="AZ189" i="1" s="1"/>
  <c r="U188" i="1"/>
  <c r="U187" i="1"/>
  <c r="P177" i="1"/>
  <c r="T177" i="1"/>
  <c r="AZ177" i="1" s="1"/>
  <c r="U176" i="1"/>
  <c r="U169" i="1"/>
  <c r="T168" i="1"/>
  <c r="AZ168" i="1" s="1"/>
  <c r="P168" i="1"/>
  <c r="U159" i="1"/>
  <c r="T156" i="1"/>
  <c r="AZ156" i="1" s="1"/>
  <c r="U156" i="1"/>
  <c r="P156" i="1"/>
  <c r="T132" i="1"/>
  <c r="AZ132" i="1" s="1"/>
  <c r="P132" i="1"/>
  <c r="U132" i="1"/>
  <c r="Q126" i="1"/>
  <c r="BC126" i="1" s="1"/>
  <c r="BD126" i="1" s="1"/>
  <c r="Q116" i="1"/>
  <c r="BC116" i="1" s="1"/>
  <c r="BD116" i="1" s="1"/>
  <c r="P179" i="1"/>
  <c r="P175" i="1"/>
  <c r="U144" i="1"/>
  <c r="Q143" i="1"/>
  <c r="BC143" i="1" s="1"/>
  <c r="BD143" i="1" s="1"/>
  <c r="U114" i="1"/>
  <c r="P114" i="1"/>
  <c r="T114" i="1"/>
  <c r="AZ114" i="1" s="1"/>
  <c r="U106" i="1"/>
  <c r="P106" i="1"/>
  <c r="T106" i="1"/>
  <c r="AZ106" i="1" s="1"/>
  <c r="Q48" i="1"/>
  <c r="BC48" i="1" s="1"/>
  <c r="BD48" i="1" s="1"/>
  <c r="P148" i="1"/>
  <c r="P87" i="1"/>
  <c r="T87" i="1"/>
  <c r="AZ87" i="1" s="1"/>
  <c r="U87" i="1"/>
  <c r="Q82" i="1"/>
  <c r="BC82" i="1" s="1"/>
  <c r="BD82" i="1" s="1"/>
  <c r="T128" i="1"/>
  <c r="AZ128" i="1" s="1"/>
  <c r="P128" i="1"/>
  <c r="Q124" i="1"/>
  <c r="BC124" i="1" s="1"/>
  <c r="BD124" i="1" s="1"/>
  <c r="Q139" i="1"/>
  <c r="BC139" i="1" s="1"/>
  <c r="BD139" i="1" s="1"/>
  <c r="T136" i="1"/>
  <c r="AZ136" i="1" s="1"/>
  <c r="P136" i="1"/>
  <c r="U122" i="1"/>
  <c r="P122" i="1"/>
  <c r="T122" i="1"/>
  <c r="AZ122" i="1" s="1"/>
  <c r="P125" i="1"/>
  <c r="P118" i="1"/>
  <c r="P117" i="1"/>
  <c r="P110" i="1"/>
  <c r="P109" i="1"/>
  <c r="P102" i="1"/>
  <c r="P101" i="1"/>
  <c r="T98" i="1"/>
  <c r="AZ98" i="1" s="1"/>
  <c r="U91" i="1"/>
  <c r="Q68" i="1"/>
  <c r="BC68" i="1" s="1"/>
  <c r="BD68" i="1" s="1"/>
  <c r="P91" i="1"/>
  <c r="P79" i="1"/>
  <c r="T79" i="1"/>
  <c r="AZ79" i="1" s="1"/>
  <c r="U79" i="1"/>
  <c r="Q52" i="1"/>
  <c r="BC52" i="1" s="1"/>
  <c r="BD52" i="1" s="1"/>
  <c r="P98" i="1"/>
  <c r="T90" i="1"/>
  <c r="AZ90" i="1" s="1"/>
  <c r="P90" i="1"/>
  <c r="T82" i="1"/>
  <c r="AZ82" i="1" s="1"/>
  <c r="U82" i="1"/>
  <c r="Q64" i="1"/>
  <c r="BC64" i="1" s="1"/>
  <c r="BD64" i="1" s="1"/>
  <c r="Q60" i="1"/>
  <c r="BC60" i="1" s="1"/>
  <c r="BD60" i="1" s="1"/>
  <c r="T86" i="1"/>
  <c r="AZ86" i="1" s="1"/>
  <c r="P86" i="1"/>
  <c r="Q76" i="1"/>
  <c r="BC76" i="1" s="1"/>
  <c r="BD76" i="1" s="1"/>
  <c r="T78" i="1"/>
  <c r="AZ78" i="1" s="1"/>
  <c r="P78" i="1"/>
  <c r="P44" i="1"/>
  <c r="T44" i="1"/>
  <c r="AZ44" i="1" s="1"/>
  <c r="U44" i="1"/>
  <c r="Q40" i="1"/>
  <c r="BC40" i="1" s="1"/>
  <c r="BD40" i="1" s="1"/>
  <c r="T81" i="1"/>
  <c r="AZ81" i="1" s="1"/>
  <c r="P81" i="1"/>
  <c r="P75" i="1"/>
  <c r="T75" i="1"/>
  <c r="AZ75" i="1" s="1"/>
  <c r="P71" i="1"/>
  <c r="T71" i="1"/>
  <c r="AZ71" i="1" s="1"/>
  <c r="P67" i="1"/>
  <c r="T67" i="1"/>
  <c r="AZ67" i="1" s="1"/>
  <c r="P63" i="1"/>
  <c r="T63" i="1"/>
  <c r="AZ63" i="1" s="1"/>
  <c r="P59" i="1"/>
  <c r="T59" i="1"/>
  <c r="AZ59" i="1" s="1"/>
  <c r="P55" i="1"/>
  <c r="T55" i="1"/>
  <c r="AZ55" i="1" s="1"/>
  <c r="P51" i="1"/>
  <c r="T51" i="1"/>
  <c r="AZ51" i="1" s="1"/>
  <c r="P47" i="1"/>
  <c r="T47" i="1"/>
  <c r="AZ47" i="1" s="1"/>
  <c r="U40" i="1"/>
  <c r="P83" i="1"/>
  <c r="T83" i="1"/>
  <c r="AZ83" i="1" s="1"/>
  <c r="U81" i="1"/>
  <c r="U43" i="1"/>
  <c r="U75" i="1"/>
  <c r="U71" i="1"/>
  <c r="U67" i="1"/>
  <c r="U63" i="1"/>
  <c r="U59" i="1"/>
  <c r="U55" i="1"/>
  <c r="U51" i="1"/>
  <c r="U47" i="1"/>
  <c r="P39" i="1"/>
  <c r="T39" i="1"/>
  <c r="AZ39" i="1" s="1"/>
  <c r="T85" i="1"/>
  <c r="AZ85" i="1" s="1"/>
  <c r="P85" i="1"/>
  <c r="U83" i="1"/>
  <c r="T77" i="1"/>
  <c r="AZ77" i="1" s="1"/>
  <c r="P77" i="1"/>
  <c r="U76" i="1"/>
  <c r="T73" i="1"/>
  <c r="AZ73" i="1" s="1"/>
  <c r="P73" i="1"/>
  <c r="T69" i="1"/>
  <c r="AZ69" i="1" s="1"/>
  <c r="P69" i="1"/>
  <c r="T65" i="1"/>
  <c r="AZ65" i="1" s="1"/>
  <c r="P65" i="1"/>
  <c r="T61" i="1"/>
  <c r="AZ61" i="1" s="1"/>
  <c r="P61" i="1"/>
  <c r="T57" i="1"/>
  <c r="AZ57" i="1" s="1"/>
  <c r="P57" i="1"/>
  <c r="T53" i="1"/>
  <c r="AZ53" i="1" s="1"/>
  <c r="P53" i="1"/>
  <c r="U52" i="1"/>
  <c r="T49" i="1"/>
  <c r="AZ49" i="1" s="1"/>
  <c r="P49" i="1"/>
  <c r="U48" i="1"/>
  <c r="P43" i="1"/>
  <c r="T43" i="1"/>
  <c r="AZ43" i="1" s="1"/>
  <c r="U73" i="1"/>
  <c r="U69" i="1"/>
  <c r="U65" i="1"/>
  <c r="U61" i="1"/>
  <c r="U57" i="1"/>
  <c r="U53" i="1"/>
  <c r="U49" i="1"/>
  <c r="U39" i="1"/>
  <c r="P45" i="1"/>
  <c r="P41" i="1"/>
  <c r="Q26" i="1"/>
  <c r="BC26" i="1" s="1"/>
  <c r="BD26" i="1" s="1"/>
  <c r="Q10" i="1"/>
  <c r="BC10" i="1" s="1"/>
  <c r="BD10" i="1" s="1"/>
  <c r="Q32" i="1"/>
  <c r="BC32" i="1" s="1"/>
  <c r="BD32" i="1" s="1"/>
  <c r="Q18" i="1"/>
  <c r="BC18" i="1" s="1"/>
  <c r="BD18" i="1" s="1"/>
  <c r="Q24" i="1"/>
  <c r="BC24" i="1" s="1"/>
  <c r="BD24" i="1" s="1"/>
  <c r="Q23" i="1"/>
  <c r="BC23" i="1" s="1"/>
  <c r="BD23" i="1" s="1"/>
  <c r="Q4" i="1"/>
  <c r="BC4" i="1" s="1"/>
  <c r="BD4" i="1" s="1"/>
  <c r="Q16" i="1"/>
  <c r="BC16" i="1" s="1"/>
  <c r="BD16" i="1" s="1"/>
  <c r="Q15" i="1"/>
  <c r="BC15" i="1" s="1"/>
  <c r="BD15" i="1" s="1"/>
  <c r="Q7" i="1"/>
  <c r="BC7" i="1" s="1"/>
  <c r="BD7" i="1" s="1"/>
  <c r="Q34" i="1"/>
  <c r="BC34" i="1" s="1"/>
  <c r="BD34" i="1" s="1"/>
  <c r="Q8" i="1"/>
  <c r="BC8" i="1" s="1"/>
  <c r="BD8" i="1" s="1"/>
  <c r="T34" i="1"/>
  <c r="AZ34" i="1" s="1"/>
  <c r="T26" i="1"/>
  <c r="AZ26" i="1" s="1"/>
  <c r="T18" i="1"/>
  <c r="AZ18" i="1" s="1"/>
  <c r="T10" i="1"/>
  <c r="AZ10" i="1" s="1"/>
  <c r="Q9" i="1"/>
  <c r="BC9" i="1" s="1"/>
  <c r="BD9" i="1" s="1"/>
  <c r="U24" i="1"/>
  <c r="U16" i="1"/>
  <c r="T32" i="1"/>
  <c r="AZ32" i="1" s="1"/>
  <c r="T24" i="1"/>
  <c r="AZ24" i="1" s="1"/>
  <c r="T16" i="1"/>
  <c r="AZ16" i="1" s="1"/>
  <c r="T8" i="1"/>
  <c r="AZ8" i="1" s="1"/>
  <c r="U8" i="1"/>
  <c r="T35" i="1"/>
  <c r="AZ35" i="1" s="1"/>
  <c r="T27" i="1"/>
  <c r="AZ27" i="1" s="1"/>
  <c r="T19" i="1"/>
  <c r="AZ19" i="1" s="1"/>
  <c r="T11" i="1"/>
  <c r="AZ11" i="1" s="1"/>
  <c r="U32" i="1"/>
  <c r="U3" i="1"/>
  <c r="T3" i="1"/>
  <c r="AZ3" i="1" s="1"/>
  <c r="BM3" i="1" l="1"/>
  <c r="H33" i="2" s="1"/>
  <c r="S112" i="1"/>
  <c r="W112" i="1" s="1"/>
  <c r="S71" i="1"/>
  <c r="S53" i="1"/>
  <c r="S245" i="1"/>
  <c r="W245" i="1" s="1"/>
  <c r="S309" i="1"/>
  <c r="W309" i="1" s="1"/>
  <c r="S181" i="1"/>
  <c r="S117" i="1"/>
  <c r="S67" i="1"/>
  <c r="S131" i="1"/>
  <c r="W131" i="1" s="1"/>
  <c r="S95" i="1"/>
  <c r="W95" i="1" s="1"/>
  <c r="S275" i="1"/>
  <c r="W275" i="1" s="1"/>
  <c r="S202" i="1"/>
  <c r="W202" i="1" s="1"/>
  <c r="S363" i="1"/>
  <c r="S65" i="1"/>
  <c r="S165" i="1"/>
  <c r="W165" i="1" s="1"/>
  <c r="S414" i="1"/>
  <c r="W414" i="1" s="1"/>
  <c r="S463" i="1"/>
  <c r="S109" i="1"/>
  <c r="S377" i="1"/>
  <c r="S283" i="1"/>
  <c r="W283" i="1" s="1"/>
  <c r="S457" i="1"/>
  <c r="S96" i="1"/>
  <c r="W96" i="1" s="1"/>
  <c r="S305" i="1"/>
  <c r="W305" i="1" s="1"/>
  <c r="S217" i="1"/>
  <c r="W217" i="1" s="1"/>
  <c r="S447" i="1"/>
  <c r="S279" i="1"/>
  <c r="W279" i="1" s="1"/>
  <c r="S63" i="1"/>
  <c r="S176" i="1"/>
  <c r="W176" i="1" s="1"/>
  <c r="S468" i="1"/>
  <c r="W468" i="1" s="1"/>
  <c r="S453" i="1"/>
  <c r="S137" i="1"/>
  <c r="W137" i="1" s="1"/>
  <c r="S278" i="1"/>
  <c r="S404" i="1"/>
  <c r="W404" i="1" s="1"/>
  <c r="S214" i="1"/>
  <c r="W214" i="1" s="1"/>
  <c r="S470" i="1"/>
  <c r="S368" i="1"/>
  <c r="S409" i="1"/>
  <c r="W409" i="1" s="1"/>
  <c r="S34" i="1"/>
  <c r="W34" i="1" s="1"/>
  <c r="S59" i="1"/>
  <c r="S86" i="1"/>
  <c r="S285" i="1"/>
  <c r="W285" i="1" s="1"/>
  <c r="S342" i="1"/>
  <c r="W342" i="1" s="1"/>
  <c r="S427" i="1"/>
  <c r="S18" i="1"/>
  <c r="W18" i="1" s="1"/>
  <c r="S215" i="1"/>
  <c r="S266" i="1"/>
  <c r="S304" i="1"/>
  <c r="W304" i="1" s="1"/>
  <c r="S27" i="1"/>
  <c r="W27" i="1" s="1"/>
  <c r="S179" i="1"/>
  <c r="S115" i="1"/>
  <c r="S203" i="1"/>
  <c r="W203" i="1" s="1"/>
  <c r="S276" i="1"/>
  <c r="W276" i="1" s="1"/>
  <c r="S212" i="1"/>
  <c r="W212" i="1" s="1"/>
  <c r="S157" i="1"/>
  <c r="W157" i="1" s="1"/>
  <c r="S381" i="1"/>
  <c r="S88" i="1"/>
  <c r="W88" i="1" s="1"/>
  <c r="S458" i="1"/>
  <c r="W458" i="1" s="1"/>
  <c r="S432" i="1"/>
  <c r="W432" i="1" s="1"/>
  <c r="S74" i="1"/>
  <c r="W74" i="1" s="1"/>
  <c r="S349" i="1"/>
  <c r="W349" i="1" s="1"/>
  <c r="S267" i="1"/>
  <c r="W267" i="1" s="1"/>
  <c r="S406" i="1"/>
  <c r="W406" i="1" s="1"/>
  <c r="S383" i="1"/>
  <c r="W383" i="1" s="1"/>
  <c r="S148" i="1"/>
  <c r="S491" i="1"/>
  <c r="W491" i="1" s="1"/>
  <c r="S369" i="1"/>
  <c r="S340" i="1"/>
  <c r="W340" i="1" s="1"/>
  <c r="S93" i="1"/>
  <c r="W93" i="1" s="1"/>
  <c r="S330" i="1"/>
  <c r="S319" i="1"/>
  <c r="W319" i="1" s="1"/>
  <c r="S337" i="1"/>
  <c r="W337" i="1" s="1"/>
  <c r="S130" i="1"/>
  <c r="W130" i="1" s="1"/>
  <c r="S233" i="1"/>
  <c r="W233" i="1" s="1"/>
  <c r="S173" i="1"/>
  <c r="W173" i="1" s="1"/>
  <c r="S301" i="1"/>
  <c r="W301" i="1" s="1"/>
  <c r="S399" i="1"/>
  <c r="W399" i="1" s="1"/>
  <c r="S140" i="1"/>
  <c r="S460" i="1"/>
  <c r="W460" i="1" s="1"/>
  <c r="S375" i="1"/>
  <c r="W375" i="1" s="1"/>
  <c r="S81" i="1"/>
  <c r="S159" i="1"/>
  <c r="W159" i="1" s="1"/>
  <c r="S386" i="1"/>
  <c r="S237" i="1"/>
  <c r="W237" i="1" s="1"/>
  <c r="S385" i="1"/>
  <c r="S256" i="1"/>
  <c r="S195" i="1"/>
  <c r="W195" i="1" s="1"/>
  <c r="V295" i="1"/>
  <c r="S341" i="1"/>
  <c r="W341" i="1" s="1"/>
  <c r="S84" i="1"/>
  <c r="W84" i="1" s="1"/>
  <c r="S143" i="1"/>
  <c r="W143" i="1" s="1"/>
  <c r="S479" i="1"/>
  <c r="W479" i="1" s="1"/>
  <c r="S32" i="1"/>
  <c r="W32" i="1" s="1"/>
  <c r="S394" i="1"/>
  <c r="W394" i="1" s="1"/>
  <c r="S11" i="1"/>
  <c r="W11" i="1" s="1"/>
  <c r="S281" i="1"/>
  <c r="W281" i="1" s="1"/>
  <c r="S22" i="1"/>
  <c r="W22" i="1" s="1"/>
  <c r="S496" i="1"/>
  <c r="W496" i="1" s="1"/>
  <c r="S222" i="1"/>
  <c r="W222" i="1" s="1"/>
  <c r="S474" i="1"/>
  <c r="W474" i="1" s="1"/>
  <c r="S213" i="1"/>
  <c r="S332" i="1"/>
  <c r="S497" i="1"/>
  <c r="W497" i="1" s="1"/>
  <c r="S194" i="1"/>
  <c r="W194" i="1" s="1"/>
  <c r="S66" i="1"/>
  <c r="W66" i="1" s="1"/>
  <c r="S51" i="1"/>
  <c r="S270" i="1"/>
  <c r="W270" i="1" s="1"/>
  <c r="S424" i="1"/>
  <c r="W424" i="1" s="1"/>
  <c r="S439" i="1"/>
  <c r="S25" i="1"/>
  <c r="S107" i="1"/>
  <c r="W107" i="1" s="1"/>
  <c r="S57" i="1"/>
  <c r="S85" i="1"/>
  <c r="S135" i="1"/>
  <c r="W135" i="1" s="1"/>
  <c r="S429" i="1"/>
  <c r="S207" i="1"/>
  <c r="S171" i="1"/>
  <c r="W171" i="1" s="1"/>
  <c r="S450" i="1"/>
  <c r="S355" i="1"/>
  <c r="S483" i="1"/>
  <c r="W483" i="1" s="1"/>
  <c r="S142" i="1"/>
  <c r="W142" i="1" s="1"/>
  <c r="S104" i="1"/>
  <c r="W104" i="1" s="1"/>
  <c r="S129" i="1"/>
  <c r="S334" i="1"/>
  <c r="W334" i="1" s="1"/>
  <c r="S398" i="1"/>
  <c r="W398" i="1" s="1"/>
  <c r="S206" i="1"/>
  <c r="S209" i="1"/>
  <c r="S55" i="1"/>
  <c r="S76" i="1"/>
  <c r="W76" i="1" s="1"/>
  <c r="S258" i="1"/>
  <c r="S419" i="1"/>
  <c r="W419" i="1" s="1"/>
  <c r="S273" i="1"/>
  <c r="W273" i="1" s="1"/>
  <c r="S271" i="1"/>
  <c r="S323" i="1"/>
  <c r="W323" i="1" s="1"/>
  <c r="S232" i="1"/>
  <c r="W232" i="1" s="1"/>
  <c r="S360" i="1"/>
  <c r="W360" i="1" s="1"/>
  <c r="S462" i="1"/>
  <c r="W462" i="1" s="1"/>
  <c r="S311" i="1"/>
  <c r="BB3" i="1"/>
  <c r="H23" i="2" s="1"/>
  <c r="S205" i="1"/>
  <c r="S263" i="1"/>
  <c r="W263" i="1" s="1"/>
  <c r="S310" i="1"/>
  <c r="W310" i="1" s="1"/>
  <c r="S247" i="1"/>
  <c r="W247" i="1" s="1"/>
  <c r="S170" i="1"/>
  <c r="S42" i="1"/>
  <c r="W42" i="1" s="1"/>
  <c r="S240" i="1"/>
  <c r="W240" i="1" s="1"/>
  <c r="S26" i="1"/>
  <c r="W26" i="1" s="1"/>
  <c r="S36" i="1"/>
  <c r="S106" i="1"/>
  <c r="S336" i="1"/>
  <c r="S372" i="1"/>
  <c r="S433" i="1"/>
  <c r="S249" i="1"/>
  <c r="W249" i="1" s="1"/>
  <c r="S180" i="1"/>
  <c r="W180" i="1" s="1"/>
  <c r="S54" i="1"/>
  <c r="W54" i="1" s="1"/>
  <c r="S253" i="1"/>
  <c r="W253" i="1" s="1"/>
  <c r="S374" i="1"/>
  <c r="W374" i="1" s="1"/>
  <c r="S317" i="1"/>
  <c r="W317" i="1" s="1"/>
  <c r="S56" i="1"/>
  <c r="W56" i="1" s="1"/>
  <c r="S272" i="1"/>
  <c r="S116" i="1"/>
  <c r="W116" i="1" s="1"/>
  <c r="S438" i="1"/>
  <c r="W438" i="1" s="1"/>
  <c r="S299" i="1"/>
  <c r="W299" i="1" s="1"/>
  <c r="S183" i="1"/>
  <c r="S125" i="1"/>
  <c r="S61" i="1"/>
  <c r="S488" i="1"/>
  <c r="W488" i="1" s="1"/>
  <c r="S322" i="1"/>
  <c r="W322" i="1" s="1"/>
  <c r="S313" i="1"/>
  <c r="W313" i="1" s="1"/>
  <c r="S169" i="1"/>
  <c r="S182" i="1"/>
  <c r="W182" i="1" s="1"/>
  <c r="S35" i="1"/>
  <c r="W35" i="1" s="1"/>
  <c r="S105" i="1"/>
  <c r="W105" i="1" s="1"/>
  <c r="S490" i="1"/>
  <c r="W490" i="1" s="1"/>
  <c r="S362" i="1"/>
  <c r="S118" i="1"/>
  <c r="S189" i="1"/>
  <c r="S246" i="1"/>
  <c r="W246" i="1" s="1"/>
  <c r="S489" i="1"/>
  <c r="S269" i="1"/>
  <c r="W269" i="1" s="1"/>
  <c r="S199" i="1"/>
  <c r="S201" i="1"/>
  <c r="W201" i="1" s="1"/>
  <c r="S49" i="1"/>
  <c r="S316" i="1"/>
  <c r="S397" i="1"/>
  <c r="S431" i="1"/>
  <c r="S411" i="1"/>
  <c r="S126" i="1"/>
  <c r="W126" i="1" s="1"/>
  <c r="S350" i="1"/>
  <c r="S99" i="1"/>
  <c r="W99" i="1" s="1"/>
  <c r="S77" i="1"/>
  <c r="S347" i="1"/>
  <c r="S188" i="1"/>
  <c r="S229" i="1"/>
  <c r="W229" i="1" s="1"/>
  <c r="S367" i="1"/>
  <c r="W367" i="1" s="1"/>
  <c r="S141" i="1"/>
  <c r="W141" i="1" s="1"/>
  <c r="S251" i="1"/>
  <c r="W251" i="1" s="1"/>
  <c r="S21" i="1"/>
  <c r="W21" i="1" s="1"/>
  <c r="S47" i="1"/>
  <c r="S475" i="1"/>
  <c r="W475" i="1" s="1"/>
  <c r="S121" i="1"/>
  <c r="W121" i="1" s="1"/>
  <c r="S123" i="1"/>
  <c r="W123" i="1" s="1"/>
  <c r="S353" i="1"/>
  <c r="W353" i="1" s="1"/>
  <c r="S120" i="1"/>
  <c r="W120" i="1" s="1"/>
  <c r="S315" i="1"/>
  <c r="S187" i="1"/>
  <c r="S380" i="1"/>
  <c r="W380" i="1" s="1"/>
  <c r="S389" i="1"/>
  <c r="S101" i="1"/>
  <c r="S163" i="1"/>
  <c r="W163" i="1" s="1"/>
  <c r="S243" i="1"/>
  <c r="W243" i="1" s="1"/>
  <c r="S265" i="1"/>
  <c r="W265" i="1" s="1"/>
  <c r="S255" i="1"/>
  <c r="W255" i="1" s="1"/>
  <c r="S64" i="1"/>
  <c r="W64" i="1" s="1"/>
  <c r="S114" i="1"/>
  <c r="S191" i="1"/>
  <c r="S306" i="1"/>
  <c r="S495" i="1"/>
  <c r="W495" i="1" s="1"/>
  <c r="S254" i="1"/>
  <c r="S481" i="1"/>
  <c r="S133" i="1"/>
  <c r="S152" i="1"/>
  <c r="W152" i="1" s="1"/>
  <c r="S345" i="1"/>
  <c r="S69" i="1"/>
  <c r="S261" i="1"/>
  <c r="W261" i="1" s="1"/>
  <c r="S359" i="1"/>
  <c r="W359" i="1" s="1"/>
  <c r="S41" i="1"/>
  <c r="S344" i="1"/>
  <c r="W344" i="1" s="1"/>
  <c r="S197" i="1"/>
  <c r="S50" i="1"/>
  <c r="W50" i="1" s="1"/>
  <c r="S91" i="1"/>
  <c r="S242" i="1"/>
  <c r="W242" i="1" s="1"/>
  <c r="S441" i="1"/>
  <c r="S280" i="1"/>
  <c r="W280" i="1" s="1"/>
  <c r="S155" i="1"/>
  <c r="W155" i="1" s="1"/>
  <c r="S444" i="1"/>
  <c r="W444" i="1" s="1"/>
  <c r="S39" i="1"/>
  <c r="S307" i="1"/>
  <c r="S113" i="1"/>
  <c r="W113" i="1" s="1"/>
  <c r="S257" i="1"/>
  <c r="W257" i="1" s="1"/>
  <c r="S60" i="1"/>
  <c r="W60" i="1" s="1"/>
  <c r="S193" i="1"/>
  <c r="S408" i="1"/>
  <c r="S28" i="1"/>
  <c r="W28" i="1" s="1"/>
  <c r="S62" i="1"/>
  <c r="W62" i="1" s="1"/>
  <c r="S446" i="1"/>
  <c r="S382" i="1"/>
  <c r="W382" i="1" s="1"/>
  <c r="S472" i="1"/>
  <c r="W472" i="1" s="1"/>
  <c r="S434" i="1"/>
  <c r="W434" i="1" s="1"/>
  <c r="S124" i="1"/>
  <c r="W124" i="1" s="1"/>
  <c r="S461" i="1"/>
  <c r="S423" i="1"/>
  <c r="W423" i="1" s="1"/>
  <c r="S467" i="1"/>
  <c r="S318" i="1"/>
  <c r="W318" i="1" s="1"/>
  <c r="S252" i="1"/>
  <c r="S45" i="1"/>
  <c r="S178" i="1"/>
  <c r="W178" i="1" s="1"/>
  <c r="S216" i="1"/>
  <c r="W216" i="1" s="1"/>
  <c r="S403" i="1"/>
  <c r="S373" i="1"/>
  <c r="S339" i="1"/>
  <c r="W339" i="1" s="1"/>
  <c r="S370" i="1"/>
  <c r="S5" i="1"/>
  <c r="W5" i="1" s="1"/>
  <c r="S190" i="1"/>
  <c r="W190" i="1" s="1"/>
  <c r="S119" i="1"/>
  <c r="S12" i="1"/>
  <c r="W12" i="1" s="1"/>
  <c r="S325" i="1"/>
  <c r="W325" i="1" s="1"/>
  <c r="S473" i="1"/>
  <c r="W473" i="1" s="1"/>
  <c r="S37" i="1"/>
  <c r="W37" i="1" s="1"/>
  <c r="S329" i="1"/>
  <c r="S83" i="1"/>
  <c r="S400" i="1"/>
  <c r="W400" i="1" s="1"/>
  <c r="S75" i="1"/>
  <c r="S298" i="1"/>
  <c r="W298" i="1" s="1"/>
  <c r="S395" i="1"/>
  <c r="S308" i="1"/>
  <c r="W308" i="1" s="1"/>
  <c r="S208" i="1"/>
  <c r="S111" i="1"/>
  <c r="W111" i="1" s="1"/>
  <c r="S235" i="1"/>
  <c r="W235" i="1" s="1"/>
  <c r="S147" i="1"/>
  <c r="W147" i="1" s="1"/>
  <c r="S227" i="1"/>
  <c r="W227" i="1" s="1"/>
  <c r="S331" i="1"/>
  <c r="S464" i="1"/>
  <c r="W464" i="1" s="1"/>
  <c r="S139" i="1"/>
  <c r="W139" i="1" s="1"/>
  <c r="S10" i="1"/>
  <c r="W10" i="1" s="1"/>
  <c r="S185" i="1"/>
  <c r="S52" i="1"/>
  <c r="W52" i="1" s="1"/>
  <c r="S357" i="1"/>
  <c r="S351" i="1"/>
  <c r="W351" i="1" s="1"/>
  <c r="S413" i="1"/>
  <c r="S415" i="1"/>
  <c r="W415" i="1" s="1"/>
  <c r="S459" i="1"/>
  <c r="S426" i="1"/>
  <c r="W426" i="1" s="1"/>
  <c r="S244" i="1"/>
  <c r="W244" i="1" s="1"/>
  <c r="S500" i="1"/>
  <c r="W500" i="1" s="1"/>
  <c r="S436" i="1"/>
  <c r="W436" i="1" s="1"/>
  <c r="S234" i="1"/>
  <c r="W234" i="1" s="1"/>
  <c r="S144" i="1"/>
  <c r="W144" i="1" s="1"/>
  <c r="S168" i="1"/>
  <c r="S296" i="1"/>
  <c r="W296" i="1" s="1"/>
  <c r="S361" i="1"/>
  <c r="S16" i="1"/>
  <c r="W16" i="1" s="1"/>
  <c r="S9" i="1"/>
  <c r="W9" i="1" s="1"/>
  <c r="S80" i="1"/>
  <c r="W80" i="1" s="1"/>
  <c r="S78" i="1"/>
  <c r="S268" i="1"/>
  <c r="S204" i="1"/>
  <c r="S469" i="1"/>
  <c r="S333" i="1"/>
  <c r="S98" i="1"/>
  <c r="S177" i="1"/>
  <c r="S264" i="1"/>
  <c r="S161" i="1"/>
  <c r="S48" i="1"/>
  <c r="W48" i="1" s="1"/>
  <c r="S451" i="1"/>
  <c r="S97" i="1"/>
  <c r="W97" i="1" s="1"/>
  <c r="S44" i="1"/>
  <c r="S3" i="1"/>
  <c r="W3" i="1" s="1"/>
  <c r="S241" i="1"/>
  <c r="W241" i="1" s="1"/>
  <c r="S494" i="1"/>
  <c r="W494" i="1" s="1"/>
  <c r="S430" i="1"/>
  <c r="W430" i="1" s="1"/>
  <c r="S428" i="1"/>
  <c r="W428" i="1" s="1"/>
  <c r="S328" i="1"/>
  <c r="S321" i="1"/>
  <c r="W321" i="1" s="1"/>
  <c r="S465" i="1"/>
  <c r="S82" i="1"/>
  <c r="W82" i="1" s="1"/>
  <c r="S417" i="1"/>
  <c r="W417" i="1" s="1"/>
  <c r="S348" i="1"/>
  <c r="W348" i="1" s="1"/>
  <c r="S391" i="1"/>
  <c r="W391" i="1" s="1"/>
  <c r="S151" i="1"/>
  <c r="S87" i="1"/>
  <c r="S412" i="1"/>
  <c r="S145" i="1"/>
  <c r="W145" i="1" s="1"/>
  <c r="S158" i="1"/>
  <c r="W158" i="1" s="1"/>
  <c r="S466" i="1"/>
  <c r="W466" i="1" s="1"/>
  <c r="S338" i="1"/>
  <c r="W338" i="1" s="1"/>
  <c r="S289" i="1"/>
  <c r="W289" i="1" s="1"/>
  <c r="S92" i="1"/>
  <c r="W92" i="1" s="1"/>
  <c r="S476" i="1"/>
  <c r="W476" i="1" s="1"/>
  <c r="S223" i="1"/>
  <c r="S4" i="1"/>
  <c r="W4" i="1" s="1"/>
  <c r="S146" i="1"/>
  <c r="W146" i="1" s="1"/>
  <c r="S73" i="1"/>
  <c r="S184" i="1"/>
  <c r="S20" i="1"/>
  <c r="W20" i="1" s="1"/>
  <c r="S156" i="1"/>
  <c r="S312" i="1"/>
  <c r="W312" i="1" s="1"/>
  <c r="S376" i="1"/>
  <c r="W376" i="1" s="1"/>
  <c r="S440" i="1"/>
  <c r="W440" i="1" s="1"/>
  <c r="S478" i="1"/>
  <c r="W478" i="1" s="1"/>
  <c r="S455" i="1"/>
  <c r="S499" i="1"/>
  <c r="W499" i="1" s="1"/>
  <c r="S274" i="1"/>
  <c r="W274" i="1" s="1"/>
  <c r="S365" i="1"/>
  <c r="S435" i="1"/>
  <c r="S29" i="1"/>
  <c r="W29" i="1" s="1"/>
  <c r="S38" i="1"/>
  <c r="W38" i="1" s="1"/>
  <c r="S327" i="1"/>
  <c r="S225" i="1"/>
  <c r="W225" i="1" s="1"/>
  <c r="S248" i="1"/>
  <c r="S485" i="1"/>
  <c r="W485" i="1" s="1"/>
  <c r="S211" i="1"/>
  <c r="S286" i="1"/>
  <c r="W286" i="1" s="1"/>
  <c r="S284" i="1"/>
  <c r="S393" i="1"/>
  <c r="W393" i="1" s="1"/>
  <c r="S210" i="1"/>
  <c r="W210" i="1" s="1"/>
  <c r="S405" i="1"/>
  <c r="W405" i="1" s="1"/>
  <c r="S402" i="1"/>
  <c r="W402" i="1" s="1"/>
  <c r="S94" i="1"/>
  <c r="W94" i="1" s="1"/>
  <c r="S287" i="1"/>
  <c r="W287" i="1" s="1"/>
  <c r="S371" i="1"/>
  <c r="S166" i="1"/>
  <c r="W166" i="1" s="1"/>
  <c r="S379" i="1"/>
  <c r="S407" i="1"/>
  <c r="W407" i="1" s="1"/>
  <c r="S443" i="1"/>
  <c r="S445" i="1"/>
  <c r="S108" i="1"/>
  <c r="W108" i="1" s="1"/>
  <c r="S236" i="1"/>
  <c r="W236" i="1" s="1"/>
  <c r="S164" i="1"/>
  <c r="W164" i="1" s="1"/>
  <c r="S239" i="1"/>
  <c r="W239" i="1" s="1"/>
  <c r="S384" i="1"/>
  <c r="W384" i="1" s="1"/>
  <c r="S110" i="1"/>
  <c r="S418" i="1"/>
  <c r="W418" i="1" s="1"/>
  <c r="S387" i="1"/>
  <c r="S410" i="1"/>
  <c r="W410" i="1" s="1"/>
  <c r="S230" i="1"/>
  <c r="W230" i="1" s="1"/>
  <c r="S477" i="1"/>
  <c r="S15" i="1"/>
  <c r="W15" i="1" s="1"/>
  <c r="S425" i="1"/>
  <c r="W425" i="1" s="1"/>
  <c r="S231" i="1"/>
  <c r="S79" i="1"/>
  <c r="S290" i="1"/>
  <c r="S401" i="1"/>
  <c r="W401" i="1" s="1"/>
  <c r="S392" i="1"/>
  <c r="W392" i="1" s="1"/>
  <c r="S456" i="1"/>
  <c r="W456" i="1" s="1"/>
  <c r="S33" i="1"/>
  <c r="W33" i="1" s="1"/>
  <c r="S200" i="1"/>
  <c r="S484" i="1"/>
  <c r="W484" i="1" s="1"/>
  <c r="S46" i="1"/>
  <c r="W46" i="1" s="1"/>
  <c r="S17" i="1"/>
  <c r="W17" i="1" s="1"/>
  <c r="S358" i="1"/>
  <c r="W358" i="1" s="1"/>
  <c r="S72" i="1"/>
  <c r="W72" i="1" s="1"/>
  <c r="AX72" i="1"/>
  <c r="S160" i="1"/>
  <c r="W160" i="1" s="1"/>
  <c r="AX160" i="1"/>
  <c r="S224" i="1"/>
  <c r="W224" i="1" s="1"/>
  <c r="AX224" i="1"/>
  <c r="S288" i="1"/>
  <c r="W288" i="1" s="1"/>
  <c r="AX288" i="1"/>
  <c r="S352" i="1"/>
  <c r="W352" i="1" s="1"/>
  <c r="AX352" i="1"/>
  <c r="S416" i="1"/>
  <c r="AX416" i="1"/>
  <c r="S480" i="1"/>
  <c r="W480" i="1" s="1"/>
  <c r="AX480" i="1"/>
  <c r="S14" i="1"/>
  <c r="W14" i="1" s="1"/>
  <c r="AX14" i="1"/>
  <c r="S30" i="1"/>
  <c r="W30" i="1" s="1"/>
  <c r="AX30" i="1"/>
  <c r="S127" i="1"/>
  <c r="W127" i="1" s="1"/>
  <c r="AX127" i="1"/>
  <c r="S70" i="1"/>
  <c r="W70" i="1" s="1"/>
  <c r="AX70" i="1"/>
  <c r="S134" i="1"/>
  <c r="AX134" i="1"/>
  <c r="S198" i="1"/>
  <c r="AX198" i="1"/>
  <c r="S262" i="1"/>
  <c r="AX262" i="1"/>
  <c r="S326" i="1"/>
  <c r="W326" i="1" s="1"/>
  <c r="AX326" i="1"/>
  <c r="S390" i="1"/>
  <c r="W390" i="1" s="1"/>
  <c r="AX390" i="1"/>
  <c r="S454" i="1"/>
  <c r="W454" i="1" s="1"/>
  <c r="AX454" i="1"/>
  <c r="S43" i="1"/>
  <c r="AX43" i="1"/>
  <c r="S58" i="1"/>
  <c r="W58" i="1" s="1"/>
  <c r="AX58" i="1"/>
  <c r="S122" i="1"/>
  <c r="AX122" i="1"/>
  <c r="S186" i="1"/>
  <c r="W186" i="1" s="1"/>
  <c r="AX186" i="1"/>
  <c r="S250" i="1"/>
  <c r="AX250" i="1"/>
  <c r="S314" i="1"/>
  <c r="W314" i="1" s="1"/>
  <c r="AX314" i="1"/>
  <c r="S378" i="1"/>
  <c r="AX378" i="1"/>
  <c r="S442" i="1"/>
  <c r="W442" i="1" s="1"/>
  <c r="AX442" i="1"/>
  <c r="S297" i="1"/>
  <c r="W297" i="1" s="1"/>
  <c r="AX297" i="1"/>
  <c r="S449" i="1"/>
  <c r="AX449" i="1"/>
  <c r="S68" i="1"/>
  <c r="W68" i="1" s="1"/>
  <c r="AX68" i="1"/>
  <c r="S132" i="1"/>
  <c r="AX132" i="1"/>
  <c r="S196" i="1"/>
  <c r="W196" i="1" s="1"/>
  <c r="AX196" i="1"/>
  <c r="S260" i="1"/>
  <c r="AX260" i="1"/>
  <c r="S324" i="1"/>
  <c r="W324" i="1" s="1"/>
  <c r="AX324" i="1"/>
  <c r="S388" i="1"/>
  <c r="W388" i="1" s="1"/>
  <c r="AX388" i="1"/>
  <c r="S452" i="1"/>
  <c r="W452" i="1" s="1"/>
  <c r="AX452" i="1"/>
  <c r="S7" i="1"/>
  <c r="W7" i="1" s="1"/>
  <c r="AX7" i="1"/>
  <c r="S23" i="1"/>
  <c r="W23" i="1" s="1"/>
  <c r="AX23" i="1"/>
  <c r="S320" i="1"/>
  <c r="W320" i="1" s="1"/>
  <c r="S300" i="1"/>
  <c r="S282" i="1"/>
  <c r="W282" i="1" s="1"/>
  <c r="S364" i="1"/>
  <c r="W364" i="1" s="1"/>
  <c r="S493" i="1"/>
  <c r="W493" i="1" s="1"/>
  <c r="S24" i="1"/>
  <c r="W24" i="1" s="1"/>
  <c r="S218" i="1"/>
  <c r="W218" i="1" s="1"/>
  <c r="S487" i="1"/>
  <c r="W487" i="1" s="1"/>
  <c r="S448" i="1"/>
  <c r="W448" i="1" s="1"/>
  <c r="S482" i="1"/>
  <c r="W482" i="1" s="1"/>
  <c r="S136" i="1"/>
  <c r="S226" i="1"/>
  <c r="W226" i="1" s="1"/>
  <c r="S346" i="1"/>
  <c r="W346" i="1" s="1"/>
  <c r="S102" i="1"/>
  <c r="S128" i="1"/>
  <c r="S356" i="1"/>
  <c r="S40" i="1"/>
  <c r="W40" i="1" s="1"/>
  <c r="S422" i="1"/>
  <c r="S8" i="1"/>
  <c r="W8" i="1" s="1"/>
  <c r="S153" i="1"/>
  <c r="W153" i="1" s="1"/>
  <c r="S100" i="1"/>
  <c r="W100" i="1" s="1"/>
  <c r="S228" i="1"/>
  <c r="W228" i="1" s="1"/>
  <c r="S492" i="1"/>
  <c r="W492" i="1" s="1"/>
  <c r="S238" i="1"/>
  <c r="W238" i="1" s="1"/>
  <c r="S172" i="1"/>
  <c r="W172" i="1" s="1"/>
  <c r="S174" i="1"/>
  <c r="W174" i="1" s="1"/>
  <c r="S219" i="1"/>
  <c r="W219" i="1" s="1"/>
  <c r="S175" i="1"/>
  <c r="S303" i="1"/>
  <c r="S335" i="1"/>
  <c r="W335" i="1" s="1"/>
  <c r="S103" i="1"/>
  <c r="W103" i="1" s="1"/>
  <c r="S6" i="1"/>
  <c r="W6" i="1" s="1"/>
  <c r="S354" i="1"/>
  <c r="S294" i="1"/>
  <c r="W294" i="1" s="1"/>
  <c r="S192" i="1"/>
  <c r="S302" i="1"/>
  <c r="W302" i="1" s="1"/>
  <c r="S420" i="1"/>
  <c r="W420" i="1" s="1"/>
  <c r="S437" i="1"/>
  <c r="S162" i="1"/>
  <c r="W162" i="1" s="1"/>
  <c r="S486" i="1"/>
  <c r="W486" i="1" s="1"/>
  <c r="S31" i="1"/>
  <c r="W31" i="1" s="1"/>
  <c r="S90" i="1"/>
  <c r="S366" i="1"/>
  <c r="W366" i="1" s="1"/>
  <c r="S292" i="1"/>
  <c r="W292" i="1" s="1"/>
  <c r="S343" i="1"/>
  <c r="W343" i="1" s="1"/>
  <c r="S167" i="1"/>
  <c r="S154" i="1"/>
  <c r="W154" i="1" s="1"/>
  <c r="AC3" i="1"/>
  <c r="F9" i="2" s="1"/>
  <c r="V166" i="1"/>
  <c r="AB3" i="1"/>
  <c r="D9" i="2" s="1"/>
  <c r="V7" i="1"/>
  <c r="V277" i="1"/>
  <c r="V466" i="1"/>
  <c r="V243" i="1"/>
  <c r="V31" i="1"/>
  <c r="V498" i="1"/>
  <c r="S277" i="1"/>
  <c r="W277" i="1" s="1"/>
  <c r="V436" i="1"/>
  <c r="V390" i="1"/>
  <c r="V222" i="1"/>
  <c r="V143" i="1"/>
  <c r="V152" i="1"/>
  <c r="V150" i="1"/>
  <c r="V124" i="1"/>
  <c r="V221" i="1"/>
  <c r="V358" i="1"/>
  <c r="V154" i="1"/>
  <c r="V476" i="1"/>
  <c r="V440" i="1"/>
  <c r="V131" i="1"/>
  <c r="V500" i="1"/>
  <c r="V9" i="1"/>
  <c r="V127" i="1"/>
  <c r="V137" i="1"/>
  <c r="V58" i="1"/>
  <c r="V139" i="1"/>
  <c r="V495" i="1"/>
  <c r="V32" i="1"/>
  <c r="S150" i="1"/>
  <c r="W150" i="1" s="1"/>
  <c r="V216" i="1"/>
  <c r="V171" i="1"/>
  <c r="V442" i="1"/>
  <c r="V27" i="1"/>
  <c r="V366" i="1"/>
  <c r="V151" i="1"/>
  <c r="V313" i="1"/>
  <c r="V88" i="1"/>
  <c r="V382" i="1"/>
  <c r="V343" i="1"/>
  <c r="S221" i="1"/>
  <c r="W221" i="1" s="1"/>
  <c r="V227" i="1"/>
  <c r="V245" i="1"/>
  <c r="V234" i="1"/>
  <c r="Q151" i="1"/>
  <c r="BC151" i="1" s="1"/>
  <c r="BD151" i="1" s="1"/>
  <c r="V299" i="1"/>
  <c r="V409" i="1"/>
  <c r="V488" i="1"/>
  <c r="V344" i="1"/>
  <c r="V279" i="1"/>
  <c r="V428" i="1"/>
  <c r="V305" i="1"/>
  <c r="V491" i="1"/>
  <c r="V375" i="1"/>
  <c r="V21" i="1"/>
  <c r="V13" i="1"/>
  <c r="V430" i="1"/>
  <c r="V342" i="1"/>
  <c r="V265" i="1"/>
  <c r="V280" i="1"/>
  <c r="V178" i="1"/>
  <c r="V470" i="1"/>
  <c r="V35" i="1"/>
  <c r="V25" i="1"/>
  <c r="V95" i="1"/>
  <c r="V499" i="1"/>
  <c r="V448" i="1"/>
  <c r="V352" i="1"/>
  <c r="V195" i="1"/>
  <c r="V164" i="1"/>
  <c r="V224" i="1"/>
  <c r="V400" i="1"/>
  <c r="V292" i="1"/>
  <c r="Q470" i="1"/>
  <c r="V176" i="1"/>
  <c r="S13" i="1"/>
  <c r="W13" i="1" s="1"/>
  <c r="V104" i="1"/>
  <c r="V144" i="1"/>
  <c r="V322" i="1"/>
  <c r="V157" i="1"/>
  <c r="V214" i="1"/>
  <c r="V456" i="1"/>
  <c r="V22" i="1"/>
  <c r="V66" i="1"/>
  <c r="V399" i="1"/>
  <c r="V11" i="1"/>
  <c r="V487" i="1"/>
  <c r="V165" i="1"/>
  <c r="V103" i="1"/>
  <c r="V202" i="1"/>
  <c r="V359" i="1"/>
  <c r="Q25" i="1"/>
  <c r="BC25" i="1" s="1"/>
  <c r="BD25" i="1" s="1"/>
  <c r="V112" i="1"/>
  <c r="V135" i="1"/>
  <c r="V338" i="1"/>
  <c r="V374" i="1"/>
  <c r="V394" i="1"/>
  <c r="V129" i="1"/>
  <c r="V324" i="1"/>
  <c r="V19" i="1"/>
  <c r="V70" i="1"/>
  <c r="V208" i="1"/>
  <c r="V238" i="1"/>
  <c r="V293" i="1"/>
  <c r="V17" i="1"/>
  <c r="V367" i="1"/>
  <c r="Q129" i="1"/>
  <c r="BC129" i="1" s="1"/>
  <c r="BD129" i="1" s="1"/>
  <c r="V190" i="1"/>
  <c r="V406" i="1"/>
  <c r="V273" i="1"/>
  <c r="V309" i="1"/>
  <c r="V480" i="1"/>
  <c r="V417" i="1"/>
  <c r="V99" i="1"/>
  <c r="V97" i="1"/>
  <c r="V173" i="1"/>
  <c r="V249" i="1"/>
  <c r="V232" i="1"/>
  <c r="V478" i="1"/>
  <c r="V6" i="1"/>
  <c r="V92" i="1"/>
  <c r="V42" i="1"/>
  <c r="V410" i="1"/>
  <c r="V186" i="1"/>
  <c r="V240" i="1"/>
  <c r="V452" i="1"/>
  <c r="V147" i="1"/>
  <c r="V23" i="1"/>
  <c r="V172" i="1"/>
  <c r="V29" i="1"/>
  <c r="V46" i="1"/>
  <c r="V93" i="1"/>
  <c r="V141" i="1"/>
  <c r="V111" i="1"/>
  <c r="V226" i="1"/>
  <c r="V294" i="1"/>
  <c r="V335" i="1"/>
  <c r="V391" i="1"/>
  <c r="V425" i="1"/>
  <c r="V15" i="1"/>
  <c r="V458" i="1"/>
  <c r="V314" i="1"/>
  <c r="V484" i="1"/>
  <c r="V356" i="1"/>
  <c r="V276" i="1"/>
  <c r="V142" i="1"/>
  <c r="Q356" i="1"/>
  <c r="BC356" i="1" s="1"/>
  <c r="BD356" i="1" s="1"/>
  <c r="V94" i="1"/>
  <c r="V116" i="1"/>
  <c r="V398" i="1"/>
  <c r="V297" i="1"/>
  <c r="V494" i="1"/>
  <c r="V275" i="1"/>
  <c r="V337" i="1"/>
  <c r="V253" i="1"/>
  <c r="V96" i="1"/>
  <c r="V100" i="1"/>
  <c r="V126" i="1"/>
  <c r="V196" i="1"/>
  <c r="Q208" i="1"/>
  <c r="BC208" i="1" s="1"/>
  <c r="BD208" i="1" s="1"/>
  <c r="V174" i="1"/>
  <c r="V237" i="1"/>
  <c r="V346" i="1"/>
  <c r="V341" i="1"/>
  <c r="V20" i="1"/>
  <c r="V289" i="1"/>
  <c r="V212" i="1"/>
  <c r="V251" i="1"/>
  <c r="V392" i="1"/>
  <c r="Q498" i="1"/>
  <c r="V319" i="1"/>
  <c r="V450" i="1"/>
  <c r="V120" i="1"/>
  <c r="V282" i="1"/>
  <c r="V325" i="1"/>
  <c r="V432" i="1"/>
  <c r="V242" i="1"/>
  <c r="V261" i="1"/>
  <c r="V460" i="1"/>
  <c r="V490" i="1"/>
  <c r="V349" i="1"/>
  <c r="V24" i="1"/>
  <c r="V74" i="1"/>
  <c r="V105" i="1"/>
  <c r="V239" i="1"/>
  <c r="V383" i="1"/>
  <c r="V444" i="1"/>
  <c r="V247" i="1"/>
  <c r="V384" i="1"/>
  <c r="V123" i="1"/>
  <c r="V217" i="1"/>
  <c r="V113" i="1"/>
  <c r="V180" i="1"/>
  <c r="V203" i="1"/>
  <c r="V62" i="1"/>
  <c r="V194" i="1"/>
  <c r="V308" i="1"/>
  <c r="V230" i="1"/>
  <c r="V402" i="1"/>
  <c r="V496" i="1"/>
  <c r="V482" i="1"/>
  <c r="V133" i="1"/>
  <c r="V281" i="1"/>
  <c r="V244" i="1"/>
  <c r="V235" i="1"/>
  <c r="V464" i="1"/>
  <c r="V182" i="1"/>
  <c r="S293" i="1"/>
  <c r="W293" i="1" s="1"/>
  <c r="V468" i="1"/>
  <c r="V492" i="1"/>
  <c r="V210" i="1"/>
  <c r="V317" i="1"/>
  <c r="V291" i="1"/>
  <c r="S291" i="1"/>
  <c r="W291" i="1" s="1"/>
  <c r="V418" i="1"/>
  <c r="V497" i="1"/>
  <c r="V475" i="1"/>
  <c r="V287" i="1"/>
  <c r="V257" i="1"/>
  <c r="V153" i="1"/>
  <c r="V130" i="1"/>
  <c r="V296" i="1"/>
  <c r="V393" i="1"/>
  <c r="V434" i="1"/>
  <c r="V4" i="1"/>
  <c r="V84" i="1"/>
  <c r="V267" i="1"/>
  <c r="V326" i="1"/>
  <c r="V446" i="1"/>
  <c r="V301" i="1"/>
  <c r="V229" i="1"/>
  <c r="V419" i="1"/>
  <c r="V107" i="1"/>
  <c r="V228" i="1"/>
  <c r="V155" i="1"/>
  <c r="V162" i="1"/>
  <c r="S19" i="1"/>
  <c r="W19" i="1" s="1"/>
  <c r="V72" i="1"/>
  <c r="V108" i="1"/>
  <c r="V201" i="1"/>
  <c r="V310" i="1"/>
  <c r="V334" i="1"/>
  <c r="V474" i="1"/>
  <c r="V283" i="1"/>
  <c r="V5" i="1"/>
  <c r="V16" i="1"/>
  <c r="V40" i="1"/>
  <c r="V158" i="1"/>
  <c r="V219" i="1"/>
  <c r="V339" i="1"/>
  <c r="V351" i="1"/>
  <c r="Q450" i="1"/>
  <c r="BC450" i="1" s="1"/>
  <c r="BD450" i="1" s="1"/>
  <c r="V28" i="1"/>
  <c r="V121" i="1"/>
  <c r="V233" i="1"/>
  <c r="V37" i="1"/>
  <c r="V438" i="1"/>
  <c r="V348" i="1"/>
  <c r="V269" i="1"/>
  <c r="V54" i="1"/>
  <c r="V462" i="1"/>
  <c r="S295" i="1"/>
  <c r="W295" i="1" s="1"/>
  <c r="Q333" i="1"/>
  <c r="BC333" i="1" s="1"/>
  <c r="BD333" i="1" s="1"/>
  <c r="V333" i="1"/>
  <c r="V353" i="1"/>
  <c r="V414" i="1"/>
  <c r="V89" i="1"/>
  <c r="S89" i="1"/>
  <c r="W89" i="1" s="1"/>
  <c r="V146" i="1"/>
  <c r="Q161" i="1"/>
  <c r="BC161" i="1" s="1"/>
  <c r="BD161" i="1" s="1"/>
  <c r="V161" i="1"/>
  <c r="V263" i="1"/>
  <c r="Q368" i="1"/>
  <c r="V368" i="1"/>
  <c r="Q345" i="1"/>
  <c r="BC345" i="1" s="1"/>
  <c r="BD345" i="1" s="1"/>
  <c r="V345" i="1"/>
  <c r="V80" i="1"/>
  <c r="V312" i="1"/>
  <c r="V360" i="1"/>
  <c r="V454" i="1"/>
  <c r="Q271" i="1"/>
  <c r="V271" i="1"/>
  <c r="V38" i="1"/>
  <c r="V285" i="1"/>
  <c r="Q311" i="1"/>
  <c r="BC311" i="1" s="1"/>
  <c r="BD311" i="1" s="1"/>
  <c r="V311" i="1"/>
  <c r="V485" i="1"/>
  <c r="V321" i="1"/>
  <c r="V60" i="1"/>
  <c r="V145" i="1"/>
  <c r="V323" i="1"/>
  <c r="V246" i="1"/>
  <c r="V12" i="1"/>
  <c r="Q307" i="1"/>
  <c r="BC307" i="1" s="1"/>
  <c r="BD307" i="1" s="1"/>
  <c r="V307" i="1"/>
  <c r="Q315" i="1"/>
  <c r="BC315" i="1" s="1"/>
  <c r="BD315" i="1" s="1"/>
  <c r="V315" i="1"/>
  <c r="V340" i="1"/>
  <c r="V376" i="1"/>
  <c r="V486" i="1"/>
  <c r="V50" i="1"/>
  <c r="V76" i="1"/>
  <c r="V286" i="1"/>
  <c r="V401" i="1"/>
  <c r="V426" i="1"/>
  <c r="V14" i="1"/>
  <c r="V472" i="1"/>
  <c r="Q134" i="1"/>
  <c r="BC134" i="1" s="1"/>
  <c r="BD134" i="1" s="1"/>
  <c r="V134" i="1"/>
  <c r="S138" i="1"/>
  <c r="W138" i="1" s="1"/>
  <c r="V138" i="1"/>
  <c r="S220" i="1"/>
  <c r="W220" i="1" s="1"/>
  <c r="V220" i="1"/>
  <c r="V479" i="1"/>
  <c r="Q133" i="1"/>
  <c r="BC133" i="1" s="1"/>
  <c r="BD133" i="1" s="1"/>
  <c r="V163" i="1"/>
  <c r="V218" i="1"/>
  <c r="V241" i="1"/>
  <c r="V318" i="1"/>
  <c r="Q446" i="1"/>
  <c r="BC446" i="1" s="1"/>
  <c r="BD446" i="1" s="1"/>
  <c r="V119" i="1"/>
  <c r="Q119" i="1"/>
  <c r="BC119" i="1" s="1"/>
  <c r="BD119" i="1" s="1"/>
  <c r="Q303" i="1"/>
  <c r="BC303" i="1" s="1"/>
  <c r="BD303" i="1" s="1"/>
  <c r="V303" i="1"/>
  <c r="Q329" i="1"/>
  <c r="BC329" i="1" s="1"/>
  <c r="BD329" i="1" s="1"/>
  <c r="V329" i="1"/>
  <c r="V288" i="1"/>
  <c r="V33" i="1"/>
  <c r="V255" i="1"/>
  <c r="V236" i="1"/>
  <c r="V405" i="1"/>
  <c r="V149" i="1"/>
  <c r="S149" i="1"/>
  <c r="W149" i="1" s="1"/>
  <c r="V259" i="1"/>
  <c r="S259" i="1"/>
  <c r="W259" i="1" s="1"/>
  <c r="Q115" i="1"/>
  <c r="V115" i="1"/>
  <c r="Q81" i="1"/>
  <c r="V81" i="1"/>
  <c r="Q101" i="1"/>
  <c r="BC101" i="1" s="1"/>
  <c r="BD101" i="1" s="1"/>
  <c r="V101" i="1"/>
  <c r="Q183" i="1"/>
  <c r="BC183" i="1" s="1"/>
  <c r="BD183" i="1" s="1"/>
  <c r="V183" i="1"/>
  <c r="V330" i="1"/>
  <c r="Q330" i="1"/>
  <c r="V365" i="1"/>
  <c r="Q365" i="1"/>
  <c r="BC365" i="1" s="1"/>
  <c r="BD365" i="1" s="1"/>
  <c r="V395" i="1"/>
  <c r="Q395" i="1"/>
  <c r="BC395" i="1" s="1"/>
  <c r="BD395" i="1" s="1"/>
  <c r="V45" i="1"/>
  <c r="Q45" i="1"/>
  <c r="BC45" i="1" s="1"/>
  <c r="BD45" i="1" s="1"/>
  <c r="V59" i="1"/>
  <c r="Q59" i="1"/>
  <c r="V75" i="1"/>
  <c r="Q75" i="1"/>
  <c r="BC75" i="1" s="1"/>
  <c r="BD75" i="1" s="1"/>
  <c r="Q125" i="1"/>
  <c r="BC125" i="1" s="1"/>
  <c r="BD125" i="1" s="1"/>
  <c r="V125" i="1"/>
  <c r="Q179" i="1"/>
  <c r="V179" i="1"/>
  <c r="Q177" i="1"/>
  <c r="BC177" i="1" s="1"/>
  <c r="BD177" i="1" s="1"/>
  <c r="V177" i="1"/>
  <c r="V159" i="1"/>
  <c r="V200" i="1"/>
  <c r="Q200" i="1"/>
  <c r="BC200" i="1" s="1"/>
  <c r="BD200" i="1" s="1"/>
  <c r="Q213" i="1"/>
  <c r="BC213" i="1" s="1"/>
  <c r="BD213" i="1" s="1"/>
  <c r="V213" i="1"/>
  <c r="V268" i="1"/>
  <c r="Q268" i="1"/>
  <c r="BC268" i="1" s="1"/>
  <c r="BD268" i="1" s="1"/>
  <c r="Q347" i="1"/>
  <c r="BC347" i="1" s="1"/>
  <c r="BD347" i="1" s="1"/>
  <c r="V347" i="1"/>
  <c r="Q332" i="1"/>
  <c r="BC332" i="1" s="1"/>
  <c r="BD332" i="1" s="1"/>
  <c r="V332" i="1"/>
  <c r="V300" i="1"/>
  <c r="Q300" i="1"/>
  <c r="BC300" i="1" s="1"/>
  <c r="BD300" i="1" s="1"/>
  <c r="V354" i="1"/>
  <c r="Q354" i="1"/>
  <c r="BC354" i="1" s="1"/>
  <c r="BD354" i="1" s="1"/>
  <c r="V371" i="1"/>
  <c r="Q371" i="1"/>
  <c r="BC371" i="1" s="1"/>
  <c r="BD371" i="1" s="1"/>
  <c r="V357" i="1"/>
  <c r="Q357" i="1"/>
  <c r="BC357" i="1" s="1"/>
  <c r="BD357" i="1" s="1"/>
  <c r="V439" i="1"/>
  <c r="Q439" i="1"/>
  <c r="BC439" i="1" s="1"/>
  <c r="BD439" i="1" s="1"/>
  <c r="Q429" i="1"/>
  <c r="BC429" i="1" s="1"/>
  <c r="BD429" i="1" s="1"/>
  <c r="V429" i="1"/>
  <c r="Q445" i="1"/>
  <c r="BC445" i="1" s="1"/>
  <c r="BD445" i="1" s="1"/>
  <c r="V445" i="1"/>
  <c r="V420" i="1"/>
  <c r="Q411" i="1"/>
  <c r="BC411" i="1" s="1"/>
  <c r="BD411" i="1" s="1"/>
  <c r="V411" i="1"/>
  <c r="Q199" i="1"/>
  <c r="BC199" i="1" s="1"/>
  <c r="BD199" i="1" s="1"/>
  <c r="V199" i="1"/>
  <c r="V57" i="1"/>
  <c r="Q57" i="1"/>
  <c r="BC57" i="1" s="1"/>
  <c r="BD57" i="1" s="1"/>
  <c r="Q65" i="1"/>
  <c r="V65" i="1"/>
  <c r="Q73" i="1"/>
  <c r="BC73" i="1" s="1"/>
  <c r="BD73" i="1" s="1"/>
  <c r="V73" i="1"/>
  <c r="Q47" i="1"/>
  <c r="BC47" i="1" s="1"/>
  <c r="BD47" i="1" s="1"/>
  <c r="V47" i="1"/>
  <c r="V63" i="1"/>
  <c r="Q63" i="1"/>
  <c r="V56" i="1"/>
  <c r="V90" i="1"/>
  <c r="Q90" i="1"/>
  <c r="BC90" i="1" s="1"/>
  <c r="BD90" i="1" s="1"/>
  <c r="Q102" i="1"/>
  <c r="BC102" i="1" s="1"/>
  <c r="BD102" i="1" s="1"/>
  <c r="V102" i="1"/>
  <c r="Q181" i="1"/>
  <c r="V181" i="1"/>
  <c r="V187" i="1"/>
  <c r="Q187" i="1"/>
  <c r="BC187" i="1" s="1"/>
  <c r="BD187" i="1" s="1"/>
  <c r="Q193" i="1"/>
  <c r="BC193" i="1" s="1"/>
  <c r="BD193" i="1" s="1"/>
  <c r="V193" i="1"/>
  <c r="Q205" i="1"/>
  <c r="V205" i="1"/>
  <c r="V192" i="1"/>
  <c r="Q192" i="1"/>
  <c r="BC192" i="1" s="1"/>
  <c r="BD192" i="1" s="1"/>
  <c r="V252" i="1"/>
  <c r="Q252" i="1"/>
  <c r="BC252" i="1" s="1"/>
  <c r="BD252" i="1" s="1"/>
  <c r="Q254" i="1"/>
  <c r="BC254" i="1" s="1"/>
  <c r="BD254" i="1" s="1"/>
  <c r="V254" i="1"/>
  <c r="V262" i="1"/>
  <c r="Q262" i="1"/>
  <c r="BC262" i="1" s="1"/>
  <c r="BD262" i="1" s="1"/>
  <c r="V274" i="1"/>
  <c r="V284" i="1"/>
  <c r="Q284" i="1"/>
  <c r="BC284" i="1" s="1"/>
  <c r="BD284" i="1" s="1"/>
  <c r="V306" i="1"/>
  <c r="Q306" i="1"/>
  <c r="BC306" i="1" s="1"/>
  <c r="BD306" i="1" s="1"/>
  <c r="V270" i="1"/>
  <c r="V362" i="1"/>
  <c r="Q362" i="1"/>
  <c r="BC362" i="1" s="1"/>
  <c r="BD362" i="1" s="1"/>
  <c r="V447" i="1"/>
  <c r="Q447" i="1"/>
  <c r="Q457" i="1"/>
  <c r="V457" i="1"/>
  <c r="Q489" i="1"/>
  <c r="BC489" i="1" s="1"/>
  <c r="BD489" i="1" s="1"/>
  <c r="V489" i="1"/>
  <c r="V473" i="1"/>
  <c r="V469" i="1"/>
  <c r="Q469" i="1"/>
  <c r="BC469" i="1" s="1"/>
  <c r="BD469" i="1" s="1"/>
  <c r="V477" i="1"/>
  <c r="Q477" i="1"/>
  <c r="BC477" i="1" s="1"/>
  <c r="BD477" i="1" s="1"/>
  <c r="V493" i="1"/>
  <c r="V248" i="1"/>
  <c r="Q248" i="1"/>
  <c r="BC248" i="1" s="1"/>
  <c r="BD248" i="1" s="1"/>
  <c r="V381" i="1"/>
  <c r="Q381" i="1"/>
  <c r="V416" i="1"/>
  <c r="Q416" i="1"/>
  <c r="BC416" i="1" s="1"/>
  <c r="BD416" i="1" s="1"/>
  <c r="V481" i="1"/>
  <c r="Q481" i="1"/>
  <c r="BC481" i="1" s="1"/>
  <c r="BD481" i="1" s="1"/>
  <c r="Q433" i="1"/>
  <c r="BC433" i="1" s="1"/>
  <c r="BD433" i="1" s="1"/>
  <c r="V433" i="1"/>
  <c r="V336" i="1"/>
  <c r="Q336" i="1"/>
  <c r="BC336" i="1" s="1"/>
  <c r="BD336" i="1" s="1"/>
  <c r="V78" i="1"/>
  <c r="Q78" i="1"/>
  <c r="BC78" i="1" s="1"/>
  <c r="BD78" i="1" s="1"/>
  <c r="V79" i="1"/>
  <c r="Q79" i="1"/>
  <c r="BC79" i="1" s="1"/>
  <c r="BD79" i="1" s="1"/>
  <c r="Q168" i="1"/>
  <c r="BC168" i="1" s="1"/>
  <c r="BD168" i="1" s="1"/>
  <c r="V168" i="1"/>
  <c r="V215" i="1"/>
  <c r="Q215" i="1"/>
  <c r="V256" i="1"/>
  <c r="Q256" i="1"/>
  <c r="V264" i="1"/>
  <c r="Q264" i="1"/>
  <c r="BC264" i="1" s="1"/>
  <c r="BD264" i="1" s="1"/>
  <c r="V290" i="1"/>
  <c r="Q290" i="1"/>
  <c r="BC290" i="1" s="1"/>
  <c r="BD290" i="1" s="1"/>
  <c r="Q331" i="1"/>
  <c r="BC331" i="1" s="1"/>
  <c r="BD331" i="1" s="1"/>
  <c r="V331" i="1"/>
  <c r="V378" i="1"/>
  <c r="Q378" i="1"/>
  <c r="BC378" i="1" s="1"/>
  <c r="BD378" i="1" s="1"/>
  <c r="V386" i="1"/>
  <c r="Q386" i="1"/>
  <c r="Q451" i="1"/>
  <c r="BC451" i="1" s="1"/>
  <c r="BD451" i="1" s="1"/>
  <c r="V451" i="1"/>
  <c r="V423" i="1"/>
  <c r="V407" i="1"/>
  <c r="V413" i="1"/>
  <c r="Q413" i="1"/>
  <c r="BC413" i="1" s="1"/>
  <c r="BD413" i="1" s="1"/>
  <c r="Q51" i="1"/>
  <c r="V51" i="1"/>
  <c r="V98" i="1"/>
  <c r="Q98" i="1"/>
  <c r="BC98" i="1" s="1"/>
  <c r="BD98" i="1" s="1"/>
  <c r="V91" i="1"/>
  <c r="Q91" i="1"/>
  <c r="BC91" i="1" s="1"/>
  <c r="BD91" i="1" s="1"/>
  <c r="Q109" i="1"/>
  <c r="V109" i="1"/>
  <c r="Q148" i="1"/>
  <c r="V148" i="1"/>
  <c r="Q114" i="1"/>
  <c r="BC114" i="1" s="1"/>
  <c r="BD114" i="1" s="1"/>
  <c r="V114" i="1"/>
  <c r="V204" i="1"/>
  <c r="Q204" i="1"/>
  <c r="BC204" i="1" s="1"/>
  <c r="BD204" i="1" s="1"/>
  <c r="Q385" i="1"/>
  <c r="V385" i="1"/>
  <c r="S396" i="1"/>
  <c r="W396" i="1" s="1"/>
  <c r="V396" i="1"/>
  <c r="V355" i="1"/>
  <c r="Q355" i="1"/>
  <c r="BC355" i="1" s="1"/>
  <c r="BD355" i="1" s="1"/>
  <c r="V370" i="1"/>
  <c r="Q370" i="1"/>
  <c r="BC370" i="1" s="1"/>
  <c r="BD370" i="1" s="1"/>
  <c r="V397" i="1"/>
  <c r="Q397" i="1"/>
  <c r="BC397" i="1" s="1"/>
  <c r="BD397" i="1" s="1"/>
  <c r="V421" i="1"/>
  <c r="S421" i="1"/>
  <c r="W421" i="1" s="1"/>
  <c r="Q455" i="1"/>
  <c r="BC455" i="1" s="1"/>
  <c r="BD455" i="1" s="1"/>
  <c r="V455" i="1"/>
  <c r="Q437" i="1"/>
  <c r="BC437" i="1" s="1"/>
  <c r="BD437" i="1" s="1"/>
  <c r="V437" i="1"/>
  <c r="V461" i="1"/>
  <c r="Q461" i="1"/>
  <c r="BC461" i="1" s="1"/>
  <c r="BD461" i="1" s="1"/>
  <c r="V465" i="1"/>
  <c r="Q465" i="1"/>
  <c r="BC465" i="1" s="1"/>
  <c r="BD465" i="1" s="1"/>
  <c r="Q441" i="1"/>
  <c r="BC441" i="1" s="1"/>
  <c r="BD441" i="1" s="1"/>
  <c r="V441" i="1"/>
  <c r="V388" i="1"/>
  <c r="Q408" i="1"/>
  <c r="BC408" i="1" s="1"/>
  <c r="BD408" i="1" s="1"/>
  <c r="V408" i="1"/>
  <c r="Q211" i="1"/>
  <c r="BC211" i="1" s="1"/>
  <c r="BD211" i="1" s="1"/>
  <c r="V211" i="1"/>
  <c r="V67" i="1"/>
  <c r="Q67" i="1"/>
  <c r="V86" i="1"/>
  <c r="Q86" i="1"/>
  <c r="Q110" i="1"/>
  <c r="BC110" i="1" s="1"/>
  <c r="BD110" i="1" s="1"/>
  <c r="V110" i="1"/>
  <c r="Q122" i="1"/>
  <c r="BC122" i="1" s="1"/>
  <c r="BD122" i="1" s="1"/>
  <c r="V122" i="1"/>
  <c r="V82" i="1"/>
  <c r="V167" i="1"/>
  <c r="Q167" i="1"/>
  <c r="BC167" i="1" s="1"/>
  <c r="BD167" i="1" s="1"/>
  <c r="V160" i="1"/>
  <c r="V184" i="1"/>
  <c r="Q184" i="1"/>
  <c r="BC184" i="1" s="1"/>
  <c r="BD184" i="1" s="1"/>
  <c r="Q191" i="1"/>
  <c r="BC191" i="1" s="1"/>
  <c r="BD191" i="1" s="1"/>
  <c r="V191" i="1"/>
  <c r="Q207" i="1"/>
  <c r="V207" i="1"/>
  <c r="V197" i="1"/>
  <c r="Q197" i="1"/>
  <c r="BC197" i="1" s="1"/>
  <c r="BD197" i="1" s="1"/>
  <c r="V223" i="1"/>
  <c r="Q223" i="1"/>
  <c r="BC223" i="1" s="1"/>
  <c r="BD223" i="1" s="1"/>
  <c r="V258" i="1"/>
  <c r="Q258" i="1"/>
  <c r="BC258" i="1" s="1"/>
  <c r="BD258" i="1" s="1"/>
  <c r="Q209" i="1"/>
  <c r="BC209" i="1" s="1"/>
  <c r="BD209" i="1" s="1"/>
  <c r="V209" i="1"/>
  <c r="V298" i="1"/>
  <c r="Q206" i="1"/>
  <c r="BC206" i="1" s="1"/>
  <c r="BD206" i="1" s="1"/>
  <c r="V206" i="1"/>
  <c r="V350" i="1"/>
  <c r="Q350" i="1"/>
  <c r="BC350" i="1" s="1"/>
  <c r="BD350" i="1" s="1"/>
  <c r="V404" i="1"/>
  <c r="Q403" i="1"/>
  <c r="BC403" i="1" s="1"/>
  <c r="BD403" i="1" s="1"/>
  <c r="V403" i="1"/>
  <c r="V422" i="1"/>
  <c r="Q422" i="1"/>
  <c r="BC422" i="1" s="1"/>
  <c r="BD422" i="1" s="1"/>
  <c r="Q372" i="1"/>
  <c r="BC372" i="1" s="1"/>
  <c r="BD372" i="1" s="1"/>
  <c r="V372" i="1"/>
  <c r="Q463" i="1"/>
  <c r="V463" i="1"/>
  <c r="Q467" i="1"/>
  <c r="BC467" i="1" s="1"/>
  <c r="BD467" i="1" s="1"/>
  <c r="V467" i="1"/>
  <c r="Q453" i="1"/>
  <c r="V453" i="1"/>
  <c r="V424" i="1"/>
  <c r="V415" i="1"/>
  <c r="V87" i="1"/>
  <c r="Q87" i="1"/>
  <c r="BC87" i="1" s="1"/>
  <c r="BD87" i="1" s="1"/>
  <c r="Q156" i="1"/>
  <c r="BC156" i="1" s="1"/>
  <c r="BD156" i="1" s="1"/>
  <c r="V156" i="1"/>
  <c r="V443" i="1"/>
  <c r="Q443" i="1"/>
  <c r="BC443" i="1" s="1"/>
  <c r="BD443" i="1" s="1"/>
  <c r="Q43" i="1"/>
  <c r="BC43" i="1" s="1"/>
  <c r="BD43" i="1" s="1"/>
  <c r="V43" i="1"/>
  <c r="V85" i="1"/>
  <c r="Q85" i="1"/>
  <c r="V30" i="1"/>
  <c r="V53" i="1"/>
  <c r="Q53" i="1"/>
  <c r="V61" i="1"/>
  <c r="Q61" i="1"/>
  <c r="BC61" i="1" s="1"/>
  <c r="BD61" i="1" s="1"/>
  <c r="Q69" i="1"/>
  <c r="BC69" i="1" s="1"/>
  <c r="BD69" i="1" s="1"/>
  <c r="V69" i="1"/>
  <c r="V55" i="1"/>
  <c r="Q55" i="1"/>
  <c r="BC55" i="1" s="1"/>
  <c r="BD55" i="1" s="1"/>
  <c r="V71" i="1"/>
  <c r="Q71" i="1"/>
  <c r="V64" i="1"/>
  <c r="V68" i="1"/>
  <c r="Q117" i="1"/>
  <c r="V117" i="1"/>
  <c r="Q128" i="1"/>
  <c r="BC128" i="1" s="1"/>
  <c r="BD128" i="1" s="1"/>
  <c r="V128" i="1"/>
  <c r="Q106" i="1"/>
  <c r="BC106" i="1" s="1"/>
  <c r="BD106" i="1" s="1"/>
  <c r="V106" i="1"/>
  <c r="V189" i="1"/>
  <c r="Q189" i="1"/>
  <c r="BC189" i="1" s="1"/>
  <c r="BD189" i="1" s="1"/>
  <c r="Q185" i="1"/>
  <c r="BC185" i="1" s="1"/>
  <c r="BD185" i="1" s="1"/>
  <c r="V185" i="1"/>
  <c r="V260" i="1"/>
  <c r="Q260" i="1"/>
  <c r="BC260" i="1" s="1"/>
  <c r="BD260" i="1" s="1"/>
  <c r="V302" i="1"/>
  <c r="V278" i="1"/>
  <c r="Q278" i="1"/>
  <c r="V320" i="1"/>
  <c r="V387" i="1"/>
  <c r="Q387" i="1"/>
  <c r="BC387" i="1" s="1"/>
  <c r="BD387" i="1" s="1"/>
  <c r="Q369" i="1"/>
  <c r="V369" i="1"/>
  <c r="V364" i="1"/>
  <c r="V380" i="1"/>
  <c r="Q361" i="1"/>
  <c r="BC361" i="1" s="1"/>
  <c r="BD361" i="1" s="1"/>
  <c r="V361" i="1"/>
  <c r="Q377" i="1"/>
  <c r="V377" i="1"/>
  <c r="V431" i="1"/>
  <c r="Q431" i="1"/>
  <c r="BC431" i="1" s="1"/>
  <c r="BD431" i="1" s="1"/>
  <c r="V389" i="1"/>
  <c r="Q389" i="1"/>
  <c r="BC389" i="1" s="1"/>
  <c r="BD389" i="1" s="1"/>
  <c r="Q449" i="1"/>
  <c r="BC449" i="1" s="1"/>
  <c r="BD449" i="1" s="1"/>
  <c r="V449" i="1"/>
  <c r="Q459" i="1"/>
  <c r="BC459" i="1" s="1"/>
  <c r="BD459" i="1" s="1"/>
  <c r="V459" i="1"/>
  <c r="V483" i="1"/>
  <c r="V49" i="1"/>
  <c r="Q49" i="1"/>
  <c r="BC49" i="1" s="1"/>
  <c r="BD49" i="1" s="1"/>
  <c r="V48" i="1"/>
  <c r="V8" i="1"/>
  <c r="Q41" i="1"/>
  <c r="BC41" i="1" s="1"/>
  <c r="BD41" i="1" s="1"/>
  <c r="V41" i="1"/>
  <c r="V77" i="1"/>
  <c r="Q77" i="1"/>
  <c r="BC77" i="1" s="1"/>
  <c r="BD77" i="1" s="1"/>
  <c r="Q39" i="1"/>
  <c r="BC39" i="1" s="1"/>
  <c r="BD39" i="1" s="1"/>
  <c r="V39" i="1"/>
  <c r="Q83" i="1"/>
  <c r="BC83" i="1" s="1"/>
  <c r="BD83" i="1" s="1"/>
  <c r="V83" i="1"/>
  <c r="V44" i="1"/>
  <c r="Q44" i="1"/>
  <c r="BC44" i="1" s="1"/>
  <c r="BD44" i="1" s="1"/>
  <c r="V52" i="1"/>
  <c r="Q118" i="1"/>
  <c r="BC118" i="1" s="1"/>
  <c r="BD118" i="1" s="1"/>
  <c r="V118" i="1"/>
  <c r="Q136" i="1"/>
  <c r="BC136" i="1" s="1"/>
  <c r="BD136" i="1" s="1"/>
  <c r="V136" i="1"/>
  <c r="Q175" i="1"/>
  <c r="BC175" i="1" s="1"/>
  <c r="BD175" i="1" s="1"/>
  <c r="V175" i="1"/>
  <c r="Q132" i="1"/>
  <c r="BC132" i="1" s="1"/>
  <c r="BD132" i="1" s="1"/>
  <c r="V132" i="1"/>
  <c r="Q170" i="1"/>
  <c r="BC170" i="1" s="1"/>
  <c r="BD170" i="1" s="1"/>
  <c r="V170" i="1"/>
  <c r="V36" i="1"/>
  <c r="Q36" i="1"/>
  <c r="BC36" i="1" s="1"/>
  <c r="BD36" i="1" s="1"/>
  <c r="Q169" i="1"/>
  <c r="BC169" i="1" s="1"/>
  <c r="BD169" i="1" s="1"/>
  <c r="V169" i="1"/>
  <c r="V188" i="1"/>
  <c r="Q188" i="1"/>
  <c r="BC188" i="1" s="1"/>
  <c r="BD188" i="1" s="1"/>
  <c r="Q140" i="1"/>
  <c r="V140" i="1"/>
  <c r="V231" i="1"/>
  <c r="Q231" i="1"/>
  <c r="BC231" i="1" s="1"/>
  <c r="BD231" i="1" s="1"/>
  <c r="Q198" i="1"/>
  <c r="BC198" i="1" s="1"/>
  <c r="BD198" i="1" s="1"/>
  <c r="V198" i="1"/>
  <c r="V225" i="1"/>
  <c r="Q250" i="1"/>
  <c r="BC250" i="1" s="1"/>
  <c r="BD250" i="1" s="1"/>
  <c r="V250" i="1"/>
  <c r="V266" i="1"/>
  <c r="Q266" i="1"/>
  <c r="Q327" i="1"/>
  <c r="BC327" i="1" s="1"/>
  <c r="BD327" i="1" s="1"/>
  <c r="V327" i="1"/>
  <c r="V304" i="1"/>
  <c r="Q328" i="1"/>
  <c r="BC328" i="1" s="1"/>
  <c r="BD328" i="1" s="1"/>
  <c r="V328" i="1"/>
  <c r="V272" i="1"/>
  <c r="Q272" i="1"/>
  <c r="BC272" i="1" s="1"/>
  <c r="BD272" i="1" s="1"/>
  <c r="V316" i="1"/>
  <c r="Q316" i="1"/>
  <c r="BC316" i="1" s="1"/>
  <c r="BD316" i="1" s="1"/>
  <c r="Q412" i="1"/>
  <c r="BC412" i="1" s="1"/>
  <c r="BD412" i="1" s="1"/>
  <c r="V412" i="1"/>
  <c r="Q427" i="1"/>
  <c r="V427" i="1"/>
  <c r="V363" i="1"/>
  <c r="Q363" i="1"/>
  <c r="V379" i="1"/>
  <c r="Q379" i="1"/>
  <c r="BC379" i="1" s="1"/>
  <c r="BD379" i="1" s="1"/>
  <c r="V435" i="1"/>
  <c r="Q435" i="1"/>
  <c r="BC435" i="1" s="1"/>
  <c r="BD435" i="1" s="1"/>
  <c r="V373" i="1"/>
  <c r="Q373" i="1"/>
  <c r="BC373" i="1" s="1"/>
  <c r="BD373" i="1" s="1"/>
  <c r="S471" i="1"/>
  <c r="W471" i="1" s="1"/>
  <c r="V471" i="1"/>
  <c r="V34" i="1"/>
  <c r="V18" i="1"/>
  <c r="V26" i="1"/>
  <c r="V10" i="1"/>
  <c r="V3" i="1"/>
  <c r="BO3" i="1" l="1"/>
  <c r="H38" i="2" s="1"/>
  <c r="W266" i="1"/>
  <c r="BC266" i="1"/>
  <c r="BD266" i="1" s="1"/>
  <c r="W453" i="1"/>
  <c r="BC453" i="1"/>
  <c r="BD453" i="1" s="1"/>
  <c r="W140" i="1"/>
  <c r="BC140" i="1"/>
  <c r="BD140" i="1" s="1"/>
  <c r="W67" i="1"/>
  <c r="BC67" i="1"/>
  <c r="BD67" i="1" s="1"/>
  <c r="W205" i="1"/>
  <c r="BC205" i="1"/>
  <c r="BD205" i="1" s="1"/>
  <c r="W427" i="1"/>
  <c r="BC427" i="1"/>
  <c r="BD427" i="1" s="1"/>
  <c r="W85" i="1"/>
  <c r="BC85" i="1"/>
  <c r="BD85" i="1" s="1"/>
  <c r="W386" i="1"/>
  <c r="BC386" i="1"/>
  <c r="BD386" i="1" s="1"/>
  <c r="W368" i="1"/>
  <c r="BC368" i="1"/>
  <c r="BD368" i="1" s="1"/>
  <c r="W369" i="1"/>
  <c r="BC369" i="1"/>
  <c r="BD369" i="1" s="1"/>
  <c r="W377" i="1"/>
  <c r="BC377" i="1"/>
  <c r="BD377" i="1" s="1"/>
  <c r="W117" i="1"/>
  <c r="BC117" i="1"/>
  <c r="BD117" i="1" s="1"/>
  <c r="W463" i="1"/>
  <c r="BC463" i="1"/>
  <c r="BD463" i="1" s="1"/>
  <c r="W148" i="1"/>
  <c r="BC148" i="1"/>
  <c r="BD148" i="1" s="1"/>
  <c r="W51" i="1"/>
  <c r="BC51" i="1"/>
  <c r="BD51" i="1" s="1"/>
  <c r="W65" i="1"/>
  <c r="BC65" i="1"/>
  <c r="BD65" i="1" s="1"/>
  <c r="W81" i="1"/>
  <c r="BC81" i="1"/>
  <c r="BD81" i="1" s="1"/>
  <c r="W207" i="1"/>
  <c r="BC207" i="1"/>
  <c r="BD207" i="1" s="1"/>
  <c r="W271" i="1"/>
  <c r="BC271" i="1"/>
  <c r="BD271" i="1" s="1"/>
  <c r="W256" i="1"/>
  <c r="BC256" i="1"/>
  <c r="BD256" i="1" s="1"/>
  <c r="W457" i="1"/>
  <c r="BC457" i="1"/>
  <c r="BD457" i="1" s="1"/>
  <c r="W63" i="1"/>
  <c r="BC63" i="1"/>
  <c r="BD63" i="1" s="1"/>
  <c r="W59" i="1"/>
  <c r="BC59" i="1"/>
  <c r="BD59" i="1" s="1"/>
  <c r="W330" i="1"/>
  <c r="BC330" i="1"/>
  <c r="BD330" i="1" s="1"/>
  <c r="W278" i="1"/>
  <c r="BC278" i="1"/>
  <c r="BD278" i="1" s="1"/>
  <c r="W385" i="1"/>
  <c r="BC385" i="1"/>
  <c r="BD385" i="1" s="1"/>
  <c r="W109" i="1"/>
  <c r="BC109" i="1"/>
  <c r="BD109" i="1" s="1"/>
  <c r="W447" i="1"/>
  <c r="BC447" i="1"/>
  <c r="BD447" i="1" s="1"/>
  <c r="W115" i="1"/>
  <c r="BC115" i="1"/>
  <c r="BD115" i="1" s="1"/>
  <c r="W470" i="1"/>
  <c r="BC470" i="1"/>
  <c r="BD470" i="1" s="1"/>
  <c r="W71" i="1"/>
  <c r="BC71" i="1"/>
  <c r="BD71" i="1" s="1"/>
  <c r="W53" i="1"/>
  <c r="BC53" i="1"/>
  <c r="BD53" i="1" s="1"/>
  <c r="W86" i="1"/>
  <c r="BC86" i="1"/>
  <c r="BD86" i="1" s="1"/>
  <c r="W215" i="1"/>
  <c r="BC215" i="1"/>
  <c r="BD215" i="1" s="1"/>
  <c r="W381" i="1"/>
  <c r="BC381" i="1"/>
  <c r="BD381" i="1" s="1"/>
  <c r="W181" i="1"/>
  <c r="BC181" i="1"/>
  <c r="BD181" i="1" s="1"/>
  <c r="W498" i="1"/>
  <c r="BC498" i="1"/>
  <c r="BD498" i="1" s="1"/>
  <c r="W363" i="1"/>
  <c r="BC363" i="1"/>
  <c r="BD363" i="1" s="1"/>
  <c r="W179" i="1"/>
  <c r="BC179" i="1"/>
  <c r="BD179" i="1" s="1"/>
  <c r="W191" i="1"/>
  <c r="W118" i="1"/>
  <c r="W209" i="1"/>
  <c r="W355" i="1"/>
  <c r="W290" i="1"/>
  <c r="W248" i="1"/>
  <c r="W122" i="1"/>
  <c r="W372" i="1"/>
  <c r="W57" i="1"/>
  <c r="W272" i="1"/>
  <c r="W170" i="1"/>
  <c r="W362" i="1"/>
  <c r="W336" i="1"/>
  <c r="W439" i="1"/>
  <c r="W213" i="1"/>
  <c r="W450" i="1"/>
  <c r="W332" i="1"/>
  <c r="W206" i="1"/>
  <c r="W25" i="1"/>
  <c r="W389" i="1"/>
  <c r="W134" i="1"/>
  <c r="W55" i="1"/>
  <c r="W45" i="1"/>
  <c r="W433" i="1"/>
  <c r="W129" i="1"/>
  <c r="W429" i="1"/>
  <c r="W311" i="1"/>
  <c r="W258" i="1"/>
  <c r="W188" i="1"/>
  <c r="W441" i="1"/>
  <c r="W169" i="1"/>
  <c r="W189" i="1"/>
  <c r="W101" i="1"/>
  <c r="W306" i="1"/>
  <c r="W119" i="1"/>
  <c r="W412" i="1"/>
  <c r="W36" i="1"/>
  <c r="W459" i="1"/>
  <c r="W192" i="1"/>
  <c r="W481" i="1"/>
  <c r="W39" i="1"/>
  <c r="W350" i="1"/>
  <c r="W199" i="1"/>
  <c r="W125" i="1"/>
  <c r="W106" i="1"/>
  <c r="W61" i="1"/>
  <c r="W183" i="1"/>
  <c r="W397" i="1"/>
  <c r="W75" i="1"/>
  <c r="W184" i="1"/>
  <c r="W489" i="1"/>
  <c r="W411" i="1"/>
  <c r="W357" i="1"/>
  <c r="W461" i="1"/>
  <c r="W378" i="1"/>
  <c r="W254" i="1"/>
  <c r="W41" i="1"/>
  <c r="W387" i="1"/>
  <c r="W408" i="1"/>
  <c r="W445" i="1"/>
  <c r="W347" i="1"/>
  <c r="W316" i="1"/>
  <c r="W69" i="1"/>
  <c r="W403" i="1"/>
  <c r="W168" i="1"/>
  <c r="W431" i="1"/>
  <c r="W193" i="1"/>
  <c r="W91" i="1"/>
  <c r="W49" i="1"/>
  <c r="W114" i="1"/>
  <c r="W44" i="1"/>
  <c r="W443" i="1"/>
  <c r="W77" i="1"/>
  <c r="W177" i="1"/>
  <c r="W260" i="1"/>
  <c r="W197" i="1"/>
  <c r="W79" i="1"/>
  <c r="W73" i="1"/>
  <c r="W315" i="1"/>
  <c r="W47" i="1"/>
  <c r="W333" i="1"/>
  <c r="W98" i="1"/>
  <c r="W379" i="1"/>
  <c r="W83" i="1"/>
  <c r="W185" i="1"/>
  <c r="W252" i="1"/>
  <c r="W187" i="1"/>
  <c r="W446" i="1"/>
  <c r="W133" i="1"/>
  <c r="W307" i="1"/>
  <c r="W449" i="1"/>
  <c r="W361" i="1"/>
  <c r="W467" i="1"/>
  <c r="W370" i="1"/>
  <c r="W329" i="1"/>
  <c r="W345" i="1"/>
  <c r="W136" i="1"/>
  <c r="W284" i="1"/>
  <c r="W373" i="1"/>
  <c r="W437" i="1"/>
  <c r="W469" i="1"/>
  <c r="W262" i="1"/>
  <c r="W43" i="1"/>
  <c r="W223" i="1"/>
  <c r="W110" i="1"/>
  <c r="W327" i="1"/>
  <c r="W231" i="1"/>
  <c r="W175" i="1"/>
  <c r="W102" i="1"/>
  <c r="W208" i="1"/>
  <c r="W78" i="1"/>
  <c r="W416" i="1"/>
  <c r="W156" i="1"/>
  <c r="W413" i="1"/>
  <c r="W477" i="1"/>
  <c r="W395" i="1"/>
  <c r="W268" i="1"/>
  <c r="W328" i="1"/>
  <c r="W331" i="1"/>
  <c r="W204" i="1"/>
  <c r="W132" i="1"/>
  <c r="W128" i="1"/>
  <c r="W167" i="1"/>
  <c r="W465" i="1"/>
  <c r="W161" i="1"/>
  <c r="W356" i="1"/>
  <c r="W250" i="1"/>
  <c r="W264" i="1"/>
  <c r="W90" i="1"/>
  <c r="W200" i="1"/>
  <c r="W303" i="1"/>
  <c r="AY3" i="1"/>
  <c r="H18" i="2" s="1"/>
  <c r="W371" i="1"/>
  <c r="W435" i="1"/>
  <c r="W87" i="1"/>
  <c r="W365" i="1"/>
  <c r="W422" i="1"/>
  <c r="W211" i="1"/>
  <c r="W455" i="1"/>
  <c r="W354" i="1"/>
  <c r="W451" i="1"/>
  <c r="W151" i="1"/>
  <c r="W198" i="1"/>
  <c r="W300" i="1"/>
  <c r="BF3" i="1" l="1"/>
  <c r="H28" i="2" s="1"/>
</calcChain>
</file>

<file path=xl/sharedStrings.xml><?xml version="1.0" encoding="utf-8"?>
<sst xmlns="http://schemas.openxmlformats.org/spreadsheetml/2006/main" count="127" uniqueCount="81">
  <si>
    <t>Gender</t>
  </si>
  <si>
    <t>Age</t>
  </si>
  <si>
    <t>Field of Work</t>
  </si>
  <si>
    <t>Health</t>
  </si>
  <si>
    <t>Construction</t>
  </si>
  <si>
    <t>Teaching</t>
  </si>
  <si>
    <t>IT</t>
  </si>
  <si>
    <t>Agriculture</t>
  </si>
  <si>
    <t>General Work</t>
  </si>
  <si>
    <t xml:space="preserve">Level of Education </t>
  </si>
  <si>
    <t>High School</t>
  </si>
  <si>
    <t>College</t>
  </si>
  <si>
    <t>University</t>
  </si>
  <si>
    <t>Technical</t>
  </si>
  <si>
    <t>Other</t>
  </si>
  <si>
    <t>Level of Education</t>
  </si>
  <si>
    <t>No. of Children</t>
  </si>
  <si>
    <t>No. of Vehicles</t>
  </si>
  <si>
    <t>Income</t>
  </si>
  <si>
    <t>Northwest Ter</t>
  </si>
  <si>
    <t>Alberta</t>
  </si>
  <si>
    <t>Nunavut</t>
  </si>
  <si>
    <t>Saskatchewan</t>
  </si>
  <si>
    <t>Manitoba</t>
  </si>
  <si>
    <t>Ontario</t>
  </si>
  <si>
    <t>Quebec</t>
  </si>
  <si>
    <t>Newfouland</t>
  </si>
  <si>
    <t>New bruncwick</t>
  </si>
  <si>
    <t>Nova scotia</t>
  </si>
  <si>
    <t>Prince Edward Islnd</t>
  </si>
  <si>
    <t>Area</t>
  </si>
  <si>
    <t>BC</t>
  </si>
  <si>
    <t>Yukon</t>
  </si>
  <si>
    <t>Value of The House</t>
  </si>
  <si>
    <t>Mortage left</t>
  </si>
  <si>
    <t>Car Value</t>
  </si>
  <si>
    <t>Car Debit Left</t>
  </si>
  <si>
    <t>Debts</t>
  </si>
  <si>
    <t>Investments</t>
  </si>
  <si>
    <t>Net Worth</t>
  </si>
  <si>
    <t>Total Value of Debts</t>
  </si>
  <si>
    <t>Column1</t>
  </si>
  <si>
    <t>Column2</t>
  </si>
  <si>
    <t>Column3</t>
  </si>
  <si>
    <t>Male Vs Female</t>
  </si>
  <si>
    <t>Male</t>
  </si>
  <si>
    <t>Female</t>
  </si>
  <si>
    <t>Number of Male</t>
  </si>
  <si>
    <t>Number of Female</t>
  </si>
  <si>
    <t>Average Age</t>
  </si>
  <si>
    <t xml:space="preserve"> Construction </t>
  </si>
  <si>
    <t>AVERAGE INCOME</t>
  </si>
  <si>
    <t>Average Value of Car</t>
  </si>
  <si>
    <t>A Value of Car</t>
  </si>
  <si>
    <t>Average value of one car</t>
  </si>
  <si>
    <t>Debt greater than $20,000</t>
  </si>
  <si>
    <t>Number of peaople with debt greater than x</t>
  </si>
  <si>
    <t>Percentage left to pay</t>
  </si>
  <si>
    <t>Less than 30%</t>
  </si>
  <si>
    <t>No. of People that has X% left in their mortgage</t>
  </si>
  <si>
    <t>Average Income per Territory</t>
  </si>
  <si>
    <t>New brunswick</t>
  </si>
  <si>
    <t>Prince Edward Island</t>
  </si>
  <si>
    <t>Nova Scotia</t>
  </si>
  <si>
    <t>Average Income per Sector</t>
  </si>
  <si>
    <t>the percentage of people with debts higher than their yearly income</t>
  </si>
  <si>
    <t>Average age of people with a netwoth higher than their yealy income</t>
  </si>
  <si>
    <t>Basic</t>
  </si>
  <si>
    <t>Number of Male Vs Number Female</t>
  </si>
  <si>
    <t>Number of People in each Profession</t>
  </si>
  <si>
    <t xml:space="preserve">Teaching </t>
  </si>
  <si>
    <t>Average Income</t>
  </si>
  <si>
    <t>New Brunswick</t>
  </si>
  <si>
    <t>Northwest Territories</t>
  </si>
  <si>
    <t>British Columbia</t>
  </si>
  <si>
    <t>Newfoundland and Labrador</t>
  </si>
  <si>
    <t>Variables</t>
  </si>
  <si>
    <t>Number of peaople with debt greater than x (1)</t>
  </si>
  <si>
    <t>No. of People that has X% left in their mortgage (2)</t>
  </si>
  <si>
    <t>Percentage of people having debts higher than their income (3)</t>
  </si>
  <si>
    <t>Average age of people with a netwoth higher than their yealy income 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</si>
</sst>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9" fontId="0" fillId="0" borderId="0" xfId="2" applyFont="1"/>
    <xf numFmtId="9" fontId="0" fillId="0" borderId="3" xfId="2" applyFont="1" applyBorder="1"/>
    <xf numFmtId="0" fontId="0" fillId="0" borderId="0" xfId="0" applyAlignment="1">
      <alignment horizontal="left"/>
    </xf>
    <xf numFmtId="0" fontId="3" fillId="0" borderId="4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0" fontId="3" fillId="0" borderId="5" xfId="1" applyNumberFormat="1" applyFont="1" applyBorder="1" applyAlignment="1">
      <alignment horizontal="center"/>
    </xf>
    <xf numFmtId="0" fontId="3" fillId="0" borderId="4" xfId="1" applyNumberFormat="1" applyFont="1" applyBorder="1" applyAlignment="1"/>
    <xf numFmtId="0" fontId="3" fillId="0" borderId="0" xfId="1" applyNumberFormat="1" applyFont="1" applyBorder="1" applyAlignment="1"/>
    <xf numFmtId="0" fontId="3" fillId="0" borderId="5" xfId="1" applyNumberFormat="1" applyFont="1" applyBorder="1" applyAlignment="1"/>
    <xf numFmtId="0" fontId="3" fillId="0" borderId="6" xfId="1" applyNumberFormat="1" applyFont="1" applyBorder="1" applyAlignment="1"/>
    <xf numFmtId="0" fontId="3" fillId="0" borderId="7" xfId="1" applyNumberFormat="1" applyFont="1" applyBorder="1" applyAlignment="1"/>
    <xf numFmtId="0" fontId="3" fillId="0" borderId="8" xfId="1" applyNumberFormat="1" applyFont="1" applyBorder="1" applyAlignment="1"/>
    <xf numFmtId="0" fontId="0" fillId="0" borderId="0" xfId="2" applyNumberFormat="1" applyFont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44" fontId="3" fillId="3" borderId="1" xfId="1" applyFont="1" applyFill="1" applyBorder="1" applyAlignment="1">
      <alignment horizontal="left"/>
    </xf>
    <xf numFmtId="44" fontId="3" fillId="3" borderId="2" xfId="1" applyFont="1" applyFill="1" applyBorder="1" applyAlignment="1">
      <alignment horizontal="left"/>
    </xf>
    <xf numFmtId="44" fontId="3" fillId="3" borderId="3" xfId="1" applyFont="1" applyFill="1" applyBorder="1" applyAlignment="1">
      <alignment horizontal="left"/>
    </xf>
    <xf numFmtId="44" fontId="3" fillId="3" borderId="4" xfId="1" applyFont="1" applyFill="1" applyBorder="1" applyAlignment="1">
      <alignment horizontal="left"/>
    </xf>
    <xf numFmtId="44" fontId="3" fillId="3" borderId="0" xfId="1" applyFont="1" applyFill="1" applyBorder="1" applyAlignment="1">
      <alignment horizontal="left"/>
    </xf>
    <xf numFmtId="44" fontId="3" fillId="3" borderId="5" xfId="1" applyFont="1" applyFill="1" applyBorder="1" applyAlignment="1">
      <alignment horizontal="left"/>
    </xf>
    <xf numFmtId="44" fontId="3" fillId="3" borderId="6" xfId="1" applyFont="1" applyFill="1" applyBorder="1" applyAlignment="1">
      <alignment horizontal="left"/>
    </xf>
    <xf numFmtId="44" fontId="3" fillId="3" borderId="7" xfId="1" applyFont="1" applyFill="1" applyBorder="1" applyAlignment="1">
      <alignment horizontal="left"/>
    </xf>
    <xf numFmtId="44" fontId="3" fillId="3" borderId="8" xfId="1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4" fontId="3" fillId="3" borderId="1" xfId="1" applyFont="1" applyFill="1" applyBorder="1" applyAlignment="1"/>
    <xf numFmtId="44" fontId="3" fillId="3" borderId="2" xfId="1" applyFont="1" applyFill="1" applyBorder="1" applyAlignment="1"/>
    <xf numFmtId="44" fontId="3" fillId="3" borderId="3" xfId="1" applyFont="1" applyFill="1" applyBorder="1" applyAlignment="1"/>
    <xf numFmtId="44" fontId="3" fillId="3" borderId="4" xfId="1" applyFont="1" applyFill="1" applyBorder="1" applyAlignment="1"/>
    <xf numFmtId="44" fontId="3" fillId="3" borderId="0" xfId="1" applyFont="1" applyFill="1" applyBorder="1" applyAlignment="1"/>
    <xf numFmtId="44" fontId="3" fillId="3" borderId="5" xfId="1" applyFont="1" applyFill="1" applyBorder="1" applyAlignment="1"/>
    <xf numFmtId="44" fontId="3" fillId="3" borderId="6" xfId="1" applyFont="1" applyFill="1" applyBorder="1" applyAlignment="1"/>
    <xf numFmtId="44" fontId="3" fillId="3" borderId="7" xfId="1" applyFont="1" applyFill="1" applyBorder="1" applyAlignment="1"/>
    <xf numFmtId="44" fontId="3" fillId="3" borderId="8" xfId="1" applyFont="1" applyFill="1" applyBorder="1" applyAlignment="1"/>
    <xf numFmtId="0" fontId="3" fillId="3" borderId="1" xfId="1" applyNumberFormat="1" applyFont="1" applyFill="1" applyBorder="1" applyAlignment="1">
      <alignment horizontal="left"/>
    </xf>
    <xf numFmtId="0" fontId="3" fillId="3" borderId="2" xfId="1" applyNumberFormat="1" applyFont="1" applyFill="1" applyBorder="1" applyAlignment="1">
      <alignment horizontal="left"/>
    </xf>
    <xf numFmtId="0" fontId="3" fillId="3" borderId="3" xfId="1" applyNumberFormat="1" applyFont="1" applyFill="1" applyBorder="1" applyAlignment="1">
      <alignment horizontal="left"/>
    </xf>
    <xf numFmtId="0" fontId="3" fillId="3" borderId="4" xfId="1" applyNumberFormat="1" applyFont="1" applyFill="1" applyBorder="1" applyAlignment="1">
      <alignment horizontal="left"/>
    </xf>
    <xf numFmtId="0" fontId="3" fillId="3" borderId="0" xfId="1" applyNumberFormat="1" applyFont="1" applyFill="1" applyBorder="1" applyAlignment="1">
      <alignment horizontal="left"/>
    </xf>
    <xf numFmtId="0" fontId="3" fillId="3" borderId="5" xfId="1" applyNumberFormat="1" applyFont="1" applyFill="1" applyBorder="1" applyAlignment="1">
      <alignment horizontal="left"/>
    </xf>
    <xf numFmtId="0" fontId="3" fillId="3" borderId="6" xfId="1" applyNumberFormat="1" applyFont="1" applyFill="1" applyBorder="1" applyAlignment="1">
      <alignment horizontal="left"/>
    </xf>
    <xf numFmtId="0" fontId="3" fillId="3" borderId="7" xfId="1" applyNumberFormat="1" applyFont="1" applyFill="1" applyBorder="1" applyAlignment="1">
      <alignment horizontal="left"/>
    </xf>
    <xf numFmtId="0" fontId="3" fillId="3" borderId="8" xfId="1" applyNumberFormat="1" applyFont="1" applyFill="1" applyBorder="1" applyAlignment="1">
      <alignment horizontal="left"/>
    </xf>
    <xf numFmtId="0" fontId="0" fillId="0" borderId="15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Dashboard!$D$9:$G$9</c:f>
              <c:numCache>
                <c:formatCode>General</c:formatCode>
                <c:ptCount val="4"/>
                <c:pt idx="0">
                  <c:v>235</c:v>
                </c:pt>
                <c:pt idx="2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C-4832-8D17-478C0E6FEB1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Dashboard!$D$10:$G$10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D6DC-4832-8D17-478C0E6FE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4865048"/>
        <c:axId val="634865408"/>
      </c:barChart>
      <c:catAx>
        <c:axId val="634865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865408"/>
        <c:crosses val="autoZero"/>
        <c:auto val="1"/>
        <c:lblAlgn val="ctr"/>
        <c:lblOffset val="100"/>
        <c:noMultiLvlLbl val="0"/>
      </c:catAx>
      <c:valAx>
        <c:axId val="63486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86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49-4BF3-89DE-AEEC0722C1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49-4BF3-89DE-AEEC0722C1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49-4BF3-89DE-AEEC0722C1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549-4BF3-89DE-AEEC0722C1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549-4BF3-89DE-AEEC0722C1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549-4BF3-89DE-AEEC0722C19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549-4BF3-89DE-AEEC0722C19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549-4BF3-89DE-AEEC0722C19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549-4BF3-89DE-AEEC0722C19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549-4BF3-89DE-AEEC0722C19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549-4BF3-89DE-AEEC0722C19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549-4BF3-89DE-AEEC0722C1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Dashboard!$L$8:$W$8</c:f>
              <c:numCache>
                <c:formatCode>General</c:formatCode>
                <c:ptCount val="12"/>
                <c:pt idx="0">
                  <c:v>81</c:v>
                </c:pt>
                <c:pt idx="2">
                  <c:v>71</c:v>
                </c:pt>
                <c:pt idx="4">
                  <c:v>74</c:v>
                </c:pt>
                <c:pt idx="6">
                  <c:v>94</c:v>
                </c:pt>
                <c:pt idx="8">
                  <c:v>83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8-4002-BE56-3B0792BBF2B2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549-4BF3-89DE-AEEC0722C1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549-4BF3-89DE-AEEC0722C1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549-4BF3-89DE-AEEC0722C1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549-4BF3-89DE-AEEC0722C1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549-4BF3-89DE-AEEC0722C1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549-4BF3-89DE-AEEC0722C19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549-4BF3-89DE-AEEC0722C19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549-4BF3-89DE-AEEC0722C19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7549-4BF3-89DE-AEEC0722C19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7549-4BF3-89DE-AEEC0722C19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7549-4BF3-89DE-AEEC0722C19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7549-4BF3-89DE-AEEC0722C1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Dashboard!$L$9:$W$9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A618-4002-BE56-3B0792BBF2B2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7549-4BF3-89DE-AEEC0722C1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7549-4BF3-89DE-AEEC0722C1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7549-4BF3-89DE-AEEC0722C1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7549-4BF3-89DE-AEEC0722C1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7549-4BF3-89DE-AEEC0722C1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7549-4BF3-89DE-AEEC0722C19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7549-4BF3-89DE-AEEC0722C19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7549-4BF3-89DE-AEEC0722C19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7549-4BF3-89DE-AEEC0722C19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7549-4BF3-89DE-AEEC0722C19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7549-4BF3-89DE-AEEC0722C19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7549-4BF3-89DE-AEEC0722C19F}"/>
              </c:ext>
            </c:extLst>
          </c:dPt>
          <c:dLbls>
            <c:delete val="1"/>
          </c:dLbls>
          <c:val>
            <c:numRef>
              <c:f>Dashboard!$L$10:$W$10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A618-4002-BE56-3B0792BBF2B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Dashboard!$L$34:$W$34</c:f>
              <c:strCache>
                <c:ptCount val="11"/>
                <c:pt idx="0">
                  <c:v>Teaching </c:v>
                </c:pt>
                <c:pt idx="2">
                  <c:v>Health</c:v>
                </c:pt>
                <c:pt idx="4">
                  <c:v>Agriculture</c:v>
                </c:pt>
                <c:pt idx="6">
                  <c:v>IT</c:v>
                </c:pt>
                <c:pt idx="8">
                  <c:v>Construction</c:v>
                </c:pt>
                <c:pt idx="10">
                  <c:v>General Work</c:v>
                </c:pt>
              </c:strCache>
            </c:strRef>
          </c:cat>
          <c:val>
            <c:numRef>
              <c:f>Dashboard!$L$35:$W$35</c:f>
              <c:numCache>
                <c:formatCode>General</c:formatCode>
                <c:ptCount val="12"/>
                <c:pt idx="0">
                  <c:v>60813.01234567901</c:v>
                </c:pt>
                <c:pt idx="2">
                  <c:v>55021.985915492958</c:v>
                </c:pt>
                <c:pt idx="4">
                  <c:v>60521.135135135133</c:v>
                </c:pt>
                <c:pt idx="6">
                  <c:v>57357.861702127659</c:v>
                </c:pt>
                <c:pt idx="8">
                  <c:v>55980.891566265062</c:v>
                </c:pt>
                <c:pt idx="10">
                  <c:v>56261.105263157893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5-43EA-86AC-752E6C9D67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78842216"/>
        <c:axId val="7788454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>
                    <a:gsLst>
                      <a:gs pos="0">
                        <a:schemeClr val="accent4"/>
                      </a:gs>
                      <a:gs pos="100000">
                        <a:schemeClr val="accent4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Dashboard!$L$34:$W$34</c15:sqref>
                        </c15:formulaRef>
                      </c:ext>
                    </c:extLst>
                    <c:strCache>
                      <c:ptCount val="11"/>
                      <c:pt idx="0">
                        <c:v>Teaching </c:v>
                      </c:pt>
                      <c:pt idx="2">
                        <c:v>Health</c:v>
                      </c:pt>
                      <c:pt idx="4">
                        <c:v>Agriculture</c:v>
                      </c:pt>
                      <c:pt idx="6">
                        <c:v>IT</c:v>
                      </c:pt>
                      <c:pt idx="8">
                        <c:v>Construction</c:v>
                      </c:pt>
                      <c:pt idx="10">
                        <c:v>General Work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Dashboard!$L$36:$W$36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F5-43EA-86AC-752E6C9D6757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>
                    <a:gsLst>
                      <a:gs pos="0">
                        <a:schemeClr val="accent6"/>
                      </a:gs>
                      <a:gs pos="100000">
                        <a:schemeClr val="accent6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Dashboard!$L$34:$W$34</c15:sqref>
                        </c15:formulaRef>
                      </c:ext>
                    </c:extLst>
                    <c:strCache>
                      <c:ptCount val="11"/>
                      <c:pt idx="0">
                        <c:v>Teaching </c:v>
                      </c:pt>
                      <c:pt idx="2">
                        <c:v>Health</c:v>
                      </c:pt>
                      <c:pt idx="4">
                        <c:v>Agriculture</c:v>
                      </c:pt>
                      <c:pt idx="6">
                        <c:v>IT</c:v>
                      </c:pt>
                      <c:pt idx="8">
                        <c:v>Construction</c:v>
                      </c:pt>
                      <c:pt idx="10">
                        <c:v>General Work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Dashboard!$L$37:$W$37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FF5-43EA-86AC-752E6C9D6757}"/>
                  </c:ext>
                </c:extLst>
              </c15:ser>
            </c15:filteredBarSeries>
          </c:ext>
        </c:extLst>
      </c:barChart>
      <c:catAx>
        <c:axId val="77884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845456"/>
        <c:crosses val="autoZero"/>
        <c:auto val="1"/>
        <c:lblAlgn val="ctr"/>
        <c:lblOffset val="100"/>
        <c:noMultiLvlLbl val="0"/>
      </c:catAx>
      <c:valAx>
        <c:axId val="778845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8842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  <cx:data id="1">
      <cx:strDim type="cat">
        <cx:f dir="row">_xlchart.v5.2</cx:f>
        <cx:nf dir="row">_xlchart.v5.0</cx:nf>
      </cx:strDim>
      <cx:numDim type="colorVal">
        <cx:f dir="row">_xlchart.v5.3</cx:f>
        <cx:nf dir="row">_xlchart.v5.1</cx:nf>
      </cx:numDim>
    </cx:data>
  </cx:chartData>
  <cx:chart>
    <cx:title pos="t" align="ctr" overlay="0"/>
    <cx:plotArea>
      <cx:plotAreaRegion>
        <cx:series layoutId="regionMap" uniqueId="{692F430D-82B3-42DF-A5A8-289FB08788CD}" formatIdx="0">
          <cx:dataId val="0"/>
          <cx:layoutPr>
            <cx:geography cultureLanguage="en-US" cultureRegion="US" attribution="Powered by Bing">
              <cx:geoCache provider="{E9337A44-BEBE-4D9F-B70C-5C5E7DAFC167}">
                <cx:binary>1Htpc9y2tu1fcfnzowKAmHjq5FZddrdmy5YVO1a+sCRb5gxwADj9+ruotnOttmMn7+RVvaROTkfN
AcAe115797/fT/96Xz3cdc+mujL9v95PPz/PnGv+9dNP/fvsob7rj+r8fWd7+9Edvbf1T/bjx/z9
w08fursxN+lPjFD+0/vsrnMP0/P/+jfelj7YS/v+zuXWXPuHbn790PvK9d+59s1Lz+4+1LnZ5r3r
8veO/vz8v6v7h87dPX/2YFzu5l/m5uHn509uev7sp8NXfbXsswo7c/4DnhXiiMooJEqR6PEf/fxZ
ZU366XJAKT8SlKpIEP551au7Gk/+ia08buTuw4fuoe9xlMfPLx58sm98Hz9/9t5641ZxpZDcz883
d+buA06b93azv7Kx6643//14zJ+eSvq//n3wBQ5+8M0XyjiU0o8ufaWLW19a81km/7kmZHgkQ6WU
4HSvCXWgiVBAE6FmnMvPq+418biRZ788dF3ubDd/vvitLX1bI1+94EAzt7/8szRzc9eXdw6eO979
jQoS/IjDV5gKOXn8hx4oiIgjHRHNJROfdbBX0J/dz7e18/TpA9XcXPyzVBPDRvM+e7axla/v878z
kiFQPUr+SfhiiG9UCsHZgdP8lY18Wy9fv+FAN/Hmn6Wbl8bddbn9bLvfih9/MbmQI6K4FIp/8pjw
qcdoOAzTKhSh2HsU+7z23m/+xIa+rZrfHzzQyMurf5ZGrmznsvGhd79H9/yh/yyj/1w/SDlCq0iG
dC9+cqAfSvURZRHVWhwk/7+8sW/r6Q9ec6C1q39Y+nlxZ5CI7//e2AaMJoRaM8uX8S1SR3zVngqj
vQoPMs+f2cq3VfO/Tx5o48U/DKZdeXM3ePc3eo044iTknIV6L/MDHBDJIyI5FyEN99cPfefHG/q2
Sn4/yYFGrt78s6IakPb9w/u/TyEiPCKEaxbxTzVM9NRJFDlSSnNEM7lH1ri+r5/2aebH+/m2Pj4/
d6CO680/Sx1XD+NHFFcfqjvz4dn67+XdfXf3wXafpfSfJxrBjiTVYQQVPVWNJEcspDzS6lPRg/Lz
S9X8X+3t29r6zqsOFHh1+Y9T4LO486Yf8/flZ/n950rj8khENJTAB/s4doAOpDyiSodSyU9ud5B7
IPA/t60/1NeXjx/q6J+Whexw9+zmvXV/Z8nDBQJfSKVkewUd4reVUiBydS1wCU/c6s/t5g8U8+XD
h2q5+We5zqsuN+8fnu0+jHfdh2dn/RoDP4vqb/EgkDkob7j+PfF8id6gH8I4/heJ/fWD6PdXd/dt
fX37LQeKe7X7/1txf0AM7o16r6knt/xFGlSyIwEMrSX530r0S00B00miKdHik6sdVKqfico/3s+3
dfP5uSd7/3/Ne/4xJ/o7U7y9c3e7R4r5C1r0+1cfDwje++DRT3Hnm860l9bZh5+fc0YiEDS/U9fr
S55GrKeg+YtnHu569/PzQNKjNRJSQImQcKkVstFaOeMSZeRIakKlpoJqcEGIhmatrH9+rsMjoPQo
kopwSigIpOfPeuvXS4IeRUxITihBfAUFzn6n9l/Zak6t+V0en/5+Znz9yubG9T8/ZyHe1Ozve9ys
iihoEEk4UxRsFFM4bvP+7jX6B7id/p+itbQTaRneuKKdfHc8Dnqm9IIGkQ/EbpkW29+OzTD7B9IK
Wl9QP4yS7KwZVdRtSjn0s3zZtF0xXXOZlao9TqJKB2qXGyZnezaUKi3L07HuShOcjtKG8sTospyu
fT8OwU0orJmuVUVIzzbG9k25q7IscWednHHTlA1ojsRhvhTL2ypjonzheCLDLHa8ncp8IwEDxmwb
jAzvjoM8r5e3tLAL+xiYei67WPHGhSQuUh2297TU+ZRtXRCtR3FJRfrYDoVoi2NCRoKVMpJS/0C7
qMAl7cacZ/HUhHXaxJFofXdG6FwMeRw1VqiL1mZ0KuI2bLPytcmihWZxO2S6SnZN4HGKpZuxklJ1
ra5G087LiaxY2A3HmZeLfadTR8f52HS0tS/NTMfgpmXLemJfDMa+LEMt+mNZSl6+6FwjcFIj06g6
L4lagjszVQFE0fgCcgnmtp6uG6Ea+zKnJoQ4qjlJcJ3wsJrbE5mLOX8lmzltPiCoYF8Za13+rnaz
4zL2yobmNOqmsdiM3Qw56rom9YUtW+yhaWSdbbO+CNrbPCHQpa5bmTcxtamK8FiA7WYiGYpN3VTQ
YgvbKDZzIf34JhlM0X5kRnIctplS1snjeVaivSFlXkXvF0udy3dBm5vFbkpTrU/SQbZum44jzCCo
JUSTm0SnIt5/5a1o+9s0L/CKDRvKchnjfHI+uOlEm8NyTEEhR6cXSCXqhz6fNnlgZ9wtaobvkpZI
mLBn+ar3NFpk0J/SLM9gIFXXD7jfqRGC/6QRq4F0pw2fi/WjzMJwzl56MvTS7cpoyXi9y7N5CXjc
NTgq2ZEkL/rbpJtWfU6CJYmJQ+coa+I5N7bckUVDpqNJccIubUEYw46TLrgJ4JKZiHk++uzeLIOs
z4QObPZb1KU6YBuXzrOuXhEv6v6WtU2Ks7dFxKHytm3L5W3fzHBI2vOyv9Vphm9CR/y6DSul88f9
GGhdb6wxvDnjrpS+iKO5cP5c1pY1Z0a4LrnN6qGhF6nt8/wd9YX2O9dELb1wSzh3m3bU0tx3GZ/5
bZLPldxCdFW1G/MML1VCWn8+DokSceDNbE4iN/XmdGoLLVTMShWOeXU8diRrHNmSJnBux7vEHpfx
NJP6hPciKmPiWXhSENJWZ6ZAgInDNiHFlgwqyTa2b/XbKm/ohvRuIBtSuuY2oqIQ23aaXR3bYGiL
TUP7X/Ogt7/qudSvFtp5ELW62mSh182JTAbJYystVsuCMLlK24rf+UkHu7BS4rc0zdoXuXaJjbWl
vktjkizBcs3J0laRu6CZKPwlwRsRD2aievcu4p0OL01XZa7btT6T7ipZNMnptWNtG/rtUPIwqHeF
M5Fsj2nBc2jbKMsQh/KpaBGvajZAgvFekWKNzQ8lI7P5ZVzqngbbIvWZOf0id30jG1BknC+TgYbB
c4FspcC9RkRpAL8vk8GQDHU0Dby4WeooMqeddYRezelUIxbmqQ/LF3OJsFZvTJ06xGuEUyJPWFIU
MEDWqA4b79oUFrw4lqUvE1F16SZYmy7kVVASRJN87Aa/E4uZkxng7/fU+43tI5U+2T0IR64oATGs
WBiBdnm6+zxsoqXsiurNFLWdSk7rLuJ02HjCRMpuWNXNNgJJ8r0l1+z4RfZcoyRYTkpCFREsyA6W
5I2Q3dx3+Ru/zMFSxrPUiUljNw1FcizK0o1y66I8Wt5+f13KDvK2ppTxEBgB9BGqXR6t17/I2xWT
lR9k737huvDzcZsgsL1Lu8TLIZa66M1tNgZq3oi5W7qN1fkA30uIGueYtxxOmfVI8UUcdOmUXLZ6
FuMvY+KS3G/cPNnkVrIRj+i+IsEmW4xtr8I6Kdi2DCYabBCPlb0OGzWHVxFb7KziQFRBZWPeczrd
1d4pHTeqRbiohVrqV0WWOWNiWocjtmiCGtsCOkIEjAMXIrZMrAmTS0mDBpFnqvGN5A3ijG9c1h4v
uljUa1GwOvsoC922V40x08I3KWYESr3VJF06fj6QQNjreqpK+7YMOF6ilTL27aTg4deVzlmwYa3G
+aq0QVAKao0l9rvpwmbIcI7O595sBhs2y8e8pV0FVGCMN6dmwfrbngUDGbacR42oYrLMjSp3Zdl1
9GIZEMaPPSGR36VmyMz1VHVy2GV2CgaEJ0CabTKFLrn1aeiw1n5hUtPWn7PS4Jw1C5ew3bDR4as+
bwXkM6mEFS9I2Hn6wjBXlDxOWos1kHVGc6qEDcimznwqrkf4t73WwYxTVUU4fkj7NNJ3WYN4dqPS
tpUnYT8Jd9maIalu+tpn5GRo/cLyuMxKSS6YIUWXx2ERqfRK5NPYxla52V8F0zTYOS46U0Ge6aT8
jlYZVkNimMxJKXzjz8M51F0bzy0Nygv0rbGNAgGSVxsfZatKk5Yll2ZwvSk3PjA8CDZ5P0Ks3Gtn
Tl1LYXXFEE3qta0WQ6tjWVfQeda383Sdlbbt/fkPnGn10idejGYSXZuBAlicCgY28EtfaqdhgDvJ
9saKoerMdkjdEs0nZm67cCN43uvyAti4Jc228WIZkKZrQ9ol1mJZc26ZkASI9/u7CsFjHe5KKEEl
OpUr10UPPJyzfM6XgY43rUkNiW3WlW2zY13A7XWfzDAiEgRZkW2Gagybs2KuIH8ZJkv0ynAyBkU8
PRpDHmZNe8UXMohL0tA0aWMH0IUo3Fk99emxHeoq+0iGrmuv1qST3BZRlY2Av+GsygWmIKfmRa3d
0k6xaf1Q+NjQmtC3pJ1Fd0+JKfqLDGjNvlFNaeyZov2sblsx9u6MFBP8L8lmEs7b74toTUdP9IYs
pTF5gukGwSg/rF3K0QNk10vwegqWVWG1qnjKTru6TLXaWBupYdnOC18/+Ir/HfCVLYDXvr8P+lUa
AJWCtgsXCi1JJNCDvDnR1sBrR3tTj1kD78xd1mQJ5I9jvwpoxrsoDpIytNeLNpBGUwQasbeBghXd
+NYFwxyLulL1JZkn0x3bVk7UxKPmhf3F+VHgbpJGBtr+/tYPMz7VDOgfVWSIxlGIYzw1fe29J3Jo
0tdz2SzAhzoja1XVzppHKO+qJUNm73SZobAbLAeQ/P766HE8VSFyNepYFMcE9TG6hU/Xn12RdwY6
v15Y4VANhv1aySzLUl+MXYj6kAd6hc/SOlm+ELoIoctx7IB7v78R9fVOIoVGABcox5kQ5EASc5M7
qocgeV35PJmyX6aoY/UFqjdUGWzhK6Bf8mUJSsDZLAxInC0SBd68GBQ7WUZRXSrj8Yic+wEmti9W
Pz3p29TAoWSVA7fFKWbN2ntiShQrAZCDyDZza6oqvzc8oX48FumcLW/beeT98b4Q9NSjVFA0X+s5
P0mnXpZ1kqthVyASKbkLU7b0aVxnKXQGMIa34k72KM8q6Zk8mYZ2Cm4mlH/QZSfCtYjmpgJe2xHD
cEO0kvm3FlmgvS9tHaDUWmSG6nwUvByjGLJAUVGXcrWJKNKzvlycGSyN5zGMlNrUZqlRBGbtjPou
0yEE43US4I9ONyikMrNoNpxHNFFw06RPHaBkXmucEieq4LNzSOcs2omyKcdfcpENyXFJUE5dJNOg
sV+bclvlH6LcW0BN7uceb7B1P8JEMm9X0x0dVyiT/VKuBMWk07VC9moaECCozzrA1sDWK2BtvVr8
g+8txY2MSovQP/Jq/fi+bXG0Xp9a+RrAQ4QIcCwCEevQyotZJ9zp7nWzj0kY0Ozz4L5nYTD+loRd
kaebqeMw/bHpUrJJKpQAO/StgnmMeSFXVYV5BY5Az3aVQ8rStb7PloiRNq5JYxJ1sZZUo4oH3dPV
he3Iu91Cm7TJ5o0s+qxjMeDfOF3InLcKVWSE2vgC3tk3UGFbMHaiyiFfK6YkQpTfZIELmld1Rob2
TZ4BWf8y9+ViwEF05SPfU5Tjsq37hcK6DLCuRXpIu1ac1IKtIbhx05KEMYqOlWiZwFCMN1W/ND+K
InQdOHgiYfCfILPX7rYEc/aVhJF+QbXB8V4PkUvBP2x9rQp2Pcil7uKJRCnst3UlSI0Z3BpsQHaZ
7I/7bqnALpAMwaWY9KK6TcZCH6COjsZmekCxuPA6FqYJab5J5xoeS5jHM5LNiE5zWuMtUcGUb2Pa
SDJu5yQ3tIXWBCpOu5RFfZkVoV3sLg/DlYmq+zrskXwBG7NNEyQRdAz3Xx2blx0rXxDiVj9zXqmL
yebdEBzTR5YsD81aiTFbwljjuvEZysa1SFgtvJ7WwsznpBxOF1kkUXup0mQ0d2UP/k/GfZeBxIvC
cd0DMhYFG7anvADiUcV5n/qVtIBOIZ7Mqqq/raVeXzrXwyPloeegD047X3bTW9IVhT3mgxWB2U6t
XE+R5MGCjX3yzpGnkBNzJoE7am4V4onRYHXcbuIe9awY69VIlCfrR2nd6pRNFDbY4D7u7mNwytP1
2EWG+uOS0JQV45mgc1pkJzIELns1lbIS5bYa2GOY8uFqbS3PG9TYieVjeeojFgR1nDxSZEwHOJuj
DYgOuiTIqrGTi6yDUwWez591eaT8fBWaJpBnfkwM+QDYmpH2VVh3MIB87rRTJ0s5T82bOk8qfxyA
wPcPSeZmcDiwHBA6ubYauSqY61VZlGUQ3mmaNzDB/Q1ICStvk2jmVlpJlCHCUN3Wdj6bU5rZu9by
us9PbJv3iF19wAIAmCgvVEevCkVXzbgISHAEWVgAlm8LluFgScVznH+kZYOPStZrXm+KCSTe3ExI
WRGdhuBkzsupOft+oHvEpF8iMoAJgTDHUQ5LpFB9gKQ5klRWpEX6Oq+jAmmmZ14BGSMmW5DA+yS2
NFFgzgbazOFrDRag6rdazKvKaMALHDgo2hpGErmMQ4Hf3+Eh3mEEHDymyjEqE0VCigNQDeYWYD9K
o+thUmVpQQ9OOo8rIrQ4tU1X529y4yO1S9Neyx/UGd9YGxEKKIeuZLvSB1kAzDnvy3zR1zLqx+g8
j2rTX6c+4m9Gkk7hu2YOWtAtLYlE/P1Th4cJCAgLc1poxzJEyVAcUiNgeNsQ3JW67odIBWlskm4w
MSlF9TbvZ0o2NHD4T1kjWg5Ok3viqwQcvpzG5JjWg9Tbwko40v6/WdGE84WxrGC/hrpiZGNU3nSX
rgySbjcmS5jcmtkP5elUpoM8AQ89jdt8DLxeYsEamZ2zOmDVuS3RenhoeNvIk8QRS+Kx77EHUQ34
f9bPQv8gFx9CdYZaAT8b4JgepCELxXr9C94kU3bq+0bK6yplyFFx6WedhnHGsghRP9SRbciWIzjY
X7+vg6+0T4lQGDeRDFM/GsXC04Wdm+aE8cRdp0oMUzxlnslfs3IO8ktw2PW0qZHDygsQK0P2A7f8
6sxoEwF+KCgftJE4NLw+b1yA0bEIOaVCSO72TPE+xPvcgu/HFNMKNb5/YnpYnzEaIhJgNF1JhYEM
tKqeyHpUSGR91JBr7VF4f/AcJPK443lL7LZSy4A8I6AKMm2paZYezL4CLx4HgYs6F0e0lzlNY+Zd
7cvLPDcIsUGyrEicA+f28nio+BoF8UuSYbAbVuZt4pGTmOiW0x+c5ZAjYGjSCY1emdDg+b4CGLaf
2kRWCRLaYw4gvkc8rbWa6L2hok1ezMQH/Sbr6czuM3AW9HTsuPLH0zQz/YNIQldjeRJn18Yk6E4G
BhIN4Meu3hdWjNoir8Be59fG08AEGxFGfHitysQF1SbUE0HgFAqpvIzrMXJNGM/4EUfxW9DZZCE7
DD+lZXMswn5lcdN8suWdbn2zJn7WWbzj+9I7rK0YYxrkqERqQDc7OjRAVsuqr6HF64KSfHybloNo
73sq18ouT6sieZeJiPkXyWNXqq8btLAML9Hj+IH3q0NShbFQSsUeOZVVhAde2Iwi71sZmusgKt3y
akY7YVxi9Kgkf6fz0voT6uphprHv+Yqw804uakOipEjPpknK8bReUjbEsNsiOlaPjTkUtjTayqKT
u5YNgYbIqwxdwSXNK7VlJGH1byEvwvlERyZtTaxo1Q4fUtcMRRFngDv1QzUDR6wUYR6RJh6XkJHd
1LbdFJ6mIm3nLdBCJ6/qbEKxlCPWD6/Blw3lb4opsIYepJTeIuCuaDYLArvpAr0kt0OwICCjmRmh
CYfg1u2Q/NJmM5aKkA0fmgrNUE6D6X1XJbPfNrrrxKYPkkQeVzRBPA6zPi3Pmwb4Gj8IW1NFSnKs
kotZ8dOQZPhmKobHeopUgp8ODfLPqe6MNGdJRGZ20lqFTZdiQgmIVhayRb2ICKUzK3Gn9CIozieu
6iQekhZVLrAWMEOH1lR3WS8DvqlM3Q032nlr5h8Fqa9SI4PlS4RFTGKGMNMDiyDTjFKg4/114SkW
7H2DlMdVJYDGSEYg6Mgk2G2Wr2IlIEFJFvdg/vpdxvOi2GZNlfdvvu8wX0XsUEmO1j9MNFonqQ/I
iKnkia7SYbn2QcJ5uQG+rnods2pI/bwhvO27a6Zq4d59f11Kvl5ZgwciNAQlhB/fHRJCbVCM4DaJ
vyZTUHh1Yvblvs8CxDueuRWSfWor17lYkwbofJTRy9TUKAa97BYUn7rIyu6Gg4ck22ZMA/8r2mSs
Kzcl6bOl2eSwBfo2EpqZ23YsjHspgJ0R7GsXuajZCLNM6c7MNtCbHhlKmG1SVpqjIThGq62heaEl
KuQsqo4J79JwVy9JUG+jxfTpFThOTY+zUKL9KUHhy5M0Dx+rJM0n2mxaMrn8Cjz6yg3seZh9o57V
dbW8BYxaW899UyVA8DbMV54Ca6BjPixs7fdalAioalw/hsV8hrSx7olai7Zy3vWw2HLuVxAOcqvC
lUI5RDSylBnK0OlRXuAL17Yz8G690g6lnQTfsWbkQf9KDXzNjYlFcZ9uyaLq5SIQaQKKBdmvIL8G
OSna9NJny1pbpREIqeEcCL+Vp/3cdEV/vFdKFbRNnm1JtOT5B3ihRFqtOe1tFi97OQZuXsuDcWxr
VBX7ZjnNIom2ZJBSANRNhDwz9WfG1C54B2DOtAO7JH35m8P8BoqmPS24JxPGT033/YhGNkclKjsg
abBLSqKh223GOQrb+UWiqsaqM2+LsTlOwcwX557LIX8xy7EAHkmYL0+aWkVTEyu0FoIbp4e1kJrz
SC5XaqrBZlR2aPB6Kklz8wM/+CoqcAzLE3AJCmQgGNIDmIjayY7Z6PtrzDU0yT1vbJD+FoZyGna2
jfLlWNqi8O+nNlg+JBnvzVvRBbC2RnjS3gcBsVn2g0j1FYDkQmCQSKyN2UiAMH2Kprzrpk4sbrpu
VTnBICvD0FwlHX7XZrdpGsDKhzSI+huZUdX8IIPTr/APX2ErV+hDCExuHlYQliy8bzBqcG1qRvMZ
QxgUvN1mCTG08cFaF7Z+A1Zt1jdLblYoXQ39+uFoJxk9HkcMzPwAUcuvkrngKwoCyKTAl5j5fSoR
VNYiSGruX6nQwhe2Bqk9uLCPQ0RzaJCl9jNGNVVrWa8tzKhBBU/YdmZNNZ2ACFjcsiEzCYZX4H3B
4e7pVtbNeAKZe+F3UpQj+qURWluw3z6hIM3grCvVsKDrv0YQqiF8XWVANWHZ9sGNybt26OK5KtBt
iqMi6MYXEQ2S9Fagv6aQRAtOdBMvgiF2EjkF7gzNygj9/6YEerHxsDQCwSdtHqlKjTmX6Xoe/Up0
BhOw0YsJlMLylj8ORrVJCZgXo2RDi751GcELVNHM2O8n9jAzwexPaTTrervMito8zjoh0t0iCJsv
hr3DfgpX+/EoZgaEMwnEtLz1Y7tuSpCUt/emMhXxcYHfIfMA4T8QrsE4FqCk24GsGlr64vve+JXl
K/R29PrLFo2KnRzq2bm5mtlC6Etl50acWDqm05u5DlYQNKF5dp4Rl8p3FsW8xQ9Tv9fgx7jlAdRG
AaMl6kT8Cw73K8P3c54NebosVyaMHEvPyiUAj3cOJOuDAqS658h3VV2tH58IoGliaz7wbRhCodIk
E5JmXmIgDv4wsRWchw7JLN8gtHFE8IGxlXTLBzmBP8pDGwl1ZnwiEZNtkibi3TD0PGq3YVs7O23a
vGOI4aMb11digmnEY+jzR0V5WtVqXaDJy/UlRULRszHSrxMmPV/6FnhfFCTbSkBN2G47Y2bvvg76
Sqoz1GstMokyGF1qf23KZd2jW6a8c1vClw6VVxhoh8WMq4EHwK3PnYkTTozgx7VcCpKe+rrGvPmN
zE3Z0J3xYVaaeHI0a/OTkWSuLOLe1ulwM49Vg+m6UKPt+jpPxpqTbUWLue5Ocy5coC+nxlq8mLQY
1MmOwzqwY34srEgqdhK2U4i1OTUTUHSuIzm81pOsSpDdzubTm4YGyPavI5iWPF/KKBjfeINnstdL
RC2Y3qWZx+Cyx1TXzDdLhDQ3/jqVdV2XOwP2GBqMeDVhDTcz2v6iszzRILEmjOOdKoyGVXe0Rt5E
EkeHor1PsJp8W6VJyreYR1sJ0bZf/Ggv6qGYkmOWwlbBL2PSSJ6PGJXIszM0j9bjugHcR7rRc+RV
FxdtL+t0K+wQTg9J2qjhNXqYWRSe4VfeyfjG6fIRbuzfh07/2ujAtkchYxDV2MpMy7Gqt61aFmzf
psH60Sc9wQc12MibwltaYACjqBd5XwGrTCh5jJHZR4EWSfumy0LtcvSHaqzeY4qvlJh/VElZbqay
mSHxWc6PIjIN2urxPnhG4YTZ1XgqewD7VjCPP2jOIX/aQkHnfZR0xcdJk8Kv6Dkb2MvFuQGCKMIc
u4pKDPXdL7pJbbCZ0DSsj6fFB9N1KfvV0JZQAB3ErYa3vCyLYFgPmapEnnepscVHQs26pyJpASZj
DBplazkMDJ8cV0MC0aEZvLjhWAu/QN5zFKDVFebotpKdoXmPu0lmEUpaJxp1GQbZ2JqTKWej0KcN
yXTXn6EilHr8TfVtl/DVgReBQbO2gA2nYcmwy6ZyKCF8wbBg6TzFV5oq/OFDV8LUuAxHfFdgGk2e
A/Cuf2DmZsbGUlTu4l3fNMEwXHY2g81qICGcaa/YGkJp73k2h+7NQHVF3mC8UFe3EvXrfC0GZ+Wb
tGDr6fu88OxlO9e9v7RNUkTZBvpfNaJYGYClG+hjH693WU0vB8xWCrpRPW1hZ90ASu6+CyaPFwEF
1cXHqMhQ76WPlu5ImmNLrHTwOWh/NdpadrAUlooaJ+yX1pTFu1IqKHVfRJkQM9Dv9ufzdbq6VQf6
RJ5XaNfjZVO2cH5KxhEGQPI+Ge0uW7KiOLZinO3/EHamzXEa7d7/RFSxQ7+dGe2SZTuxo9xvqDiJ
gaaBZm3g0z+/hjnPua2ccioVy4s0A033tfyXa6pTCaZIuIq6sOv0xa9gMP7okqWc/0wDN2/+OMjJ
o4oPyOvD76EaqeXnCFbg5RDYUmWL/nOxRWX/l1pCsltVx/H2aQk6vxjRe/hB8asKqd3Cy1Zmaz+z
59s0JbDrqtZ/X/dVt4S2qB9axU657kwt0e3Jk2l027c3eayW/Lc5jhZ2mYGwkN/9ei6Ib7Hy7EaO
vcZLm/tuhQOtTnOxjuxATxasOtrl0szPebVZHMZp/UZ+72ZZAIyLsczG4SZL4WPaJ884lJq6cBWy
Kq0jmQ+nfPCJfCtCYt647qOabwcPtHnBcRoyQeeEu0hvrBQFgxYllYRBwIdANJO0ZNEIFvnqhBtU
sV958BjGEZRC2yzR9x4y7JAShrwgUse2QqoaXYOwdUE5ervOk4DmcWtUlRQvA8qdS7o19nyRGwc3
/SOXYD/ytm7K0qTPbRpG4tfWJEvxoc7GqPk6k4KKOzOBC3enZAuz7feKI9m+BHFTqm+lrD3vT5e4
O5vHpI+Wfjh7ulDxi1OE7LeHa9PWTP1e/ewFiwwr1b6ipKNKG8UW6eppSHTYu8+TEu36bSuAAD6I
Ks6mb0FSd9FykyKrExfpwnYWT5NZ3K44d3MjaERlRtQYL0gUSEj3SzDVXXYaFSjGmTAgqukyZYjR
iP5mbAdYam/QGQyMChP9EhXOLL6kxSTi7wAJK9kDqME2NnPSUgqGqrMUWrqFqCEk6CY9X+6MO5df
DStFwrXFijLH6kORefNcZF7D7fmHnn1WpW3p1jC1rwSj2/fPmypX/VRKsxbPTVfG+QtIYDu95qj7
xgdvhzTXYJN0ayhc7UFDzccLZ7NLOgmS0kn/6qIyj/8YlgAwZ9gamH5hDMQhHLFFyqC+kXe6xDnn
l6uyHkbLao7bnSAWfeHq5dS1ZMbq1Ck9+nzfJDz1DGti6R8tDPtfDb6l8ZOdn+3SzLKBSd7bJfem
dKD2GHdpPP8S8ndhMVgNbQ4y5vxyFKvbhJhjIX90XNDYCg+scYcUTQo9OpzWZWnsF24XnGmWqNgu
kUzZ6+mSW6rdWSzPOyEFpzVXrbb5FWkcLfyGjhDpwlUD0fuJlWkr4Rv6MdTCthkQeiT4aEToyFmc
zPJyullwUdgSEwV93Gz5ZRo0YPb1EcXVYp9U1JYD95pFpve/Bq4/jOq+22m7nlLevMmp2262OkVd
W9VCxX/Sdub9Oa5cwlzqAhJ8BXuY2CJikWPyWMsq99UNhYrtFoYe9OLKkLqeKd3yDDXtpvNDExSN
htOfispBL98Ruz6ZamJR1nXgunmrOfxQr1qHr/Pu2QCrQ39D59cC00aj3W1zi4Turo1LIolCQcj2
90rUv82lhXOgpow72WXJpyntiIf3wqfcj5+j2SO5PKCa4kDcuZR8tu51plJ+CiapKHGvLO4gWntG
+lg0LNG4zrrdTq1cg7b7z7yB0t02U+rwNAfqgCB+DtGPEoBobnKe9LYMBpXLlVesTeM465OT9Ela
PWgRc3RCr0/Kmx5ThcyQvS3W/DH0KqGQNoEJhjdwgtrxLg0SgMV94QaRFJymNFnZaEdX5Phui8ki
yihg1Uk4ZNJvW7vZ7VuC83KyIkIof2pEZ/dJmuhdtZKVdTLhReGclmf8GqlVo0uaq7tgtgXFCcdQ
X98ModOQApIyLoNTXGbAlJer8MUkVrxycouo5bJRDcXl67LN4/oNLJaGUDqVVWTvrabyWnYntYFl
1BusP0+dq6rmbnTLfL60u48H3kIPf7uzL4ZvHFACxCF5SOaVI5BUq4X79lc7rAv1TC/z0h+vuamJ
g1Q5SEy+CaptzlEQsCnqke5a3hYK7Io8FZvW/bBBODa/bMc5JIpbKjvVc0tmijy0he1DjFwx85/0
lnVB8pri6QjHb3kmeLx35D/kEDdHs1q5kw1Cuo+J8ahsUGVUmdzXOWqtKwmJohU+XHVE/hglHIqx
2SUPGRkuucuGtC2W56axfv37akX98jAepPvSS3hznWQ2q23BYCVCXSTLrnpKy4j6ouhzq8VIDjNS
Nc42hElvc9keju6MzXhuO7IJ09qpcUwlfYo14Tab1yKnEgLPqe8CNPE6HE7JOiQLil4QD6nm9Dwn
XW5mOEokyfMynWdf904cXKpCOu6anbYBp9Panft26pBlVic5bm4Vjk9xiuNhGu7XfBViEv9Gie1c
6f+yUHTiMcQOmsE4YFIOrOo7/AVJ3pxVeZ5+jEVapx5husod5EglPfGLO3uW3ojLhCIROM/2DIRG
Jb/LIFlHTmWE6vnFSY1Y1VkPwxS/IcRaY1v5N3l779SBy88s7eqvH1vZV+WXuQYNvwciHfmHLimm
QZyVaPzOO2vt+a1+2taKXvQPlCc2aIuscejVNyjGTrzCBmG1OwW+walg9bS2pRpLbSi8dVEpCtc4
WWKp7mMUF8hYFfJTCtSscuR2F07DiGAn3drS6rQKz5bt1d5VeEcnxvC6kbIrcIecNhhvGQVx4bS2
Sw2U43jhS18kSqWndmzVmT5kWLLzFvdyHc6tV+a0QTosRR+dKsBlx95owdolGFZK+XtZD6kyD7JG
AvlZbL3rJI+ybkb/Va4dcCi5Inb5chTqaxZDCGrDAeStltlM4iaZybBfWtVw/aGuJ/eFcjkUrx77
fdjuss4gfbhpio3I1Tk1CNWFQn+lxyorBQYRWKT35Wh2G3R9ZF+cLmHff42cjudajXXPjXfwtc0l
StSQ0DRNndHxPVTYOjZf4rC0By5AUMAPjzLX8nsJJsDKa18qP3xBw0cjVQRjTofoQUDQccVx3kfe
r0Xn2Oav1IWM3xC5TNlta1wazaDsLUqgAePRYJZxCCEaeE3VBfVpyWZ6sbwXEFXsTLXSJdZ0+tyU
Yyhf51tc0PaqG9/bCNh7/3Htm8dgwdx2Vn5NLBtEWMZvTZ3pvbfKK1bnuIFYGNvNzIHKx/RyKKt6
seZckklnhEdUgJUKmlM0RrYPT9J+tU2yCTe+dKsifvii8Hie2Nd0M9wdt4VfqI7kS4+2w6HAJMEl
8tbQoixfAmxm3ORSGfvgk7Yryuq1yXKsVw81gZx3UQCgXEEAwslDTYu6WriQrvBGcem7thk/yHLy
841jWLFCB2tX93XhPaNpT69K3AUY226DdrYdR76G6OSU03f+q9X3QPbNkC7D3QAo3/hMufoZ9PYj
aWyjS+RhwMWdg1M2QDb5I7pbq9Q3i+jCjyKSwfZrgKkldS9BJJ1QQFiMJv1WInYf0kvtTCuZuoeh
cIqzV2NG+fmlMBTkBxSQi0lgRwIIAcR0IWqKd+B7arykFmOXvdLhS6dBnAAs/NJ1Kss/TGrrtT6P
QeOyrTK8EoQXfys4mtgVBQ9qMJ4NgjuUIyqatFfsDKx6smYRW/BAKDIx801GBPyccCq6ZX90awop
ZzA++1BwskEmcBCyA2e1OBwNwb7u/Lu6TW3u1FNpoawDEeEAWriJWtC210ZMFPKtaoEhah5wO6H5
2BKz3RQqt/u2RDbKkcM5ZQDNKvJI1p8MEra/EJ6iAW62Yq26SxN6G4cwbHKAHMKBDfF9mc7Wtmty
2/WQomI/P/WIC73+dooKCzrJZRHz57VubfhPxoBLbxdoPfBpkK30Wa78J8kcXgF0uNadYQljGpU6
OsWmzBLxZyXXCd1H16ROAOzil/X45JoslQ/hWIwA9FnegqbewvWSI5ZS7mBb4hcEwBEPkPyup4nj
f5rWpg4fQdRbjv2BJTtNxDMJALxp1DEnE6OUE4nozVscfuWygiog2G1K5Odkz2hB3tq11k4Ib92h
OSCmHis+5t28NjcFlu/praV3Ffe68nioWR43XExJ0vaDy+DUYRbezokPOpWgI1HtExhJkOWnbfSU
Ku463YHTENNFVtzrJFj9t3pDsH+n0xaSGrtlyLtOQ9UM4+04BHOW3wZwsi6PpFCpXM9NtlmIzMsH
C3d5oS6JLgkWIh5JPWYdV9NOYgUShR4HpKhnjF7lszPpmbUhMVmcLt16m9YkfARPGc6auzhfIYtj
4SKcO9uLOwisXw8RAFL1ckSVqAhsqJuBytmK2XEYOg+57Vt17JaCd7DBxExucNKLmpf0nGhE2q84
I2y2bvIAXP9Sp/kOM86qs1VwHUsWX84tCeQIXRPALd8HZMchWv2OfJUZw24Hhibmz8lgTyXtI4jE
2Hd8EynCQjZXMCrcUWgUkzJ57aZ2qG5onnp+JBQTOcYBXADemhZ+HF1GovKTrOn7+pvYX2z+kgdC
OWeauHAgOTAuGy+QDxV/lRWJhds0NlHg3EaChlL3O358zq1sB0Fy5Zu/Yyc2U/Y4L6E9ZVPv2XPg
Fyj3KFiQJwJuH1zH4m2sUdJoticyn5Anc2SjrBUkiGjdxuDzz4NgGP8jIiMdpNYL8UlAQYbhO6mE
UF4MZtcWr1KnrM2lStTcFOd4mH3re+9HI4Dzl0kZD9behDgDvMhtNH5n8KNgRFBeNvHLcfcFhnF7
GlzYtf7EUFtQefz7lUc1eBReOkwsIrt2nV05p8ma4UvsVVF2MhLW+nuL2HD5Kp1NL782oc+KqkXa
/eaJ2AoTRF8tnOR0bQi16dTtTWkTC0+CHLnOEp4zkZHQYDb5/tdgLhb4ls4NJMuMrluTW4fMt0XH
igs0vI/qBfLhS+nSTW6vJsfDK87TsgUbnkszKvN3xNSE+RdX11EOGAikwM+21UDoVYmwd7EuMafj
ejFVOfOq2TBb0oLameqK+qLs6tu1lCMHd4U8odbx+zJv4bkztWwPeuuVTzPZBF3lnOP9tNVFup8i
m5KbEl8DKk4pmxoMKsGh+RnBq73rtDYWa3d7UVH5hotMWn0jpFdU/5nAgbq/hczsvvPSknM1rIGt
0rIjIwxw8KxYPtUD/Ts5yrC0EwoKFnrJmBXxdhALQaKAndPcBOV6tyhdr8+64xrWu2nBSfcNL2ib
p08l/tCCkQo7OQP4b7Okh/jadcpTjbGapYI7XVvs57W2ouDGLDZDFBYO9vJzZDhnTD6A84ofHast
D2/9qvWL6tUsjc1KnQPC9BrJVlF4Duu6BJ+wrzr+7+lkID+erklGL9NsYyMOFWIjVZg9zCqNV05U
OwXrjCyZUKQhL3a4+vqNErihJxDFmEvL536bSxiLLK8XA1RPOydehxQwPboYUGRbFcyxraeRa+c8
a4GYlrrlCBNlXtvvuHJXaa593wIqqIOzk6J0pCo22VDx+kET2ARS9Tg6wrMLS0TIPuq8o80q0lSy
EFgZbSZ0pGt7Dxu3A9J9rsao+pAVxaq2ux7RSH6H8U/5b22YepXzEIPn99/N0IHXXFzpJRBw0+wN
Q//1Sh1RHe+8itCAlcMpaE2umLDhJZzr7esyzlGx/e4NhOZpOQ1NWjT1BZDTyeP7NeJQNA/wP1P2
wWOmg72BLKEVPsl5LrLlYZ5Ke9Fp04HIXDiLWfNLPlMD9/cLWnW+P21D+2BHT9pUUOrG7nOJZFwv
v5A50fCdjhQOJWb8V4AEGzYzzcWZU7LQ4nGsg8W2B2MXLNvysUfaFb0teTlIcZZ4QeiV8Lx4D2aX
o6Gjb8iDuC2iUvyO8gs85iSbKlwccL4ShrX+YLrAb/J70w0qe2tVD2Byo5YR89pDY41F/UuiJ6N7
fZaI9KjcSkYflFMAodHjY/m1Cggxyr0wnyCC3LlJTGoDTu9JIvuydQwkP3vpanj8lZd0s/9Yw5sC
qIXY1AL3kqvcyhJKjUnVu4XjQuv91Ut629Q62U7P+piT7QkKwzgECzBJpfIzALktkKqcSas9PWvD
rJOHzM9zr/y91U5dlx9H0wx6+4VzbU+nMIOtBlYKKinfho1I0N8XZGJiRJC1Fhb1gTM4bA4QFmFS
dYi9LnGxLkn62U3HkNe63t1SdTTWdK2BPRqDtMzlmrUeZw4X5TD8hehmrD/RtG6TulyLw8Eq5vSF
MxaF8ynI0rkQOKVKm/uMrEmrDMKw93Ttw+O4qTkt/k7/gegS6QGbCWxH/oH97QhyoaEHuWw4jtkk
Jf47uFnwI244HSoCyKCjNfvTS1FWDjdTrubVudUh0Tx/GWN8da9e09izD7gNWUcrMyLKUcJJcvPb
sYvQmy+0r6mj8LY8tL0ErHls/EjXfx94RhGvBZLSwGyyfZoFzYx3yiM0BJKzsWWTTNBiRX6wBoAh
rk1w8TRu0hYylc9j7y/SzLU9poQ6B13/5jm2caXfQJ40n8BwUh6SVGp019+MypNE3ysHQ/1n3Af+
GD4d8uEAgJTdu+T9Mnn+CfcdfS8VKdVLs2r7T8cWqneO2a2bMI7bO0VHxjkIGShBsOG0zxy6Boad
tc+70rbLbUIh23+9Nr5uuC7DqM+r9cJ638xUOZViTaPGbf+akjWdP8eYccyXY5dsWVvr6DbsPWbD
PAycRON9RWsY8zwwQI9L2t0YQyuL33bvLw7PYziPHG0f6IATzPCYmg75KAXRZu07P5EOJfIBl/Bi
NjwfaAFcqg3SlkIn6lyZPcYAwEwid68s9VZNeMnUWTqUI+HtFQGwmBvPrJ50lEL4OBVwYHMzikwj
nMy6CXMYaPnIQz/RjPtsMfQWavkmOjTn63lg0VnBK8SQt1HPWQo3DUU90crxBBvTwmxbYYAt4MXR
ThSKT2koHiBvPA5T5IAOVjfhWtiaU5FlUSGJxYY+jBFONZ/KiBVtL3Hq6DBEUbrm7p1WAwm8m3KS
aXol9LWwm6aEY5hryKQVGJrOkj7fOSPDhYP84OlOxe3HcHX4UIdWZFH7okPjxM3tfKTguClCwtDc
OhSTzIWid51vEWLaVbJ9Nmf12k6se0EsmQrCPbQM4eFEofGjbpJ+6zSf+ga5AUILp8VCQoEwmoWJ
TcbU2rljht3URTdozOG0HtgQsMsIZXSpfmlLl+aqdLpM+9QfVirUBxBMr50/2gQ8YCmDCe9bv3rB
ImHLsHUOmcN0gq61gU0g+YjeVD7stU+rbMRlHRl0cXagAqDFi3DikhXnLrs9ivvMjSy8NJXpxgsd
TwJoYFAPW6v0+lDuvH+IggShYC7po48W4whUVes1PM7UjmFiOkdW2JTXxl3Eul9RInVIPUJVWEFO
CEkjvwcS6vF1TJp4bG5qpsbk+Ym9GTTD56lBNJreHlKOI/YtUWpdFHk/212v+omPCTkl2bYNzAnK
1/xhWrrcT3ATG93VZ2cNh2A8SYDsQN4KHU5CMPGm0fnTNjPL6avYWWrp1OCt52sBeoBY2y6n4Hih
kz3F9HLM/pi6ApjrMfN8GyqujeDgJXZ3NFE3mX8R/b+z50e+B4YUCrTObhKlAqP+j0jSRGOcZ1sZ
fGgB6txHNxpL5+LxjvI/Qo52gQ/fecMcAeJmgH2ECzM+mq6XIiqn0JwiGHF1P6OXyW/xOCztfzoh
cv+28+KB7wWCI3H8vN96J7nksn0U2GESuhEJE/fWOwCM7BVttayzDwd8hPSiHAD2UC7iz/a17VKa
Ku24fLWDcWOOSPvtqjhBPAzk8fMr8t+jYAjlE6uHTeIAVfo/tHCULsMmc1N9SMaaeurT2DKOo7yT
1WRBozEJLHqTLXXHxk/jPiBlcHxtfX0VDV1rsmHLrNpnFtBev+J4h3Z9NIUPF3DruSMS39/zo7Bg
30Sc0wWag355mfeatE9sXo9hYknZebjamKHHTPNuP7/f9/2uB7VBTQTyh3kJkfK7B7CkMVeopXnR
VuqePDqsCooLDHq08A7ImjwduMnY1XvfGTSFD7S+ZPGvP7+Sd1Yq9kIEHBq4aPOtCDd5L8v3gOym
tJXzSxoXhg0XZHbgAH5vWxhf27Z2V3PQppExZn8W0WVLPRLP9SIHd+ipir08QShXNPzeo6wI76VU
AP7Nrt8RGxMCH49c9/M7+NGgbW8A2M1noCHDpRg5+H6aiZh63WfBqF/0rvSqRxcZzVkoQRDVBXPw
/s3o986LGvn22KP9IY1g+XHj5B07xRQCGTV+qF5MM+v+b2OaQpUnbxeiVelCY+3vhEZVOFOUnFGO
VSgrOwceiuDIZUksw+CBjPFjO/98NX5UtO7XJthWgu2FDRX/9Y8Rqe7TXk9jql+WPLJNgY+y1Kzn
vlOLKdHmt+QolTLa6C3FF/2vb/+PiOgzNSpE3E5QZV8l7/1j5G3rWE+mZ867hYfzDN+AhZA8ygZk
ZWwREpQtf47dwam3vdQ6+QgXz/MWsDBhHVMfHpb1I38jv1va6VS4bSZ+GcKIV/n5sqXvd1HsB77V
5TNtK/Ljf8zbykIxuLU7mxevCWGb7q8awCjWs72ueqZsxIPN3s5nY+HNksqd+xPzaMHEo+EOV2p1
QOEu4wi5uzxRqW6vXne498DPyxGEl7qqKLGdnwOgSQTd1/pPuplt+w0tBJ3YgT0JxwM9w5jiulvw
4Kyp9oKLoRKa/lghNYli9GhW+5Ch/IzfxrK3Dz6LdoPIFXfAmUMuLwaofFtVDpqGS21l4ncvV6w9
2rN9wuQQqhOKMJsE9DbS2I3ad3R9e8CvEskAxPBO7SwHDOVxzezmXbOnj0S3BtHOqDWxpXKOmq3f
Q/OBrDoRBBGYlaE4p7c+YMityXX1S1VMCFgOGVB2le+oMNhutB+bztyWMXaI7h4cEj0aNDWgV4H4
mD0UT5mNWUgJSAFZloXxq4uxMqNVbAq0wq+wUziwL4yNySJEnp30/ooitGblKW/AohHPLa2trJhm
ZaV02D0FhcMVf62ajLKfoYzWCFnjt6XE//ke/EcojgOmeQQJDzNMGZn6Pq4gwop9x5PyxSHmcWh0
YSyyGK9lQvUDxQww8HoEmPZQBU4F5SqqZ7HaXrWvmP443P1Pe3roAqeNEYbJiQ66bjAZHFXF5lWr
ZPiph4UzOk87tPwvN/M+EBEWCQIQWijsiUjvwzKq+6gtVDU864zCHDrGHRYGs4WMlpPD6XrhSDPH
+JKVy7Jtp35wbZHU7aVzxN7jUZittY1G0U2WhsqQlcyf63ni13mBXkB7zCjq6M1Emu398zuwUfy/
NQhxwoiTxOd/UBiXDPljJHWckJ4k1dUzOtkh6i5i9iAHUMgnuMdOwpeCHVDv6PDP3/gfocj6cDDK
ET79OMXg+uMb4zB1GH4V+k9dyryPb8BW3JufTVYAzVhYAtHP3+/dxD/Cnc1j7DgKQoAhPvHrxzes
op6ZUW0SPYdytKDc3BX29LPHRQjrubRdN55BJQNUq2EGznFVDvd9X9BOtVlpk+z1iRXreiC3Q/O3
0EmyFWdQFftXo4wshuUYN6FpopUZ69sxNmTZk5fnrvlbu01Y3yE7TTh2P7/H9w+TbUiREws+esEj
e78/WkuIhCmu++EZrYWFgLH39AHIGdi+upPKtdGqCzZrFPj5G9uH9d+7iOkICcZkF7MlRQon+8e1
dZhmksDGqOdgJAXAmuI2s5yBb5eMIRWWpd16f2GvBx1qXGQph/z955fxvuBMSMZRwoYiN/4ftk8B
4uDkY9k9H20av3d5FDgzLB6F1Kz25WOx8wRLnNlLM8i1229ZnZvh288v5X1gSMhWIUWCtd0wovq9
LTYgZJWMl3Wfqk7ZRIom0oLODOVgm5eDptM4cKBQJ1bH8PN3/8fzoDRKGWzJAAH6DfF+SkOexZPn
8smXj2tVYLi/n7aJYkIUYI/YO6z15+0aX3A5s2mPPvrn1xDYh/7fmyL1aHGsFRYRAnvy/VjAnO5Z
Lm07P7X9PETPq5+4TXnD+ETh/KmLIWhgwLqKUu4U9Gqu/iylyPgDfGxVFjfpgoCNODksMvqjzjHW
Fpjrd0ox1wu7a4wni2MPJoMUP+5p0Amyloufg4689iKhOb0MTFSafxt159f6dpkDV/85CVCn32Qj
bJLTuxlC7DVbWzOh8XeNWtIkN9vc0DRt5WolEqacZv/SpuuYmAsAJ7n356v1fusSAcklSDZQx+ES
fH90sxnMuatq+TRXUFjWR126XYeQOV5c7H+AxfV6GcIhcvzT7JRdvgJT1IxVe479euzVv2yg95Ek
pVB0XZHaqYC4Vd9TlaZdckZhhsXT0bMduvj2wLzLvQMxS2bZxZ+vwvukkLJZWQhvN4vhh3kXozWq
T8chjD/CU5eYprp8ov7ZZ2pLLJOUN/9WjpDqftymGEE5KcynCYhbaRq836ZMAO0xXHbN4zq41kzU
KqZ2ftnyBR5OAyImagHoMnk73/jAPlQgzbTZ0n4WjS2Kk2WKu/mcLwjkmxsnzTZrkWIwHwG4z1vr
OIi6PqUyw4mCo/uyDoXFeRxfDz1zUjsN0Ax7MjT+K/48ixMftWa1sVr92RFM8P6C58ziAAc9jSbb
wsPJ0cIfgBjYnmWrhqHL+KFDFjHXDNmCDm68ifIidR0AQXHoa+bMJRAdRhUsqPZGCthLvrhFbjPT
NW75TVnJ/MQsXKfIMHFbqWoaYiXwzuMQ9+XvhzbjaGB8ZyFvX+eubYO0F+QqCE/cHoWPluSMMGMe
EKEJ1GqPSUcbV3y6luHXHiIOWgtrlbsl0VOhasaTi3ajrZijteXx27SLGBsOwZaCK2VN9cd1ZwA7
J2AZvuepimFV+dh445nOxol+y9cIquIsV0Ycr6cMLVj2kLmVKNRNUUP+jjeDnNf602a2PPyLUW/U
P4yFshakdFjxcd81HTBfeXfVKk4NghLsKELvHczaoG5g2ip+++e4ZCTwlylEaKXOkaqQE1zBAYss
jJel9RgidioTB1XpSUUQs96pWTnL0NGHwE/5ubPcxzRd83yqg7Y0v5gNd4dzZbkPbeQheELBZh/X
AkXLah944brz3qtYbQTFpeor/DDdhqyoG8KFZ8wgXgtY71jG3AR1TNWp19Dv7rGmY385tQs6AtjH
g03xQZP4qWCYNrY/pFM+MImWvti9XEt0ySD9tv246QYa7n9EfOEGOOvvfrnD3wYOCiV0kM511kEI
cCSD8bd0lH38cUNwwJkZC8empKsCc9jgLs9jXFtWB3bbSgXLYLNfpD9Z1KhyfHIbeD89/9xCp/BX
hyiCWQks/hYBqSP2w2yLGuhwuM2xR805RIEl7+bDVnblvbPVjxi9vAWJaZ7VQXIcSEasg4H5Gb3b
V0TfaSJEfDkUJMMOitc+w3lfBQaZ6ZbPk1iHi8nmabjAz8XZU4UaM2KmAuzbPSSM1ZVWaWDBz2gn
Gxq6FC7z6FIO6uaq2AxTM82vPoqLCDdUEefuK8NiaVnbBrXBd78NrTLigL+RYAxUV33U2/Cj1gKO
DsrRHv8kLCAN5TxyLKAaV+bKMcgWnx4SG5+D758AgaKZKUI905VxVXneJu6vxRtzgwD/EejGKUJu
05vkNWpy27QYaF/53WTIC4abto2rCSBzDHL1gGa185g7NwAv60scLpUzUmlMIeX2mqd8yMBL3m40
o6f+UImgtbbbzFHOwgs7WLj5cnX7jX1MaCl7YUkGGQpTJreoRIq5O0PsqfGm5sMY1hCxQbwIXpG1
0Z+A1Or+Eb9uMsLt1mvHlj6ILdI4gYzq0D6Aw33IgOUKu4Do4jYMEEOgzv6cHCR1dHhlmZ0KBBA7
bpTpUwOrETJq8lAkOG1vXy/EtvKtHWGKvzJtabRWQBNbheHhnz10wA3ZhM28hU4UDX8dMNAws8W9
y9z6I707ebmDJpMVykCmEqGjEDezM+UGig1kxNZwec3zKPx2sR1xuNsU5sIG+ypOrcjhOKQp06PC
yFJqWqmPxeGvPER5V93W4S4sd1PtyIcquI9mnUYDddJQ2s6Px4Nn0McAYJNHVsVVS1y3yA+U9PVz
j49qyS4BTzUL7yc0I8t6vaCQcVnF5UgZV7g3ORy6h+j/yHKlg/XoC4Skva082HXuByezFclW3c+R
Wqs/jkcE0GhDg1cGVssC9Lkgn+BTDYr222GTJTC1LC153raRsdo4JQcPe1V/zYdrcz2iJZa9ufm1
BfxO/tTeGs53yu2ICAMNwcg45F1ydHBYztRZDOK6hFFsaBCzGTqbdxOxZeSmHTfrpsbf/kJl2Oo7
J1BKiIvTxcn2a2EnHuEh3WU1tZhtE5SnIzEEd7H1uI7Bmm1va8IwoOEU7aq5JecTW+ITvlRAGTkG
1YDfJhBldwaqtoBjtTIBmNfZba8Y82xv4drhRh4zTXhG5pDtIctbqw+h37rexAaXw7Lezq6PUfKV
1t+Er4EvW/f1EMWleLbJysfoo6TC1rZ83BSADuLhmE+7wY2bRHb9e0Z48gWPN1tx2M9nGwU7driv
lT/MwFYHV3E864BhUPEjZ9KmvGPn6V3dRbXLk9I93pHHELKJirvAmBa9aY8BDt9XLRnReGLctgXS
rtxeMczc7oG0HQRsHRRJ9QJwUXP9Kxx+NKE3YXIX13yMOyCyca2HPO4qN239yBZWR67IDrUvCpGE
TD35yHisWLIZmZxThGHPZbftap0Lk8ST8P/FdVNX7gb0QyBGcLItn2Amlfky5KGNvm5hrCz2EDNe
hefxIcNsD8VZGcEPvXgMCgHra+lMv8V9LBv/rWwlLCsTbsYwzq9V3IERdZNjH8Sy10XVOjHt9BnG
NkOrhmiTH6qXFR8orsmwJRbphe6DD5ORqahPeKsgns957aS9fz5k94OebbODF1b1KfPvzewzsH7n
W9eG7p+JTjqzMzWv3TuWax53NXghXol2nNQNVaMoog8kiBqJX7jxoQWITwUKb4T78Fng4odsVBrs
EN5T2fQU266r+NWfYyIBxk0cr7fxkHvr+IxMfURKcwDP1xQJFmHxBE9sIivPc18HXPfpqqgB/7Ag
6AiVio/lEFzwByTN446hRWj3oXs1k8jfgo0HDfe1b7umXliwqzz8GtWr1TKeVwVqnvHJASf4BWSU
eThGbJAcGTEiCX+hrna03J9Pd1X97uoXMFzmJN6XTAW3eQaXCoQdbgALPF1vg48CsiKpfFXW2tEc
swacMKTSFUkvIHni0Lc7eNDSosl8ZobFruMdSDC7t5zkbbfYoXWIZvja26un5VjysdWqbRl3oeR8
L1IJ7dA1E+3NNc5i2pv1b25GzfcQ8olVekaGjlUQMtJsniAL4IYg+17B9sAvbdhLd6Vs1wmLSmtl
pLt8REpgy9ho8yykG/BRTsuXakevt/9H2Xn11o2s6foX8YCpGIDBuVhRS8G2gtXhhrDdbrIYizn8
+nlqkT17W5qxsRsNGJZkLYaqr77whrhiWrD2MddksJt1j3hXVGlpWftJdgPa4NvpNSSew0IsQWrw
UIaRTvLvKcLF1xXo6RIpXBz9LaoETVSqPMNv5fNECGfmIGFuaKLNENH4t0ZTg3kG3+JVgdzkRN2A
cCsBPewqzffYNuE6/dtG8AxwuWtNaC7MfUfW1522O+Pk069wvbUhwjUJoNQ66GrH3M5fl6L3zTtb
dhqSsoJMicVt+vcG+YTqoGPgEuR6XkghwLHWK7bnrUhi/Z1tIaZXCYAMgikTDSYj3JdaBp3pm+sh
yMgrsKe9Ca54/irMVKNL54rm5OcyTKLm84bSbkWgqRBmUpRVfKqRO8q/oCCl32NxHdYxfGT5b2ts
azfbi54M5IXUZcSGN26vQ3LRd8SnRbLJec39bPNQr+sqMCvWFdGcHYFAtL7QFVctRM37n6WjU/xV
h2OFE1FRc0r48ZIEz6oZSyjoSO/wPKNEahY+iaVuq6arvHF/VcczAkaP8Z6IZ3qPDcKhWGYsZIPV
18BSroH0nkGWPaOezfY2ZC66eJfgYiD+WkEsKy2bLL7rbq0pUV9wCQza+rCFXTPV4CILKhyX33iD
ZkqtOduGZAkqK2PPsqv0yAK6XUZMNNzabi7glIbhFWxrxeokXawZQVnXXHIDagA4ZVGt56EpnI5/
uf0eympNR9rg6hS8xNbCyPTMY2t8bdgfqzbTqLqZEwj52VNkkqQSTq7zqTZPMkCtqa8xTWvSpNj1
7NCNtjcYV/23eg0mEIA0qG6YqoLrrBYmDzgQuTXSmLupCevwqUAZhkVQIp/sdyTepL4fZWqT5iY9
jjJ6pDeRMjH+suuKrYpaAifSxiLzENPnb00sQZBHIkTgbR+gpx00lIhdCVXzClQDNkHLJ71SejbG
lAXdGhz3VuLBFkunl9qQ4eThc7P0A3q6ZT8RB6ShgDkevRX2qTJTYyHX6CYaOhHNvsstBKWPWRvQ
rtxDxTDbhwbEmHFH0m1Ef60cxAWRA07KwmC+BvJ3JnDRtdSbfG0QTj5n2B2SMrJU51WQZq4XTd5a
pVMyHLHc9syLRxeBLtB1gbohcqCcH5BgwO8hk5aPy22+MKCdjg29rsL/iBlCGYtjFbXV0B4aLeP/
5HsGL/HnnTXrR0U2xgI05z2B3qnD0Bwd3Tcj8x66vojcOLlFrgUhy/0CXZ3mRlTpndSUtg4Fc8s7
hHq59oMwS9PZ9nb/q5RQuG7K67VthpSf1p7waqv4rVIzaHu0Kq7Gkv/z1///UhX8/1/63/zri//1
w98e5Dda1tXf3duf+uEf8Yu3D9Zukz/85Z315f9hbvn0HbxW93988wfny284bHfN/PQdtlP5j8Os
NoZ06O/+D1nvne3lP/6g/3LK1D+/WV5qV21gKlqWVmjpLD0Z+8fyUjsj/JvHJRpngautuiyWDH3N
dvW4dK3/Ry/ZgfZG55ZviP/E4vKqTPevNj7Y9QCYRYD2dRgg/Cze9kcDtZgQBMb42XfCZZm/0lQB
l3gY2nKou89FIHqyUr+exsxAUbC3VPkpjRONt8whqLYjlYYQM+eATbXQol2K3YR7cWMj9s0zwvFO
+iXvMgwdztQjWucxHNyGU4xOvRW2l7GRIi0enDjKghL6sG/kNu4BSyCfzdnSEhYiM2aw0VHZo6wB
QN6GhZKOoSavp8InknyIyUM0oXy9LCbQ1EAnN7UAMx5gFoMyf0ab37YRZ6r7usrRU25Tk1ZPqSlZ
CHRZ8OT8Y7oEi+VCsinNJvqFRpv34/50/eCKJ8GuCLAwCJ+3kJKCbaNKN4h/szy8TtCWWdpBJzi2
H/glno6c2SXWKWNEqjmJhbxQciqU0ylT8BZfB4kkgL1DbU7DTrvCiiAP9J0N0OIY83KQ2RyMLg6b
XeOguOTugq7XYSALIoeH7RVZyxtwObd9rbVSYIm0j2O/MqddHvc1zPs0GbXmDTwykCXHGMfQJDy3
cap1A8K6iEgTSaFVVh1R0jb9R2e1J8gwovT/avBcqD67PEeurkR4h1/oNQQb+2ZKQMiit7I6mAiB
NZ59Y7RZ5D8bTkbSdPDrCCO9O3hCUBbOWWRUrjgRzYGAP8SlStVfjelY+L6Aa60m/5Cuui81EHd+
f11LrQYFZ7nkIWRdF/E3fIFSJCVq4WpViFpZWky0qcFUGed8kpZR7xkvaV8F2feS206uZ96/bfot
7P27e+yPMx/9yhm6Y78UALwXLoqxTCb+TYW6yTrhUWQ1r4vTTLF/YaIYLeOtSd2FTEudVCT5RyAk
2Txeqh4tjOXZ6LKxS5GRj4SX3fz8cn4cGnI51E2ISCHqHqDsH4RvLge7mM4Opyn63JrI6uL9ghod
Xp6WN2p2sPIm/aiGMdHVNeLzyhvumXGWsfzFEOitjSIXQvSDZspBBfoseAsNWIJRpr1q/c9+haBZ
8WFgNjKk5wYJA899DHkhkbeLAVfk+YKK1lJXdAvrwWJpSYyX8EiNFkCn9DhQS0UeUCPKO9QP6fA7
xkfM7Ybga+V0aCQ94NRH9hkUcFQef/40f5yg8TTRqtC4EE5eYvE7twJEQIlNQs2fSYywcNuhWgvf
7egiaIcbReK0enCAk0MLkXf384/mTP9hpsWH+0grOJ7N0tLk77cxGy1aF0FPJ/5Mi6Gfo5d+KLSI
BxMbjTeNHPxxkClEV4UF7lZNkdp708DboH7Ao68tnQ/KvrroJjLWO3XrmvXt1epnio2E2VyDTCqY
6aovbFucvb7U4QTx/Yrf6TX17Ns7NAF8onA1LEP4R1RgeqOeVBmm7GI3aVClRh+sh45+ooGr9UAp
PyLEiBj2MLO4qdtWE3VQdrtqUThKF8jz0PRcEWIOelfiV6xjUrROVjZMfIN6SNfupR8kDR46EAfY
245N7xHBvvW3DKj08KvhD+g2+YT+LJcEIrfgi7AqYn17E0oO1B0S2+KvE1apfDiMTMtNvkUy78f5
rnWmaFSAy3GQ+koQLbVMCpAuLg80UmKrAzqLnnWwlESigUqChiV9dWyyfCXxKBktz39MEZrklTBO
iofoUWV96Rlf8CPUjz3XEK3oZaq7fFJ/DFaX80VnxmxK/IZnI2jDe3qw2hkkjewqnZrdYrAbCLDL
oLVSRpDOXDWih4r7CtNY+4ENnY5qmA7p6ySlRm6qVK0+RzFkjpN0b892U1inOR/NFrpVjzdMuEPR
sm/NI8c5VZyXdkh4nbZfBeACyKBmCurVNAH7m54wPm7HYx1n7RCfBXrnnf3Sa4x3fZKI9Kb5b90w
BgH1vj9aaXSbJaW+4RHkjNff4dPaEmNK6FQ80p/vDfEu6PoeXBo4uAgUQyd6C8xIvMhslyXoXqse
8ddsD2o/rEu0/a4xz6gbzXn1hkyrMm1aYVWJAk183H7EkbKtkRJNi854RIhJH9ZOZWuKWDf6zfg8
NJFZtIc+bzJWFSWAfi6rso4oUJmrEXh0GuE+p9aEJpiEy9GqSjx3lbC75cmcKOKfQLyJybtHSmM2
ravpB3BTCO7XA3Sl6FQmsrz+ef0LzRG9vqt1tVtk8zoLClIds8WKTBKyGFgHqGfUrfFJoWRkKgji
tFG75LfttLMmW8svGSiL9OG+NkK4unsDp0/eB8cjadUOpSdaYfvYTdGdRhco6W3/Pu7RdvxmCkMj
NK1O2JyxjrVgMHgw8g5BzluRuQgPHYvCWsoJgyvtsH3KLAxXzaNQBv51v4yCPwbBANAJhyogV2Cf
2gn+DShJFa5DTBLZs+8tbmWeCuh1ZIG2NoGy91tqSGewSBFpncK8TtGZTBNL3DFRGonKS1UDb/0P
T7fAJF8nr0dawg7t94neIpUtsKZsPouVBLwg2MQzyBnct+FDpwahngi+QUW87oATjt9AefsKNrAd
jInxbTY7k4QYF6IeL3h7rIY6QKkgR0ycfm+J9xVU8ih1fbSBUs+9NHFKcv0LXd8f4U0UBcwdrgA+
UF/QsN7uokmMRo9oq/2MHGMd40E6TGjUpLuM3JbcuoxS+j0X26B/q87NbNqu/fLzjfwmW+EK2Meg
B1nY4BfxxvgxeVqaxhLjUo/PcVVmvvhtxFpAzCcjtHSDGi+3DE/IxGu0QwdS2/rt+n7hzNPxP72O
0BYCgDxQTxdo4ZtVltU2E7y6Vs9rbLRFqwMyO1+bUXcRNgBooOU2A597h12vVe+TQue9P7+MN+kG
xSJIfbw8PfBeoGrfLnYoJF2jm6a8kBZ/PprNVmg4PYxHBlLB30yoija7S93J9+NflC7v3gQfTKYD
rlLTzd23nlDLXDVZlS3qGRqzR/VHsNDTkyECVUN1tgYfRytKVsDBh2F+ZUIh8uoXT4DU+c2GtwTm
5Owq9NoQvSGr/nFJjHmA7kQRqucq6bUUwcayT7B49IKbnME34xwIAZr2tSUxRYG6wXCfVFE6mrus
FJSjJwtlMEL22t2VV1nzBO0h4uLWfN92rkMimVCh4ufQ6sn8BMQUEK8yuulFu1306UecD7rKOJo4
nYT2JXC1yOadVgYnEI9gt0FAGIFOHBofs4bmgIZTLJsnPIf1KlZm06fzLRVSPsgdXncknac0MTXB
Xa7lGFY/hU6EPMh8SEWu4Z+GH/1Xbc7Hx7Qh8mnt/SAmR0bnzDL1oWHZEgfEHVYznghP9oDAyWfs
oBstpVcuDAi2E7AyGyBvaifqrON7WYk8Nid/JSi17pDwpEw8mVZkRNZvTLPz7EMZVZ01QZ0U195b
GnOPGOV01DT3DeZtWCN3qPSZ8hQFyMGhRORmaqgPboCayLALmILM3X5JPUN95rkAykVKVr/sE/Vk
xiUsQmgz1WrNWcamsIUBGRw5hHlPwJd8b7ERDkUsu3L1eaWGRc8NZL+4XFiO8whloBegJdbfiWnW
lhL2Wqoa7C5+cvsH4KB19oTwrhYR3eQGYYTH/Gqyfw1PQ+2JlGro0ITNofwP7lQwxPR0ZoVdqf7U
Rk0hf9jrimpLKB9U58hsc57mihMe2VoREUKPJAT6rGY4b/Bx7kTnsDmBPowirdxdooeVwW1FiXX4
fUKBeI7vmDFD1d7beepH9RFLT/IRswvFkp3aATvJvxGMvGbvVjfzjIy0wi1iF6TYLTt77LU7iikj
Lql/PEemQYsq0HVrQIfAo+emWzJHdUj+JcUQGDjJxI30MoZhc419tzTSIPm7sMIG6jX4YidsH1EM
Xib/toHZx1tIS3fx45siwO+6xY5qkMSOV8M1l6G+NVKOJWu3SV028NTM/hQxd1/uvCrOpELOdgb7
/syOYVJZHxjhRWFyNnNP6vTVdutFHoyIUra4WOt+Mv1Oj4QKNP/FcEgHp+I+SdOgxBy2wcMmhLpV
N9v7trxETxjwFdA7wxW+/i3bqWygvEPkDv3Z4JGsKfTPA/e76BnYpCiWw2kKDiZ8W6qBDrZGt6yS
p/X8oGMAhUjrMEyPQMO0j4nrjQmViGtkWiOx8gf29s+v4d3hwcSeYwOmLzNQD4rcj4ETsD/UuMYY
HlehSghIkP3nkmLi1Sgdap0Tw6ScY+3nH3u9tx9ai3wYZn6CPC1EVMZ+05NOPTTXZdihKS2jMIjP
VhGCDKTlYcOwOcKJHJP2wapBAuCwhwC+Xx3Zi9ks7kI0f5blc5gYjPRvRmZiTnUsaiRk1cmKoS6F
N60tHDZbArGbrI+oxvx2b2jrqCfQgA1Nyzo1k3Q828pt0H6IE1/1lD+UelZ+lnps5RxyrZpt/qIG
cX+EuXJM00yFU4f5tklrwH17UFlePY5oXPdPYbl4VvMlndyGPG+Tn3Uqiw/dWcC+CAilxOeJ3mXl
Mp05AByzg5duQutG7uni6ErVMnGVhdJfmPxApabRTw8QPrFrpQbuddMBcGmvFxJ252kDisua3PEY
Gg0N1h36t+yvOx9FtkIekw4ETXbxcFUlfSkGXOPFHaoI+jSyHCOT7vfaN7xJ3FmL5EpipaakObSS
Fst4O6lxznJkBbLGDXYWwqp1tFeJbWFutKsjM+zl46QcGnc3VPghxqw+py9aCXUb9lYQo+HLiaft
DuZZv2WAOdoNidmftExUCOlmlL+oEt4mshSAsE9cMhhIIeJd2xUojAxx7gofHVcOg0L0SpuPLomj
lYk3Fexk1dyebCBsv2p2vd16dEJNlgC1qE6j36WPSOcv8ZwVwSMNZnSIARbpvQ6izWcJ4Ec68Ikk
8MSEn++9/+VzHVilYej7yEObb5t9QqFyi4Ki+2i6SBy+olir+7gI5WmIajtpkWrk2Cy+9vPPtd60
pgJb0yY1eRPGi27zvYk1eSLLqRmX5XGwWPrcI+RfR+63dJUABajttiowITWOM9W4Ep/qnJpN7poU
vW+kPmuX8eYFrdnamnc2g9n8d1oMASIWv0jt/xebQFg0vBZqDfwf39Elw8kseuk6yeMUwR3ClivD
oobJQYP4wZ/kAGkcHmwY5s3ndIC4WO/RN57Sb9R/KOVdtlIkUmOIZVcigV+UB8dRRj0ecC/WD/rn
z/ZNawMKAXUQJC6ermZbv03EW8bCSPwW4pNAron97slEr6LJdbTwuboeHHKsw/Qg7N4u5jPmR3qA
n9mO9sH6+cW8W2Dg+PGboUrU/70zr9RpQlfRa3/czFNMENFkQo5otfNXi3X29NiWI8JHP/9c6/1T
gOJFNeRDBILQ9ja4hvEUUxy6RBpkU7pLiUiD3solBpTZ3u6Ebh8uVcUMWeeeSZU9bjlX3OI3Q3a2
egKPwawTa2FJcMn7rSNXqBq5a9oEE4nPnpkp/IQPVpzggnRAb0PP/N1qzIT8++c3JXTp8u8nJRIz
dCj1u7V0vvB2u4bIYCxiSIfHrSOLG1Tofeyteg6So/QXT6mbgWbmUh5wnKuz+EaWKKCrvWfmehQX
t7BKw13XQDQ3dgN1S477NJzk8WlRrh+hT5T2nqMlVRD6s3eOO4V2dqphn+TGzi+QQ+kvPgCnzDmD
0CL5/Tw4iI8YxzVZwOFDN2mlm+jJQUNT5/oHxXD7R7IEnqA36bdpPB0xy1a5c/ZQuBYg8aGKDyUm
CAnmq7d9zUT+eUHyXMtUr69jmcHl57uln/WLa1s0wClfXDA93FycW3lzGta+dONZGuOy9ZLzCeo+
GD6GRFVA7aQ4U+5zBDS4MCSyxDyeqfNAxXQ7lQG9MC64ZKsKD48M8UtUFAcL/fpfRL93pw3jWIdp
j5aBsN+vTQ9wD1Y0WfcI6F7v0KWi8/o1TyJtJUQrWD9D3C0Ry25R8/pl8H3/8XpToCSEFyvnefCm
QCbXkiltfvW4tTI3J4qsD7Rs/wrrcFcj7TxGIOlXPsr2uwtARwQwBwB6mN7Wu72ZdG6Kqnc9fIq9
qx0ftIFG90iduE/7vcD5eAoPXM5CbVbTcuAF2gskJxAVYY0M0mmrzQx71H3DnoDMFzeJsnKdCWzp
/FxB73qOWtGYPuq/8dCDaV5NALeVVYBcZWU1MYLL4mb2h7KA+ml2feodOmv2DYW5eETUwOBalklh
/CJCvgtU0AJD5CCZlzKmhyb3Y9Y95UhWtgxvP20hinJEm4Rtw2qHchWdkquMOlxnh9UyewlKsiPW
fb8qAN4mpK4HV1CznzxMjt13ZNzImnIBAnF6QRAbUQs4TQWfsboYtGHAevx5PHujzQIrEg0OlEG0
dAOZPy28H+99xHwDalQfvyQuxGlnb5lM52DIYplgkDJWSTh8WeW/uhahVYbQxLp8wv+SHgVM6VW8
7ucX9Q7pwNyMR6DzQW1e+O7IauHqzkCUkpc4jHUkmVGt5bjH5EYn4muCNjIkmh6VAdjvgpWBTpCW
6znDsQY4TyTzqE9eehQ8Rm8RVNetBD2PM/C1qipip1he/bS1U3VefN7FE0rGjJ/3LbQaxq1rAlqT
OxMLWm8mG93mWtJp9bTKKwqONTDMZB47QNCapl14DOp2ykcS8L4GuGkCpTd8JQ5QXPTWrpHMo34t
e1lQxQ1jfe1zgC4lu7TcwuLyApQ3+WNam3c/f7JvcwE2PUNlBvK4hnvhOyUewILSDJkTPG+V5UpZ
WtWlNjA52HW923/+ufSDfzg3NX/HQrXIxPeYyAMe5k3EM8cqZ7UP9qlDWxFrYT+NMf9DuBRXE+Yw
HaVPTasU/W0QUWM4RfERUE5SfQTTq48dz6HWAsDrN5bx1erpNNBZjQO6PttcZxtZDhAxRrhaiH40
GIaCkQFbnSRL1Tw0sT/OePb6SIGnnK+mnsSWY9774GVo1+Qf8rHvEmZsFE1zoVEIum2FLqEebboD
BDaEPvGDtUGdX8VptsYWalhlbWBoEy7WcFb0hFq5T9JWqIfKAjpRnI3Qbu0vTMiB/x5nUTj+a7ZE
gsPYdw2Ej4/4MYC2uavtCBOQ89JTC30YTe48Pix5Amlkh9g9+HMc6JF6fLA0CILyQGAG1xwyUMPh
/GFuWqaqpE0SSd097cwlzm7mgYn9fDFb9ghqYmMkDSB4K4ZTtG0wGb/NeBFOyLI6DdAC7ATyynhx
R9MUzN3wmZrzU0YDx/bPEsEwgv04B91CQrZgZxgf5dDiExmMHXGqSCHIoI9sGqGPqwu2V+c4j8ba
32GdxyY+NHU3TnC61kmy9Ggl8iFiMlIyQmh4uOwOU4tNxL5ztKHEnpQ+SZ1LQd+tb15iarLUuYUa
QtH7uOAuImvafZVvtrDrepV96ZNpNL+GtWEHl141FgqreIzmfbJXdqDbh9v4ubsGCRkkPS+kyaJ+
zu6HQOn+39p23Wby4TrQNnilRJ5VaWVYKr0iuwxfwXE39BxUeP4Yo+iLHY2lZvhrnQTGKdzI58T3
Rg5Rb6Zt3xxGSJXMYTDsSX+VblMu/rjHOMkBOqDyCFyNSvKdzBNbuwRwqMRlqBKJegI6jXGVvmDZ
5jPYLcokuvHBjgkvAR9W5mGjqO/tyL8ZUU6rQYJOMrur8HyzDor+3v04dopebm/FL3neAxkLXfg4
D5AQWwziJ9e7NXkG6Nj5toDyeRvUE8LsGaqRXWse+obvJecCkzaMnTIgZ7eGom177mnoSCC+cviC
HOycnhwhR8yYAdc/US7J6ljT7sz3zRKQmKrKs8eLp8wpP1VOFKpDHcUgYGU3+RgUIrw1WXdhWKoP
hk/qsDNxGfcRw06gh6Nav+zKJFCQWEQVQkAbWgTk0tK/p7gow+NI2wSaBZHgOS9766Fv3GEENe/Y
f2ImIdFhFi0Krb2ffmiKsD809D9ep2KKd1nXfIHvVL8alp19yF0D38GlcyV+ILDeo2KgX50wWb+v
Oa5slL8QXpPhHiZu0Zr39OCMv0JkWM8M6JBHjhIEZ1C02vuohN1wrxa9G4rsHZZT1YtH82XXhm5P
pzlc7rsF+OguzP35s5m7y6mrXbfaD1befhxkrT5FjmoeUGFeTtnciacuMJwzBubVsUqVHsUJUd6R
TJVnE/+9g7WoXLeg/AdQeUCpmci/mEqIP2Y7SD5HbdfA4Gmi+5j++SVvG2zeesirh0qiik2AXI7e
lLocfUs6XUyn6+80E/VjZbfWcRmb9Jilrk3ffVAxEGVr/gsYa/ZcAwv6VLhmd0uXPfkw+maR7Ywm
rY950Sx35pyHz7SN81t8c8QnFP5hFKbAEXZZnAd3Zp+6n3PRN59D5jJncBsIuYsmuhFNrzhNSq/Y
W1g6uzuwddiPDF75rFCBrfb0nRlgQMb+Etuyug8rJfd4qnfPVubZ6Ak0znn0K/vBdmLjMC7D8j1r
oupr7El6eHNkHKoBphtUKuurxQgAy4o5w7dDzB8X2+gevLhVZ4vR2gUtnQ5xs2W+y5UM0j3WHu4n
oDbBhBpzUfIpVnQ06A/cKeXC7QmCxj8FeRb9jcrRa+hV/VeL4+1czGkIGcMxdi284z3qn+aLSwA+
GlMWfBRIoN44i6zor6Pmg6asJ14C6k5S7BEPCIQSqvJLX6RCQgJJq3uWJkydUAH9F3a5RyUsZMug
uHsPhcb7MknXuAU9HwD698KLIJw8VjAydpyZ5Su9KMyqliH9kqAMke9Hu5w+1WIssRWMLJIfZhm7
EYefbl+MefmVgFo4O5s/0BCPeIIgWGxnN9tG/fts+D0kDpVesl71xIxkyR6ZsXWPI4cNnMy2PPdA
QHfB5JT4ocna3kUFcP9sb8gh6fEInFCfOOUxDl6W35UfEuaDqL0Ug49ItW+isgTQH9H/4hW1lWE3
9dVvCQOpC5DMb0PrvHp5MQFey6aT0fsZvql2fcJ4TxkXq6uzEDO3qLjhxnJnr829tVRgEp6giUfD
oa5tjmREPDr8ryJFeC1dQJ82is5fGsOY9mMogBK7yvgD7RMbfW/g6BCvTJn/5S2luEkTw72D+FX/
GRaVcZshkMHmciHius5426PjDLEVjf8DFXD9x8jZcWfNAs6YCOpHGNumeyiTrDt5mGS92lZbNIco
MppbvxM+cFOSwO9GgtAJnVPV0QewAdkeE9HKBxi0Pc2vqFUHlQnI9aGPLUPwuwvxc2+3DZ52JU/4
FqSajV/K2F2SxWufKqYQx95OE3kacPZ+ijOgJbsyKCJuqCKWgAJ4Im03Hi2GGN8rnF1OWSide/AQ
KUpwWIDcjmCFj4HTFy80+sUOFabgS+RU8ecsNut2VwF6XXY8BfVshak4pVhJLDsZNfk5rgL5J8qB
7Q1k/eSr2zrtxY06n87JmOx7b7FzxNtLnD7afCxOTKjqW2lLHOuKgvGCm0WHVCr5V6CSep9PQQBZ
pQqBTrvxTR4s0x4xhO5Inza+K5ZB3dVy/sCFf0uRJv9WL1ZJh4MxV5U5xG4YQccmQA9snwsV3mZu
F36Q/uQeZymak4MvXLETo1SHVBiIHKkJaQpl/kkPzr2bssnf+7nTnccQGfydwd49yEblvy+unQBe
E+iRF1mH1YY7NC8evUomLlkmPxixYe85hKsnZNmHGy80lotJNDuP8xzduHx2evAH13hKggHueIWU
Rn6CRSnLcxYHSfrdIAXHN7ONPAYRi8Tl+5Atlu4tyKXW/AKsca+sJhI1uZdA5Mgi7TCWcf+xTjIg
L4e1AlX1QEG8tSe2Wqgdy045T/ga6hlPRkABGbOWaAFuU9Q6mLMy4T92jK/ycD/l8bjIV1QidG8o
BcTMj4i1901ypUsl/9qHX+gr9ZCsVI9nxM7qmEG+QlGL69+gsSCkuVundeFSDoFD2o+M6CUsRel+
Y2/qfuNkQAjpYRIDy8CHYBiWB3AicXMDYdpQdLFjNasdu84rP6RF3w39Lg5xD0UjO8qSo9E2TnNY
PUeNqJyD7yaYgegWzCU+hDbGMcazAUB3PNW+q8pHd6yj9PcOClSnaHNA1n5iGh1BrFMqy23zjmp3
Et6ZnhSi0giTpSVonREE6HzsMCEKaI3VGV7YULqwio7GlINrR5GOSzU+W4wf8rXYTcO8TA69RaZz
AK3Gt8PrxKReEAQPYZDgK/MdxEzWdyg5mK34659hla2C7GEUQsW3M4p1CzRiONJRFjkFYoJutnhf
SMiwEezTsTfOdW1l5acNVloscISw6FNxubyuFXKoljqgBkl4jH4yWO3fVE0a829C6qRcmEShm2qZ
khVQkDU1lqah+7YbKqjIRjcikOoo8LiNmjYcVRi5uecdEdwUZfOBXIoljACm9mZFwUR3053eXop0
vwRGO8dnJgGKz5QQnqdHY2HUeFlJjohNYQe59gbK3NFo5LkGWJCeWOe6mgcVQz+gqDFBGmGXX7/G
xFWjljb0cjXaGlSXmKOeCppXf8C1jlBTqZHZGucx/dNRrGVJR+BCFaRwc4UNdW0pJoVek7AWbJ7i
ejWZE/DyyrX131LS8cvX8rwbLP1rmxgOba6DTzBZl8QfxGBcchcGFF0yn0dTnam+Z0hqEU4B0HZC
z2/SO+rieqDFPDKpULcLVm7TsLdNDv/i2AOkZJ+uoOsSrGELtCRBgZxnF1S+YjPSNNSXGtH8403N
kWWAZwNjUNkWkL3MAjtduEI/HmhMrLZzjTRPj9YE2JLXvnX1fMYz4bA/Zivbo7PRF0gOMSqHxNpA
Mur9DgIRh2wUm4NS+KweD4NFoKe0Veow7pLgQrHOrBwVlFIrxSEKQ4PmbFUN3kf77VnVrj1N5rHx
UQxnfEa3nTe2qgtgR78k7nejyhL82Uv4ftxfiqc2LyYc4+vywVGZV1FWCg143oirV65YX9M2A4xd
OG0zqMVqgQ0wJKF+oREJSy7uU1iBebfDWEm/UN/B+eOSerXuH1FZ6JmhNyXWlJ6LERQSuU+UNTPZ
IONjLsW1Rc4ztspg5l+PaJcjeEtiygpc7eznddKJ/U7nV3uTVRvjMzCq2kVQ3dXz5Y5hjpnsZUrl
oEVYp6BnwJvoe+rnTt+2lbqSD0EaaaBGmaDCmQrx5U5MrxPzg/ZrNWtFk7tVdTf3EAynXWX7vuQq
cNHA1C8Si+5ThUhwoX3FTG36MyUsmC8mEBRFdA6TtDghDDMMf1K1yS+lhsmg8tOEVvZkJnkPZmZy
Gk08burUfU2WOM3vpQc68dRQj3mPayzpvEbPmavrCdNBiZdfDDEs3MXQmbRcDcQS6q/rpqsHqZ95
X7t6tjbkYKfsfTFI/UTtq2X2NrzNuquL5XCVSYXJxZIsVa8hHABk6MDt6NB4NO9WMQzUTCvx5+gz
WPpWJaTSXzPR6UJ/M8ndNu2VS712gVqE0jntvDrX3tadcu3uqZirqPiibEYZPeov/TSbaM+DCJL7
NR5tLcv0CmoDg6MvJzfoqp/nIgjnfeSXrqIevPZ/V0Ph9RE1WaaKeiciBGFYC5SP0+++LHm0VlvF
PCl3BTeiakKsXHuU64mdhb62Xy4nV5/2dgAyU+6R23f44rg6Pa8+qGuM3o55dDBos4bIT3xvReWO
xd4ErT89htTr/Pty7VMPbsxjtWdfI2JzEBz2dIgbFLxe1lAGsiZlT2xd0DwwGTe2awNFj1GN7uM4
NzrQYPStfxC3RRq2EawTTANspTcSfS89I7WmWe9UNTCF6j9GkA+4fKQH9Bc3U1QaPxpfvC4T2mb6
J6pa6ZtfsTRAdvXxs4yU68Sv0kYd75IOdjEB2V8DsWcaM/tgEZYeoCGwp/ncckA7NDlAEteva10v
3epnm8oR/8+zA3uMpz7MgDEv01zClEEqCp3Igny+ymCRH3Oc5QknKHPAA7oMXq4jAa1BnfPEVxvr
WYUmd1Ny+lQ151wlifQYvOsFvs5r/8FjIFTC1Q0QTom2YyCv/KDr5vETU/eUt5e9+klXGkxc7eom
1uHGQ6+PT8aOUwMd/MrXGZ5GRE6PECOuWCOGgQZ4ygUEKclvT9h/aK5nnLtkQ9/cREgwOP0xgfSQ
57e0P4O6OVstdK3yUxl608RkG8Eo/qDLn5ngf326OcNtViQDqJIBCALwu94FpxkGu8zJpZfewJHT
YJoFJUOu0nEbvcsh3enV6pmVkyh01HDd/tbiAUwr22ncwpUHYQ6zj+y6NetRgcnMkieDoBZjvWoI
NdAcioaeeDPNcfjDQ7F7evSuR46Rt9fz+9rkjylAubjCJx35ipChhgdsAwimlvoBTnWpMwB1NYmO
skHwOrep+np4YR7tOfHOoYPLP96Ge0O1lD6e3AxrK3VDk5+h020FAohLW/KIZeN25mI4qAQVqK0d
BoOS8jCONSSiD4C6KU0PMaaZfnbYgL2M7DTFMgz80LA/p12Ard8JPTm9TbZlvG7oMhk6J3qIpTGh
j1qDi8JuurWmsT5WsBmG+VDjYsFdbJmOs75/WRi+030Fsn9dXteBSxyju1JdsnAQpCYeYg88K9Nt
dNRNAMaSmE2eO7AVkNmR06Ncs3ATHzse+vYAsybVYEwx5vpkQs1Q79A0SkB17OTEEF2gBXJFC7RB
oKfmjZEChGNi3WJr7WVNwnL5b87Oa7mKLFvXT5QR6c3tckISEq5KVHOTAdXV6b3Ppz/fyDnZpxER
sGNfEQK0VpppxvzHb9KDjDPhQBUHH9B+y10jiJWNqmcr5ROrkqMq7IDalc/IZn/lg3VjyBjgJxAW
7k9yCZz1ZRK0JqoO8EjX5OjyoSi6biBrgaIPdWeN9xifabEF83tJU+35SPJ4iX3TZYVUy0fPZpzA
8x2rVmZ/7W9JDwN/pDqiq7PaMJHPe1H6BohzvZNvdFFltG7S1z1EuvB+NpwsGC7fO1+ouXgvltJH
dRQtXFhzlMFqR5yjWTZvwwP/IVE+hMxDAvtQSXcda2qvhWu+uYXdfy0KT8gwutwFhOl5gfS20oks
n41Y9Wc9ZshnkEbvAmmZvxzJpuNthqS/8EdGPxFXnJk8jv6FqkymzWrHlG2Yrcsk088ViqDMlAgB
BxeyxlgmZWdzYTnhYQ+BP2Gg1bdLVZ3V3gaULkS6DTByuQaOSXzjJfcJsON8riadPnnAVj0OIAPd
4nu97GeqbU4qzLGLVoHJVelj0gbdZyDvvMx6+h/qRJo0sPDYqfN05JmpTV7PaQSN6t45E+e3TjXm
NiLEMAqckW/Nxa0xMx6ZXrCNchGSKjefwavW8jeC3lLGwZSDMWx3geIqhZsjq65u+bkbuhTaimpr
Uy3memxky9FLdq7W9slMJ/4yn5ejdsgJXPMuqv+cpbHb3k3L7izWPebdPBCsP3a+xGgdpD+PaWax
8l2nDjpNflMPWg053G9dnpH6K3supL7BPoIDpW1Wsnd+f5uTLVzopB/k5ZsudkMo8Y6j1D4Yspo6
E+U9lRThlN4GijcZJGDtUViAMJL5V7enhM4WMD6Qk0maqiKkqPfgjKG8dNPD7/pbHyZy6cHRVNUl
t97I8SeV81pUrLIX65+AD+QVacoBB0LZoK3BS0M4w6GbeFAV1KTohlbu/zuVMB1l7y/WWYZrva5S
xaRWL8tHD+tSKmawFr5PS0f0JY/tCrmzxwmHX3PI3N5f0hhanzCpaPJRQh0lEDRdGepqH/AVoAFG
eYjS9l3y0wenk2dvbngLikLfFW0ARzsZtKY6kgpDl+edEATOSUyrMDGmFRwFg5qWJXfvESxDwwDe
gGo0T6u8jE0JJxsQbL5IkxZJ+xOGiz707h7xT1yE4uRO2LhwBxNMeT5TjmtyLUcNo6vFOVpgQl6E
/NN4pzFeIDCd9NzirEo1jiJCFv/xqNgUaJM4IQjmGaubOMCSgO2Gd8Nh9MCG1EiuDIYth6Sjf7+s
ttgUqWJXb92Iy6ky3X49TkMpWTWUYYqJq5iSHagGA4ZQbY7P9kG9pU0gRZ6qogYXO/uXSlX6idsK
sy5XK0WRT3MLNkp5ExsPltKh2dUA/DUlSPZk8T72BVptB1qmxrp+dkbqrHyxglv0jFO15podrjqb
Iq1q4aqDsTyvVpVPcYwu9BuR3lxzwEImr1fBXSZ54Pyk91DNFzZbfPEo8IrB2AeICelEZM1Umvty
7sw1sqh65DhDqLywHFSpTU8Bg/47Tz05Zw/b7QafGhfqE0QP2QmDZZEy1rJLaRRrfM5z8mNexJZw
mI9aj418E/4XecT7ixPlsnhrCgRyLlnf1VEgVKu8ftTQrQ4IAxSLtx74g3BpgjVO7fUpBE70MdJS
EmzLppb3LmB2K3ucq07iu202jEW9AEGJlrpE4V/qAGRgIAq/w8XzF4x4Imcv1JtINdhZV9DbOo6/
P5CySVk+Jp1Jb8ikYB3lEQ1O4QYlNqZTGRF0DN1QjgMa0dRHes5isqnon4jMEnhBv9lCaX6ZppwS
1XDQECZ65A2jGejE0HerHr31Bw25tEk+BvZttVfzlvqGPFK6cAdV5RjIinSGEnHk4dVqrQKvpIql
TiRmOnOMgejj41jYr1hmP1Us380Hju3V9o70D8z+T+7qSAZ834vuCxp9wKTQu6MSNGgi9YAGlMUg
6zimWFc/HfZ+fsDoj1rlBkW7n5F0GDjlFW/0uhcsjewHa1jJrte5ppQ9vd9KhdMeNVrCfGX903hK
w6FOysp+lqmqj0qOv0jZgGuZKBn0YhXUsQj0+riUw2mtKrfGC4U1n1bgPc29DSWSnxCWOeHARoqs
raXKPNwQCrsTKZ/lhem4wsePCzAmfbUDWgYOmP5qiCKSzrLcUOJvq9nfwQEOre0CRmdy1aUVOMxL
mHH84Mvhn8fHJJFBeoDjYGO8amc3LO6KSSzc/OUADhUsoEm1xTGJcM+SdSLuXCkzehOne7AeeM4y
Baua9s5lXIyWPwgGNnme07BIkYzqRnhA4KXYGl09Uqu5M12YEG4ui+iuKilNDKdyPD7ThDoECqnK
mroKZE01kL4HdMTGHG7T2aFr032Ldx+U6c3ijQGloz5LOrSFuRRVH1jHEX+arMpOrmlnuWPxCXRZ
CnO4WTIEMNqXV2ptNEYAQ1HBhzEsD3RO0AGO0ZmWBsHnd+F4cBpdaKbctzozN7jqsQC1RMLyGZlK
/tRMKz0pgqSiyRCB6TL7XMSdPBg4qlL7DW4nR9u+TreAmUnwKHi5BiDUBqCFOtE6JNO1CskVJP1b
LVIacjYVeOzD0eQVpqrqCzEQo4mBEEIOA/WeyTkURy6BBJfJSXCZbZZ62OYXI4U2yomSxAxrfdgt
5B/UTH5VTvtTi+pl9Z5HsoqHSLDSPW7L9J+1N6mhbkFR2/nHsYBd49+ltj972DLGFoHBd2MA9Yra
vd+niRjucev+QX/TzOvFQPRYPHPUtsqL3+KRMX0eUFC44QXBXJqDBu3YJF/bGHDobp+D1r8IGmU9
DXlQd49zBykqvYtKTuLvt3SeiHTd6qZ8qRlG//EM2rovpY8n5M3Ph52+Zl4RZxsmUKcemqWb/jLb
rm+eA8uJq7t45vpgUTnDljd3hR2SHnIddtu9A/NLp/drz9i6YcG8EcfYmMv+aBNKesEG04YZ1NgB
dUHC8gvdxI2a7TSSmjBdzIUw8pMzpMtD781+A1LD+c56S+RfvVxayF3+baSth2uqTarUY5iVu9nf
3CEaRzDAEAFfdnPLxUAFSubi9GTAHi436libPNZTRgtwNU4eVsuFg1DPrB0yaiyj8eke7v1CJCO2
t8OMqg5imbueG4Kcd+zR8VzyOWqyPvgXk2ngXLqQnLu3MRW+TaGdFnMQPVh9lo3Ycs+Wue6XmZ7V
8q6UAJCvjVfDaonm1FseLSuYmtvmbnaNlLI032R5Xp0Ze/38rsULor3vQDzdp6gcGuPRa+ap/ZuU
tKH9uzV9PwfjNNxx+1Lt8J1wopvWmfjYYUIcCDJshsE3v8QFw4Co+DnlTZAjqnHs1kloEjFEjigS
Nu50BGv094xRHTjNFw/LP4Z4jycfDhsKclbAYUBSivEWZoztv4ckw5M59W60NQ48dgmDhxLMmSHb
Klz+ElovuHJXk4l7aqOWZQMSC1O1VRuFLpRViW8fS1HW4A30OQRp53CgSqQmiQVJU1lLtpJgKf4m
LnJgwKsDIf6JTqCUfceH5Kp/yeontbn6FDyzZddDe0U7QvcyUCAuITOMeRBvl/WQ1ekNR0GeqkUa
O3Z3rM0ObLMzFGqZ+BNW/9xJUGHvf2/Y++7h39r1ZvhudffaCK/FiNXmS5YFckTaLZh+/wyoyUg9
Ho9C9H/ObFIcaZfXsGmaP8Y2jOtv+JH68b8XLI6m+9WczerDWI5u8x/V3lR3u2ncaRDvj8WIOPBl
25KBMHulOeKYHQzlC+qmYrs2oItTeEMvmqzOxUmJ7fYuhep7ZUdVknCTNhwOzFWy+q035W14t614
vp5i00Yy+q6zSAne7jCsGVHNTB7HCYnKtpaBkmKqi3e+U+OTPFF44NflQ6Scz0VRgBdcnbHAEeur
Xdq5Zdw1Q0ns+/wxGPj4oHsD1ceK5scU9MqfjTMbftpEpnPJsgTV9blr5zrBStf02uvUdzhKQpqy
jXPHibN5RsbbQX7aFnLp58ULi1tGWXTzxiUt74hUgJ4EyTuIbli92J8K0+jM54FG4WX2upWWUVn+
q8Bs/YXMOmoPO5z+TpxobC/Bbm7XOPJiQqC3lC8tg3R8BETEw5VwhuWfOQODe8O5rvmYgmI+V9Ck
H8J8nq/TEjERR/Bl998t9hv1ZUBZ3d+lc7n+3btQykgPsZfsvAxT+61LWrt/u8EBugSAKZ96L+wf
FzN33yJYcQgOWFBX3Wyv6p59b82/bSiv37G6lbzl3E1vWVU5f6Ztb7wJYtZ5z222+Y2NtSIR4hyy
zS9ovljV8BQdP1OGJA+EXMwl8eGYlweXBK7nvQ36/W8w6PXBSZIU1kcfmZgjpikPr2gH+xstiMJ7
sjnmkboeLLl1Tmlod6cej2Bkjv7s3yUBld4po63l33se2QDoYcMkhwxmD9/2uoKBlNi+Y55c+nfw
KMp0OW92RlBvbnZPUKzpFtdBaReXnAMSfbuuuQ+qzLnklrO8zePE+is0m+DLtFjZ31laTA8wH513
y2oxyiI/vkWtbcJfKt0HexmK8DyC268n24z7B8uym3+xt7EzzPtQ/Muw3PqWJsw7jnp/TpWf/hVz
HsJOZcnf12ZELhRu73ckl643x1nNL3Zlpy9x5vlnLyqy22Ls8cc0h7sTkKVKJ3bC6NWo/e65JimO
tG0jnS8w7KruzqmC7N9rY1ifhnBI12sxm/3fcF8xQ4PZCADokivdntoiYWWJW4ugxn6JT2i0NjrV
RtE+hyPJAVdzsitJfagdiKZmNt8FfrB8zSPOYpc6Gcyz7cYzxJDVfcxjz3jy2OMfiTKHN5huHlHn
XXmb8hjno2qN7r26SuBEjssS38PdnJIr61LzKZy25G3TIde4tlRwHxbsQf9tt8SvntI5pCPv5CSj
XLgR55Mjsv335op8iU50HprnNlnjJ762PA2E0t5QDFV/Ez6xeX/k4YxlDb9xC6U/8J+MPfMrXnN1
/MY0Zn/6M9ogM3lP4bIGQXrl+L1H/h9eyBtaC/yvZkj0d6WbQujF6YEGqtGcsee0J1CMJrac674B
BaMoJ7z13V4kxfhkL9Dw76HntNY9OFphfcOQnWDTcxgtofeSzDA6plNgMdtYW2wgYyo7/F+qd6Zp
VwUbPxPSXKtLsRl+tBNQniK1zd9lxV7AJBql0bVnD9CV2d/LflsuVR1PwdNq5iad6Abl3dtlS2jt
1jMmKXf2lu3vm5F4hpNZeMN7IpXcpiRUD6++HoIilLRTbtJgxyOYpsa5LekVXdBEjNsd625n3jMM
Sud9PpXe/lvZ8488YTFdcj3Yf2hNoJlAOPlR82G3WwYXulnfb4YZre0/NNaGrnzBqqgqvv6G+O+I
gOT/C+Y8Gx6yzeCU7C0bCcBrmSk21jY2z33wPiWTwu5OJD6R/QQLtcXuGzTexfP2TUVuKHK4wjMh
bCRJa+UeTedJ/mjLuOE/6kafY/YrlP/DQWu2SB/g/x0/eDHWit6Zdp3EniVIePwvvj05/B3R0ALA
YA4iXZtpdOG7PbpIQ6GSjwvz3b5MNCz4nwjVdi4jBN0wPlkMa8Gc8mmaX1iF8n29zjmMRdiNhts7
8SlTF2qA0HJjAX64/HKcmEH5TEJrzICsFnx87Uu77zgynQqOFasJ780ZIr5T2XDV2Az18c3rkygq
/6zVg1jYxdftM3OXZLOzbY2T6bzDR23OtocKUpo/3Rjdnts9+uuAhdiHBPMRbqB2aVm4V78vUp5Z
NlRy0E4jtu76ZHUznLU3m5kLlDajpvWrN946tG569WjW4Jzi0psqSQbzAEftS0qMylS8Tbql44Xt
yGwz8z5FlLfH70vXz6z81sxuGe9nOk/io5KWCxYdH2LqE/9LXIZyKZlTe7gpFRz1UVvod8CkGuQj
W5eK5qOGlCKz8LEoqYtlSNsrmPXuOM+Q68N2PUecQ7EgdQqSUDa8fRO5vh3PDFwxrQjKX3wvh2Be
uYFLNTr7cFg4Fg0mliPOJR0KAWhD1IDceeM1WK2pIWSgW+TF2DUxDcY1HinOiW3HqqpPr23jdjxE
12oHRihGtU5lvClimjr1RdsJcabDP/ohM00nWN9gq4e/0iWZsEBPnszZxr+ORJUE0usdUZnzFDy3
hAWv6R80TCv6J7ZfeHx7i2kKT6MNJhqJ93h6MTLvs5aWHDz9kDOHeZqdTSyTs3a03g7KIA3/PQSM
T+uYd94bI4/W5JrY7uBn73LYelzjlHktv/qb+XwIwn6YzwECIma146I18H9Kb+TbMY1cy+Y9GdbQ
OOmQ247h0IGHd19j+NysCDmd0QfqPivPPrAEwXBDZeO5pZPlVTiHNLbYD9p+C18fn+4U24G/lpih
A6rg+EaENlv5lxQ0cPy7Dk54RfBVhCVsc0FvbNTBiU2Cwuh+bQeTpztjD0XHCkdH+T5tkwo7htbh
iuVy8QQTQDxWd2Xs6vER/L8UTYBPXg2tfau7pi783erU2jOGecliFHhq0dYUW3hUvIS/34fxJueo
ypjFXKUcB3GZ0T5vXU4aTTyeYLpFjOWc/nYcXPEyW9rxsbQsp4q+/+JmE0cIz3pkxFYUMnOwdReE
NS5/UEmOIckQFtFHn3WHI3HaWYLzHK+aUekYjHr8FlvCt7gFG7Y/1IjDMChyWposRKQRMkyPde/j
/h1pUXiaQlUuWnwM6zzqgEDhvRz2Ss2QZk31SJ2K5/d58zeRcmpFJ2EOsZGNZ6OaBAxh7aya5J3v
o65idLYSR7w+aTWn9g7MvcHdu/d0ojyre4NwRryM7G4TLBLJsdPHF8KN6KLdIdjf+HVtgUj0kFx3
V0MUsp61z5NWddkt4kXaZbSRg5buS4yHK3VR5+f/Giw5d17twePIdV8XyAlh2Ca9IGIRQ25zcPA1
sLf7Tar9jwpaHBtMB0dovgdzu8CyHRG8/bdnrOg0iyTanxM0XQCK7aHqV6xA3RTQrhWaivHrifij
ZpWvtwF4GK6ALiRI/7SHz3R9m8oN12fd3dY0KC1dVb33JKsEo0MVJJNKA4L/G6n/6+g+mwmJCZxn
kRuPKP6n8FqMUQJpA+a8NnfaYACNDFIqxYzVwCRLqxqcfLnOWJczV6JFtGJpRqsXvyzFYdCjFUOm
OMjfp5QTFTl4/B7TNaJnwrxTgAAaPtGMTTRusq9TEybV/LEoatnStBFXxgbsV9eEhZua+tdPHTuS
1+UM4DK7oBNgboZ5zGu9rEvLGPnrmLyrkwaHsSvlSFg3N0oRhv1V8weBIGSngQ3qIypUS3jUpG0V
wstlB6vu7bArvBzCAQFFbwkVMupb7Hs5c4rpsmJw7cxpfVJtRo3Sq57MVMJj8C6aLaUYp4EKq/Mj
gpLojyougxXngv9yDKT1QdoRQt7tCqQkTyqcevkQf2rxCTgVQ2rRXrBHkJLKrQqZhGweAK61ah3m
WA9gJ4fhsMWkghwkHc5uyaXlaCymsDY04RLKDqhQbrLEv2N5tL3hVGNVsL21oaiANYeG0bOBl6RK
giHHa+JsULM5SGTTiY7sVKY3zfZSTWFzSfFb+OBASyo+oeuEGKqUuGsF4k/nQswrZWgXTr/fJpiy
TXWNlG15MR60v20yhoWii9fQPirpsIajkB1KQyCsej9rHuaF/a650PMAY2qMIiQ49mTuWEpMj8le
Ca1iyCPhkyievGu2B4uqhFELPUI1+TXjsO/oyRRvBqtMoIpqPui4khxXXVWbPW/cMnpTR3SQt4dc
dZ/1BQedJSSUsQ/FonvYQlnGOZ5Jx6q0hzhwT1Vdlr20h5otds8ep2PCSJuc0/z0zjNrfLzvQiCF
0r7ZXerSTVsKVxopqBQSrmtTD2+qATeCD0VWrMl0hpOxZcbNzgBLMDtqAiHJjshjmIF5AsaRfMjm
pU36eyKq/PQ+xbWcwq4FrOYLNLnGNNyc32bH76gHt4gOwLe5ZS5zxMnMxKAnprtFuooJnbmmZbcF
pEfCOW7YVO03+mHaBr44/TWcLMK5byzpIQt8vxtSAupft81poK/p8I9udkYhkDTv4qDH9i9S9EQn
8KXBohtW4yo2P1jjwqX6uGXVCqqrqAi6/cQmyRDTP+jOD44D8tZHd4XOpGnp2suqsAxI628sO9zH
Fb6t1ULZR4cQmp9a/EwKamjP7nELj31b3A0bg9O28+glFp29s+ZF68loZnUwB6e2SyyjvWhObqJe
GI1YGWSqrxK1WHPRkZtKMILtNKixNsGSvV+I/qtCVAnS4Nk4pydHNaKrhFJ13hWWOJcmC9INr53M
684DItv4E2JIQnoeOrsG/7/SmVoW0AZ0MAwdb+lbAkDXacUZ+bkh1Y8xih6/GEFc/Wmqv5XHMrIw
LVkP2PvbFXFYthNHXcJBTvY4RApH1bLeBWmCyz/JolVaPLQ2eS3tpWzMZI6eRw6hjMmR8zrLUB76
HXynRXl0GBsUAqa3x1jEGUF1jRVka45EzIN6abuseTYPqhMWHJQSmhXAxiU1gcWCgtNXHXWCeW/L
JN09zXsr+kmYpkZBzAL9ce6Ri9BPbx+NgVtO2s6c7vd2CN/j0kgO5KzVCIplvRx1ZhW38psQZCaL
6owejG1eGzJUiSuchniGG1gRUFKj6nTtMG8/oWTd+YWCOoNGdDFNSTA90MgX4oYYtHDdMY0WZmQR
90L/0P5QutXt1KW1gQySuPjVRZ9ePLl2ASn0NPpbl8wkPw5ogD+QsDP7c37W02wxlljohhnJkaja
TmveZ1b5HlAqDcYZFswxl+cQUmb1lDWFjGDHH4S1mimpANbaJobYvc3Rzfxuyxzs+OvZBZh0KsxW
ksyEGtXkJjvRLcj6gPCDkyJRdd4ExxLBo/B6CvQYLAUJd8sSovoPfYZcoXj0qcPhysQRTNTgQ2e1
sJ4hu0fyb7ocdxXVxgD9nqtzM9t5Gb5sQUBKpqZU6OvRdBhFGFljw22dj/p9TYpDbqEu5VwMDGDI
gp1iCieRCjlW9uONfhvWHE/aSJbOJeHY9/o4OLepDNClptXnfGwi1JUezXWMrf9JhAr6Lc7EPwz2
HOIUEoakClLMb1iessYMioXJ8nw8ZJZ+2sxhDni+vK0qGlX5m3blnEu8T+Cjojh7Ayyg5c5XeoVW
MeITSeP4Rg4Y3RxidptQdGaH+EvfoGYJOorqBVIv7W5F5tFLjCJcacqH3i5jRXXz7Mjl6esVu5oW
IciY9gQNBYmPFCCdEj7AdzSl9+9jPl2/nxUBfFbdVBpmcmApVUNCy2cmtUFqqgHCZ6lfNFEp62Ox
hKLXLKwtjRh0RSvAjlfPwhlIvPHg2fiwyZjm8OK5Ky1Io78kLd1CrYD7Yd/SH2xfzdXZXUTNjLog
2HBv7yZaP+HNNkLp3HtKBaSr+dxOhOYP8gp92F4OY8hKsci0sqTEsIFtP/BLITlrkYxiYGdkdcfe
vUTSmeuDjQMonpb6vvUg0g/jO4kFDrC8HEVD1g1qfft6EY4CpqFzGinE/PySLFgpUcZYGJoH59TG
ZPbenmE/xmSXH8VfPXk7G/fm2XnVPK5jawTlW69HhEVz1evi5R8McVgsL2UMH8blZNUF/heXv6SW
VRhaN8eOM1yLnm5PcKpHT9At4hUF/gBrFigtDC3BLxgXIb8WT/Jq7CQEGBqckAbbaa96uAinOQwW
voRR3QNWuE1cj9ETat9c8Cu4dHxi75XyR+RmGNyeuKR4/erMNAG+LNhOc2OaPAe2yyViFsbljpKF
VsIbptK0T35uF+2fCC8Ep3P6UHC6YV9l5CrYiAJi4AcNFCUKBmz7VibllNFhMiCvxMLQ//V54vVp
ArYHdihY/nBo4jR3nDb+6xCZln2PgKJxnpeMbaZhQgRrTgfqaGu6atwN9rI3UD7yOXfyRzXufn0V
P50lMV0k7d32wb94K6+9WQIzNXzXGOyn8NAv6alTpIwGaKPHuTZfZ6lANImwUhqJVFVGv76YV0Yx
toVlHs4/8F0ssjrwhPnxXE2e2tgNXjw/pd4qcq11pspihTlIolqxAScAzf/dr7/4p3fh0UW3HKp8
YHELjOvHL7bHkCSTyJ2ePLXhBoimcerWhmqT2+EuqGuBOSOj2P0nUXX7ry/j9f0DLMjqHlg8BA7S
r70D6XfNQ4J8/omQCoVapsK+B8IWbhvHfpFp6LP8r7/5dTKZDaiAx6LtYoxGVyB4fbZFUJVg/Rwb
b1OlCSmDmHPPNcy7tkdEeuinNDlpVWqdKexkPdYcGRe2Z/yH1UJr+J1f2+shalsBz8IDqIgsLIxe
tyx8CCYYqsXm2+8KPcX1Hg+toBqiSurwnb2n1DKeUsH85jnJSPhvCNTGuA3rSBvVD+ofrunHkdL7
yOs9ly4ufSN3x8JZEbbgs83mxy0ZO3dCmDsG5tey8AWOtpy+tr52Ewb5yTnqyEsAhk6CCLWLN5cw
SX7jl/nKCIY0DdfxnMCBvhRYmPK/Mlvq/G6zPKT6bxwL691vmgE4QmH4nV/Zq4ggD/QLuoVNuI4P
15luxKtnYcYmx4Nud98uVRju6WfH68e2uMdfxMUViJ2DpTMgYaz6y+ZdgP6scx5RTpG3DIPheQ3w
HVhIW8W2YfruuLSUyL5ILROXsC9UhYj9tRqIO4+N8fbr9/l64uPv4Xqh7dv4sHjuT+airM8zLvhR
8KRpnfo43uJ6woKvxBZh5gmrhY7FcLNIuOSl/voivB/tWHmQtsOwCgMWPtxcf7JjZQ+dBfveiEtt
Sja1uRuasH+K5qiMX5J1NXDtGY0NIteHnZ2EEVSoxLBMuSgVuJe5z2PgEUd9hyTbhDsSj0nxNTUs
IkKckz9YMzaR4URtm925Gw1sDiWJWGgtlp2AxQEE0/eCEivbni57uwocj7AbMxAnd40tN8k6w1Zj
54dZ/y3yvQjMtVfUfo3rMSQaPnJaiD+ChRgikiooCnAXaqBQdTZ0gMIUwwdmTxhSvuml1UcsaXxK
wsjL8GxyCMycryDyzhDWUP3yFBB6Ljao+Xfm3Bltwh2k01TdFUolkoSDcIBKO01T8xp4FIHtxUQH
QMBo35GZ6F6BD1Lz5ddvz/ppDDmMfTM0PdhqqPle71pByH4ALz970ph6q26fmomT5AOAJMoiwpWW
MqLnqZjZnvI31+Blp3KeYKYLQGfuhdjh77SD+UmRk/RtVzTxmj/NFZehBeJo6Me/a9m+7tj6tGux
iJMOj4XB6WszcIccN+Bys3/LKar16r/R3qVOfVMsZB1spL3RYD4dFmmHVk5tEOkMO8b83ex4teIG
OFT65Iz4kW8FQM2vFrQZmngf0NR7G+wGTXVQ1LhykouxArZAVvi/1CEBsc8sovStA8kPOwzt/qs0
ozsDASr3qre6danLxk4VhQTbZVSorLRYu/0GZH7dWWAJQOQfhazNgPw/FYXF3Ilh49K+zdI8YKGp
OPH5X75/fxlgEP0+iAbp8cUWfne/y+/46fsdACu4eALnu2wkr5b0utzScQut9FF79S8sCHKQ+yFG
pLI80Ul0NlFVv3Mn/ekCeM2Qgn08djlosDz/uL/6YJY+GXvDAw66x+rhHic7vc0msGFlXfaAC7I7
D25v8PnXs1lu8L/39xAmJhWQ+IFymP1pQyjWxSUbKdkecxaX/Y8wnHANSwc/BlngontjuPk26VW/
GeT2j8mTnk3NyToa4UBKDcqYe3XfhefMzl41/SNRF2k3PQdu22wvUdXn+71u29eF1TifR6uX/jl9
ITlj6e09i+1cQNcunzgtDQEGvfuZ7AZwpltvVwKxaF4AnRRZ4emCVowhFEgiNpodthY4ZJCBmz/p
3wr34teP9XUNhy02A9tlMwAjkL3ux9caw3dacY/IH8doxmrkBKk7K4ITOXV90WFJUcweei4VRuJt
YPPfJlJdZqwdoMhN/m9esvf6JfOsec2hXBVNtNeHnqWEoA3zLH9UdNTsELWpGlJhT7+++Z+/jpWL
lhHku8Bke371bvMMv5WI4OuHRHw9v33XIpczpfKoCO2/+cKfSjM2XY5RLGJkSZqEx776ymGICYSm
Gn3QYiblNbAmyFMx6FikwSPBbnP5mG5QIi0Y9T7mS8/2BOGzvJHaFZv9I44aBfidhsh0woeXmCKn
UerR9RAvK/ERtgeQd4kyJGrkvbdPY4lel0+le+JtMECIaok36Zu0SqLLLh8whLXrRBrTMBgvivOq
pGRaauZNsygGgqySlv2YJj3ATDgpwm+9COyU4xQMHtjE+Hp9yNTRDKEVfkHDXEmuSDUjeHoJrEzK
uu/VSj9nuwkHtaOvdEY/Cv8oU92euTZE3beTLM7/J9FCtDo9YS18iRbTNEntgYXN7SS3xPzhm9Vz
GHJfQGrYmQLfaP8MuM4iuNKUY3V2KeWw+W3DuG24hb3hJuNp6Y1+8++GiiSO6D7vdhLQFCJgmgtu
LghjF0SfNy8h8+29elj6WKSX4xzncM6MGq3RCHWDkdr+orvVgGmH3P8AGhQgCaIj4OQRr2rWnrnl
dzFxNZt1Vla5+swZ2pE8zKCbRXCjG3D4QkjoZHYgm+oJqF/SJbVbu5n7oUQVOuNzAqzmUtWAnbX/
oboMCSbfkUh9VURp2ARlNpLVnXgEilS4gOYActkxXGtL5FeGUqXCROjrW8u0ivyHym6X6BGnxmH6
Iye0kGwaQG1vjy6qLInEurm+4cw4VDThyKtLHPxJXBd0Cv/E6isUqyw4j6D8fnedzVZUX9rMRvmo
oCozEkz0MWSeT76F3ahzbcqCKI4TfwVsNha56d1pJXoNeBFBjbSI6PhrV1A60u/ReZcU/lJuF438
aqoAEmpBOzX2GU/YEX/DBQCR/YlkjsJ97k0ce9Du71Ox/6kkR06HDOmfClEf+Y1pvqfei5Ji09Cd
pr+BTSz3hU7sPL0jr7Vq7RuGV8b2Erg7qtF3mBuJPNlDeE3rrfCWfcDGON+tobwMqvmoYWni7kQv
jSuuaOW1zUQASMpg5VTuW5zc2ryhhRDQ7NpvugPNaihE/r3C03f+EITFaNDwULCuFkX2ahXQBVy0
+W72GXa6lX9Qw3ryV6ZscUzcGQ+rDjvcObSH5or6XYah6pDHBiD7m9awMVU4z4pDpECBgpQiBqZS
Dua2nXsmHswELe6XFksCgGntxaTNsfwc08D+ig7Xm8ANS4QU8Ez7eH4OCidZoJRpH+d6Tdls9Z2q
IRZuPjpJrSxSEjxtIKWmehFGofEZn8rZuUZq6dINJ629UhNnPKxpzQNR14/puxI5x0wXXbKSDCuo
HnxR3JKU5FH5qmghlYtrOGsP+aqJ+bKOVBcIH2E2MoFQdXTjp7ayYd82jjdX4MYKWVdtET9cZTQi
LUcYeaeNdvaVfAVa4jyZKLmo1o0Wa7oKXtfmWRGoOcuhEBK7bzp5VgvdehhVLPCYzqKVUK41ZmoJ
st9ZqZc+eVnj72ju1EKZ1XHIIlqtjce4K5rULODXRgZZkKfIcFFgd8r2YVGfR4YRCm1n28I/Ca3m
7Z5iVPTIlsnwsuB76yOmejXfx/ax6g08BRZ5rfxTKyUBDWKqE/ZCfGKTlV1Ae8qpnvF33eOhldXq
1QQH3P1lnnz533qX0A1e5UWilwcFZ2qHAC1v0wLFHu4M47LGqa8sE2zjMu4q6gwcs6HXcQCezrXR
i++LpYT7SgSDMZ5LlU70nhy/UnUO/p65dIhl/mewoVVML8sGNR4LcoT7/H9HHfp1L6gG8uf6lY5a
vyBTSWdt7Kj37GOO+guCit7m3GCkplnCXfowGjcpmvHo3yh7pk2Jj1Dp0XV4cigz6JBo/eyo1pUW
1RSb1iRtT+MK+9EzG1rrozTYqNPpIv3VKv0yisZNygT1k6XsPVb17ap2g8QiBwdNgCpIKmQcFSyo
shlPNYOPLCphsQQqlYMTZ2U95Ua4mW87JFf0d1p0OV96UlXSzwkdTSy/gRiMf8ocPZiK/iqVSFV3
wloIb2yIGjxXZgDKTafOcSslsNueGbGOil2JaAsZxL8QwAMkGCdRXTg3w4dt2CAROPTAg0smNUBN
u0irDHTaLcMzERxxUl98oMZpuE6mSTrsdVSG9WrYRs4RjKcrAb3dk+DLCnCfdfYE55Dg8r2OzkmH
CCA9I412jP1WIglgICgdpV6QdeGoB7pSHFnFJrWFbgpicIS2WZ8QtbORpm9EBil7eJwpRzZd406q
qNLEIpu0FV4kriYiICZrSEaM8sfyatuj0CJUXtZZqP4TA2Yf/HT9NNL0HHHNVGEdvaLDxjanueaU
W1jSkdd4KN404UF7eLv6E6kP+USc0QSFrZTCWhOSlOUVmkGReplsBVzVQGOUuaD2I6VAMw4XslSt
Tqp46lV5qL2LdLsxUc1d5c6o2o16eCppqbJM8FVBqkCeQVW2MJx94tznFAEuvE5oMDxJFnkwo/sc
WxsmemaEElOrRrN2LcjVnMuFSi0WYbMDi7QfICwF9+FYd02GLCr23W+VetnN4WA05sT0Ea2XQmz7
4Pim9JedOUmG+Y84mWuvIYtAEujKMBAOEkcA6XIrGomRH1plT/VBQWiqEvYaDhs2Tm8u1fRZN363
wcMI9pbF5L6guVT+gHTSpajOFVPLorzg/XcDDhXNe3PJHAuqk3LW85WLl3pIeo5B0N/76RKG2V76
9xqsMJJlLKxzgvIt9U9dPh9gM7tkgRBvZjFChmTSPaQ1rJh0TukJgY3vwbzhFGxJiZ+fvujvOv/V
kLFosSUzcvRD1tFD7NBN556F45Suz4Pirfw/9s5jSW4kS9ev0lZ79ECLa1O9CJ2RWjEzuYFRQsPh
cDjU098PEezuYtZMcWY/Zm1tRTIyIwJwuJ/zn1/gWo/tz5YmZBTNxkXgrPK3v27v3mMUUWgHJDIw
H/NCAlbfg3Sz548iS+ryWJUNNPAfBq0/XGmm88zsh9fM/+qNHUiPiEeY0THjYEz2HoorC6eToZjT
Y16mMvw80SkEyAkaIkGJRpTGWNXbGpcFtvm/fuMT7PMHWAZ4nIY2dJnQMV8hROJdVIlhhE7Lb08P
9TA1oXsBKNn5yTEi9BSyOHN1HYR7hMitBXlj1qkq67WbTQ7xqj5namtfFSe3vc6sQuSLmBboobn7
6w/5ngkL/RVHKov2Ae8T888ZvBMUiyBoemf/g6F25sCNBN6CeIg2X+BSMxyb0tghqGrSIMe1LgzC
x7Hrm6bZi3KEQbeysTwwHluRGSJZw9SC1byqWAZOtXXPwfEyrcoSeVRWGjV8WK/F1niVUqk66bbC
sBrQ/vy0eCdE/fQ1/+PL+P+Sb+LufNXVP/6TP38RDX4vSdq9++M/nkTF//5z+Zl/vebnn/jHdfal
FQrH0b981f6buPlUfVPvX/TTb+bdf3y6zafu009/2NZLsP29/tZOD9/QYXSnT8H3WF75P/3Hv307
/Zanqfn2+2+fvlZ4Q2cKY4Av3W8//uni6++/2fAFeRL/44/v8OOfl6/w+283ou1SnL27vz19Qw3Z
iTb7pv6L3/Dtk+p+/w2vN0CZ5eXLfzv+34nfBBtzAWuYqAEP1suv+/23IPx7AOWZGajPXBFwFOhM
CbJIfv/Ni/7O2M2HlEz9TqsFaPjPD/fTbfz3bf1bras7kdWd4qd/AsWWiTOjC5MIVDxnlzCJd5CR
LCTwo5FEr83c0lSfuaojbOb+QRhuFa/+cG1+vP0f3842370h8VOWw6e3bHaSZQD3DthvjSZ1dR0k
L1al+wzzSlAGCN1ZwXuZXo+W2OtcxOs4cJn+3pGlaW0G5czWBtfPIrsXKXp9HFwGp3mDYm4QatyA
hVxUhq/j3SyxrtkhT9H2bZE6/J5a5ka7rVy/LnZ+G/KazJ1LskQQ5lVfIwvvnBuzBjLc1zZEQcZS
fiXfPF0iQGX6N5m7URu8i/QSR6/bZFE7y1OxIeKWv8FhzrWyDdkEMwq/0cXAaTcM+fIN4B+/xd6Y
+K9lA/UIQSpK99Xcuhhx55YK40uNmBBoAWkWpGjd8CWzcGrHj36Hz/R1Gwm0yIKZqnvgJOICTVPO
Kw0SPGJocyNflcKI14xTaKqbRJBqdLDGZFEwD1i9YjsMDHoISw+r4KiGfbnJ8NK5mIATipeM2krd
4JYg568pAyCE1QaGvc/nuzAPDVfeqiSronA0v6zMUcQBqk2uy2cIA2nfzqffP+J7YDxSuuIJQOIK
E8XCJRPnOkuhSq9yvxkni5hsNRYvcqii/mh6okth5fa2IlFK0DvyRUw0+rvzOsitmv+uM5MvAh1s
Ht2NOXu1tOjMUxsdcZOh+dvmLnZiF4qWpH/oPM17yaHMi2nd2JqL6DVBk3tbK5EICM9XriKCmsCC
2vX6h8lWSRdujJYDZuNjqQ4IAIe02Lk6iuJLcyBV8rMpp37qdkZt9tbWJj5vSUCup5x1qBtuLCRz
VpoukyCdV9KK+dYoyvrlIxIkgABnMspCXCm/zPn0yNK5cWmAMfNzpTARz1cO3U/xgm/f6XO3lGoX
o05xQm0CwVpNw4Ibi4heFy8jDpN5vg46RjnpGooR3ffW9vqOA2Nx2vbidcYgd/yEOtPjSBiduP+Y
C1JbJnzJ40h+8jBXMK4mPM3jy96Ou+LFQJnp70OsI9ptgFs7ssTTUwYZPouaNX7eQ/cUBZnIrkSE
g/u1AaqAL2M/+/ElhvGsxmRMuJpN1ZBrtBYmFPyXzo+Vfdt4BHt8iRLD7O9CrzOGZ6MigQvb+ZC7
keMW7rCkgVd59jB24Zt7IuD2ALqxkJaxm3vwdMdUoKlJrfdXrjJsVl5ssaabmrHhkTFGaZRrCN/8
AztDyc3v0DRDfRO4qXxmFjxyL87P648fPFUSOKyyiFM2CtiotcVd73K7eYPONrO52FJh4bXyEoCs
I/JSjTs+aoH241CYfr1jntOrFUYnPCxEQ3Lp4lws2xS2r/5eeJgX3CJAdPsHshhYJL/YQpct+d9V
EVwll7kzPI4TZYpAw3c7qBaGarwi6T6MSYq966oIMiMjPRlTTRahjc9ydq+hWxdypclCB7LDDRv3
6tUZZ5oIW8OXE5tyvmmdub0i8LtkL3SnIOQWsmf005J8i+ckqjM1qRaHoUDnb0kG8IC8eSraSoP2
TKF/JBlz2RT++iv+6YxgDrporND0hdRU7xXEqN7GEtKM+KCrqs+PXTP307FQPQ+P1QeZtf/rt/u5
suaCMvRdKk1OYqa/9vu3k1HWV/h2NB9M3SXJthcM4A5GkrXEg4Sw7SFBZDL4+tdvai236afb6IGU
RlDQoTnR1/jvilu2pczEhCB6bl1JpOY6I74sQeEf4aACOR7TmVXDiZF/n03CraYNAAfxu8wFdBUT
l+JnbQp/OOX6fyeDbrKGrWHNaWLuusRif/rFp/2ZIrBcIyZL0MVckwHTf0FWEcKhAnfC56SUAc6/
unfdZ6RAVb46n9Tt3BVUoNNcjDM7ZRfrQ3B66G1HwHD7xQp5HzXL5yHCG0wc5qtNEfy+brGgPBsW
WaTPDrKU+JJYizES2LQNnAhDWyf0kWYeVJeZrybWeZz4NRsF6QjN+BErkdg/osFmy0lmH+CIhJqW
s8ar7Cr/PuUjCztglmXfEunLtUSu27IfWLXNxv3XF/ZPSx2BPNo+tPk0OO6fyH8xXhASNpX9DIvF
Ec9ePUbetIKrk6o9PgjZ9O2v3+9Pq843sc1gTowcFZOd90w26pJKe+5oPms9K7wK+ky41a3Th3Af
f3WPTszFn5Z4AFEMRgND/dC3vWh58P7AqHAZOeKE4cZPzTB5g72VgzmG7vepqBexkESZWn7tTM0J
J11MNK8lMJW6GSDSUUhk7dD6CLVnrfSx73F/Ndbt6VBg1CiGQzw7XfQJOxD2WRfrpsldk0Xh1NCM
hrxQj6mDcuU27BRH+CrnzjKXnPtqvrdmNyZT5XR4IcZzSOPoGQ0X5k66XR7s8dvzs1VvWvKOQ6EP
9okxOQQHEQIyHGTXypKRg2cu5ZiD81O2Idvh5O7AZLFWC3hOHXeuRxxqkPgyyGthPXd0rzniCMNH
cd752hDes9vjX1jtkjqgNEsjotR2oSp8Y7pFiE8hybofOHqHYHKN4NhMiGEDjIlGKtqs9Sm6FPkv
BD31c51/h0g5WZvz3yR8Wtkzn7ORypOUg0Uf5Oa1KzGkWuGJhZ3PPonCJVteVoMOh5kqFMOT+2Hx
Ak0vNI229zqZHqqVLzLg9ojt7BUcrH4Pk2BbRjh6b5pSNG95TS4VBTCAbWhe4m3Z84RNHsWLEzRN
/t0dRqoEi/hQis3SyKuvHhk9KZdgKRJizud52E6VmHl+OWcGTjRjqKnKz48bRlIz34DT1qFQQR3r
77Fb4NHEapdqy9UG9O+Di6Segz6dhKanKFsVD8/arZc3LrE31KusKGPv9Yd0ROmZmoMjmqPbLtww
upWydz0K9L7ndhgYHMVkpGDThE4NL2hjDQphlF/HJB+Kl9nxltttSYNz1EeJB6DZnQu8ki4TheS5
QsnjNhk31Dq8S+VlfPzzOzbw1fw9trnOhcx0HgHuD+pTKOhiDmdjrXND0J6eCXLr4djuB6M0vHsX
uLi+hA1XNphR2Ojw8N5tuNlf8dGgInM9hrnYkqlKTMPBi9C5H70w5kbfOALh3bg//2qyZ8xGrNqi
bmS6Q7URFIpw6aXvmsbIjKd1jfmfMXAaleWoF/OyKv0VZ5W+7/0RSG9NNQNL3ySXFpHtz/sDJEQ8
stA3fWhCS46PA/rFDlsWoyYf3HTq9nt3areMCiVRuImYnOLPjnEsd3r0dTd+xBgOmdLK8ubJR6ll
JEg5NwEM5fEj8lMqToAjLgHWAsX43IiaZdP7iVVWG0OyPC6Ug53hbWBEqllBGumaCxe7zWzVUENy
HcF1WAKUQ1RHHXmIJVMoAEZayKgvqq+54BZvLcpxiKKmw02lkZMcgmUr3eSmwrDHutc6tHLjiqjt
PvXR1unlrO81EWv2vqzyjPzOqJZLFPMIeRGsqHbxuFBoC4kJw60LzU5XP9dMIriJJe75nrsbyyGO
res+Ne2IzITYobeNSxhqOwMCKJ+S7GTOQSs22X3OpS5pGTw5BDSwSriMjMnWLcIo/ygIAQYWN+n8
ebvWKdtc30ASIEPpoAQWoy6thttWz2avegJhsIjECgDPfnSH/k1KfStKeo2uWwLr6iwDwc09awkI
A0Fd0jCVxUXySV+0b9MZsgzlHDzWy2hOOIrHxijUJiasVRytKR/oS/Ju6chTkz2uR82PuzRwl5nt
zhubV6UljmFM9vG1z2NQy0PV43rirvOBIdl2TqMi/37uPG0ejLbCY6bT4pAmHme7OTjwU4h/0PXd
7HqILpnyQDO/nDg58u9qiCiex7Sg9rQysN9iLSwGB09+7Mr02bEcT249J+Ibea1raTQaBbcdO9m5
eCpxpbMusBnxojuuok9GUZgIz97EOIJl2yojc2CFOJUPYJCZAxcHK6niJTI0XwJyLS1eyM4HTEFW
Eobx8VR1e2gQmu3PygqD2ryPDAf/BA+bb/TTJRs+1ACjCgaMfhkIvxoUW8UGA0lJXubYQTGtSFOH
UYGhpIUD5C/4XfgIvXuC4XQBIQFNoy2EB3vKdf7DCT+pOq81XOMnC/jbCy5H5ir6yvRqw9X9V0Jf
5JiV7KseksfM7luV7CaJWTfzvTIfnxeHMhd5sfL5cuMJ5VEzmvDN+UXo+ZeY8Nk0CWuZl7adHLmK
GTNuELn3kA/2WNzgo0GjSIgkpfKQJywt2L+cZN3scMObOIyMb/TFZMo2aAuHZzOfef1oxml2bwpI
Rs8I1DkoUqcp/Ndz+5ujfy5e4P1yoILkG/5RhgHd3vlviBHjppeZvQAkZSDHj2oyl3uoFSqyVY2d
oSVXiHkC92Hqujn4hALLHei2vKEPd9JY5qTYOdLzHid3IB55xeOxTFLtmH5vH7cR7y5bn/8mCGip
bKqyEgAIRKXYFBzkc2m2Jy9JloddAXZwKp2qVs1BzcvjKWvezjgOkmHOlal36azjxeb2/ryr8SSy
M0KopDYXo8Xh3DB/+CecAkpDY4EjqFyqZyPuC3am2AHIQZXFHRBY54RshP2cByg4A0aywQorJY7n
tYsr5Wyu0Bbb6SPZEZTjGHD5mZ5WXkY7RR5sqrAA2ECVWfAfMlXrusF4TUwJOBHy7naFcMLuv5L6
EYiNkcFWO57HcUG2+Bzn0GvcgyjZNtekG+ekHOGxqqzLgDxPC+qWqGqQH4HYc3i2WsGdi/2SJysq
ErYhH7Pg7D6uraUDPiN6UN1ZFJNtsRAMm5ihvWUYynjsGjlhIshYvnk+g13CCjkg0mhYVmYKM4Oy
1XSX5oKCYam1cObjnWQS8i/nD80YadnYE+4MduOmvVR5nFf0FaNFRXU+wLFLZVcZhG0U7kpOerng
UCQYnx/SIaWOalXL3uQLc0kHWUyd6QxpEv19owM9ftSCeeOwQgK5FAWtWoLoriqMFRfIrh0stvOy
NrhlVVQAlgxx01vZ2msNTfJgrWiF8OWIubEtZTsj5jFQaGFfkF1xYcI0xcVr1+eUg8SFjUUrttUZ
QbBR4LMy8d7zc/cztU1K1ChRw6VZbWZnQnUEirTAjTgJBlP+iKEIqDeu1siDSTtKaqYes6UXDJXt
dTmd7KGxb12kVtOrKT3M7ApQOw7+E64zI7/BgA44C8fqNmTclqyZTy7P3USMTORcgHabmNDhuNkx
YHkuqgIrmS3nX55vEK+w1zc2/i27Do+/djuFOG/eKidT1V3PoNi4RtmZyl+5KLk/iz3c0Izg+gSW
RQy7ZzJJe1fqYDocD23qDM9EkhE/uSrsOvURYRo0P+RFsJMEnd+xijIRGgUWvXLG+whQrbVQgktV
xKQUY3dg7kOkSvqJTN1svjXkYHl7ggcdoiHrbu7R69eSarzJrbyZ1yH3ssBPCPkmza2eH2ZoqPZd
U3uGeNFBWYXf7L4OvmhZQddYo7Rp8gedWbwh0b2dlt1OmaK1N049ZfEuEHXnUrykSj/gldLKA3Uk
CBoeNFRW5dzjuyROeDsUtDj64lQFgWU6LJcKHqPhEJhK4BpL4uVfd7Xeny8vMxTL9Vzfc7gA78EU
lK/QQ92yew57fyEYFOwNVP3IBZaijbAdm5rvjLmPaReMH9Mq1sV1tdgIbGqzAOeDNgaO7HQVOPKU
mRQhZ2ghCHoWfSWwoLw0GkI4CSgpBvaJHwKOPCkpN3UcNty9cnTsqUTO2Ublt7b0vb5+cuKaR0hi
gsojlOclgKZ0YzDCvLH5nbAO2G4I3oFbC75Nzf4B7ciAh0Jlpcvue4Y6+8KkXorK0cVSRuJSsrcY
njMw8IvG2gAykDHr0YT3D/gY0ms4QrPIk7Yx1S22rf58cW5LslLSv50t9M7Vy2KgBBCSds4Do2Al
419UCT+T+1GaMl5Ct+WFyMXQ7L1XF0wEshKOFtlPKeE5bYb1ZWbXAO/pMr/gTOe418vk4gKUvfaD
XywNUMOfaxRUOgB7JgTsRfLlQxz6ucsgogcjA7Czu8wtqccOljm2fmFfqFLr0u0uiy4Mm6y6F2xM
k51vTYWgeZIUbxEWsTH+DR3+U09Z4ZG4gutfnBpD8tZSoTb23RDIZOgdIFbCDu2nHFeT1v8E6SN3
wocssfmmb4FLQeaqFZyjAfx0OE8LAt+QxeeA+G3jNa04jB6IAW2ldbSqGpR8i/Ud+301Ii6/GlM5
d+sBJ3HnkamJIa+JEuH4zghVZB2dxjPMvakXmsSBrLLSEf5LBNAVMyc2CDbz81WUshZu9Ck/tMh6
qgLtxKAuS6o6DDPVLlsFkUzVV7jNS4W7TCf3wp6XQzozO5DsBpFX6q31kI8CBbceu+usNl0Sgbhx
7oVUMwfuAFxCgVXH3nKSnZrdAfWDe4H3BIWKan1eNM546F7UfU71lKBGXshtc9oxSyGy0T8SurQc
rDMF3ouZ+3wJJ514TOZTaRelGTNDXP2XZn+usNj72FcWW5BMA3a6H8dCnsQcdFZU8UihecBP74L0
v5oRQTLNHAMkrXPBvIa9FrrfrNvM3HGeLkOhUqYc/pRXVA59kbfzhZMOXrS1KmtsX/KCB21PgtLi
UFamcqELIiSX1WOEYUSDz6uIBvORxMpGZ+TQEah4k3lpnh8SaU06WcVRbPoXXZbk3v58JMU2k6dn
jvNgjLfukJFAdWBxWjz+Vi0UO8uc4Ub+quDoWKspHHrKU2woFdyucp7Fgw65hFt/JPiAe9kkXIzE
0h42zsjHykerCvyEiwCD++6M4BRBw9KZLAvDlbXPiBuq+HlDEn7ZcceV7pdypilwYnoZRchyI3/E
LC6shDzzte4Gdp8qVDzEbl0sEwgQFjMcPmaZWjr0YeTugldj0pZ/T5ylpsIahg0vTTSrDiXfciqk
WOuqbDsp4UYvJsHy+fdCGssADeoR7WM+dCNoWsaevz9/LUhd7NOVdDwW3NxRd4tgnKfPUTgyYic5
YHFDSWIexN35B4oKj5lmRWQlmyOyXKpuT/ZskYnWIw9E7hveKyofcMRqSJfvbNagOo/0azWFkGdn
rIUzgEPdztr18G5mThKlnAvTaViHLQwHQuiVsVp3ZCWmFy0EFADCijDLBxzlqToXHmC570QTmFd2
p1iNJtSl+KCTBr9o38E372bqRh7RHPII1V9UWVVGuPayy4duxliVvJVi/tx2cOQW+WTrtp8Llyi+
SzpfwznojlCm3XklSFBnjbXf4mYdarnMaOi3+cMkWNocVB007mNz1iBW5ycpDPFY44tZ0/JDgiNy
heXVqURHWQI8BwV3KbScmESCnen3XL0zwolOkuhWH7jPuy/CMfVffZGZCxJ1empbjGYYap/GaZ7N
cPu2jqLxrj1NbjWSFQrICMNGUM0a04UjcCiXZ4oIVXk+l9MIovBOOQ9upenQtNkmEYIghoPPHJpZ
SsLCI5mvrTCdTi2bksVkmj+Q5iGwp6x8Ovun3sTwZt14nvs57obqkpCE5qpsKn+XDLUdrioa+H0v
m+BR1+58rHrLfiOh0xA7aAh49xDOTYSuE3bDGhTd+ghL7HXxQSMctsjygnyxCokmOoBpP/lLAQz+
PvdrgCgifeokWXC1Glr/KsPHj4bAwPth09hDp50PWaRlY34Koeoui7u0YWv7iXPwk1xsCyIXSvq3
mqHYBT2uU24Bt8UalXxVMRddkAWzDRpYbRyFww3R56QuSAva8iUilXTrqrrdYVIizWuntBjagKC2
1kZSUd2MA7YbuIhl1hMs2lDubORib5VF6EE9J+1T3wp5VQzjeD/ByZzXSvoLYpd0w1dsalW1jQGq
MCWjlL90zN7+ZpLzWW5NNgFn7Qxsf7iGR/mLFUgL421TpQBUvVFjr4ayD5+tCk/IrWa5O7veHucr
pX3nVsKtv3NtZTwFJJeH2KqCLpf0Zrg5w8jyDzESlMei1VP6ungzaC7D7D+E85yqqzTzjGvR+3Vw
D2ncrtatcJgidLj4XiYYShMM0bpNhJUpKwLZuRhuiRJKiX9g3tmTsTF47d4ddPFm+pX4qIzBKTb4
6k/lx8ZvImfb8ezFN4NoYAImTpNNb7Uxe68W5EB3rzpR2RdglnGyrjyzPJqWTuWDw/ZrrobIec7h
0D4GwojDjSUG5rTkogTppR4GJNP13I2Phle2RD1g7xRtVTTKTz7y+a10mw580JjWkyafFOme3dD3
TE54C9WCtE0gPYX1Tz6ax0l7xgXeaoE6VKrL4r1NcMRHWWTOBTs6/qV4sfjrvvBo19C6+82qpbN/
oEhvpgqYis5swyS+SdeMY4PnMXWhU5ZdA6FUGRZMlzmLr0Y8i6e1N1nw860gji/ctuvFg0MD1G8T
jHPWS8j9DbzgMNx3XjE2x3HAAe+ZRRBwdBHIeZuk7hhclKXuJ64WINBqxjxrI7DieI27oAg4Cer0
ssQ7W8E6xIneszSOFRjjRfs2UgBsrWdGfDivP1g4vjSfCtMabqMkDcqVgzj+ENlkvX/wZjguqx5B
UrG1Sj+Nj4aWADWOgGrFU0thHUHpzvbB2Jvprd0nBUBEW+cZ/lnN8J1QNznuGEkO65rFjqN1YnVv
jRlaR5qk8jWeos+iyt0VM/c+3eVEXiYbT0vzM75v2WVJIkO8GmJCFdYlCYvVvR156WvBgr1uPVKW
1jNpgGsPucmDjHRbrjBnGQvkF1X9tSzI5NmWlS0OMqrVm6isYA1Hzr+mFvMYTiEfz7agEM647gNZ
guTmc3KpSicVaxp1HAFgQZTtE0dRvDeNEmmBF2FXjD4Kc1kClqxtZYft9Qyd5h7gupvh0lvmlY8J
WQAnynB3XPBirZLBu6JVmXatrskcn8Mpe400tpfclrz6Zhq6og7x/cL6YmEstvLGKUW3gFkmeo4M
h3hhSfuuKHUzrJXrjJs864sb4gfazVhFKZkgNGLNqkpMAUMJF9CeRyS8T1O8kNHE+l638eBMp9sY
/3Z+Nd6FdraN5yzakifVA+7ixO2ufJQhIUZRyM6GvqsP+Oi7FYmjFYM4z1P7lpMJOMgoP1LzP4QD
1OULFaAIW7meMj6QU9Q8D7lvHU2BC9Fd0WHosbIopep9RpQTuq0+fNGi6uURW0Q0Q4IBGOkzTcBU
fiaMKsO13zdfqsYIiQty7Gob1q54SExrDA9QuuRjlBkeU2gTNeYYt1dmmsTfCBZIZhrVoWWvg4ax
I6VTLKCktfYx3GIRReO4iqG8I8hJIv9R2W18r7N6FGsHIUyEnFZnb5R+A2WMo+Kr2Zoq61iBCN8s
sx9WoFHUx14Y5vemII+AHdpKb9sUZORQB0H5pbLi8ruhB6WuvMytr2AnjKSyu/mHyR94dPoK0m1W
sd5WtlLc5UwAJA14rl+OAcS7J7uVrbVqwKsIUWJOoje4nbKeurbtW9y+s9C+9iLq4FeNFIdCjwmx
/zhDwHiUhZU4ZPBE06ulMvE5RAZIuVyWtb6TKadCixmyPNTJSC6QVdhNwExXDC4e75CJNvhj2zb9
Fd3bioSI6CZE0i9ffAoChixtNW5E0g+HoprMYj0INzZgsxmkWnjBmH6oUA0DsYdJHRKXjjhZ7owB
bvoKU2FAdZsch7UKHLl1xjBrtkHYet43raRexXYf+owecC9c0fAV+ia2hpq4D86eK+pSe1erYE4I
+BU8nwAz6ffe18peWbQq1qGjVv3i2gPZqKxdXDBU2JICDdNDUR369bjF8jeH2kNlQQhCJ9MDYLsk
oUBNTNUDp8eSkXlRtGVriMdbBV/bO46zSJGgROpJe7D9oYAxUL/xfM5gERQFepuQkDNKVt7PHokK
qzrHx4ofwsQGwksvrgay5ZN1i/lkd4gY4RP35Uzd5WQkU3t0GjiH1wgP5/zJHlR41cd6SA4OEPlc
sgeNVbNOgSaHS3c04CBFOPjdzHkjuwcmR1301FVlSpXROg9dRKYUPv1jMoeXKsLWdNU6YWO/BH2o
m3XUmPO8VTIN2yOZqs5OhTZAF9q/4Davmk4e+oAJBaEm8PLwPhY2vhtF+Ng7eriTlELjHg4xiWGM
FyWEpaF4BKy0xmPqL8tl1g42xSsAbxiG5oamlan312JCLA7hbkWOLe6a9rWbI7ujdzsBV/9Hq/4V
rdq0Fpzmv6dVX3+q4VJ/xsnkTNM+cbHPP/SDSR2G8KCX/HK0/CH/t1Ck/0msNu2/U+7YtIC8gEkG
xJMfxGrf5F/4JwCpZTCLt/O/iNXu8gvBaEGJcP8IA+9/w6u2zfeQZBREHNWYV0WYd2CvscBifxiN
OYObFUnj+FdBPiTJ9Y+sI3DopLyp8aKz7r2ADJy1KvqEuB3KUnUIktCL72sz7Yt9j1WOszWQ1qgD
ScxGBFoJrcXJic2lh2FizAMW2g5RRow+I/3aKRx33po5jtz0qifpIyhWhIwAQWTDTK+25BSEJIKv
EuqrdpcQXzN0By8G2iy3k0jU5xAPlCnZMqBqKERw1o8r9s1+COpPxqjYiFZZl/f9sJXtYF41aDDT
clNbzjDdYr4nibhIFJLouwJOoF+tqzmxRLb3CnKBMeExjbC4GnLdV+qKRO+O7SByVXSFU3UYXfbI
GfX3oCqjbteUSdi8VbkX9IQ4mKPf5iuvQ9fZ4gPTm91lxYDev5x8abh7jo/ZP5SlK70PFXI/82Oo
cAHD/igKM8e7LIzEsR+KqU0pa/Ucz89Vb9jDfUagXHjrxIZX32RQUvt9DF3e2ztJ2Sef8kxoHOks
Ky/uSR6Ig11h5B77QdlllB/rHJi3IsQu7iAwd3Zs7yR5j6SYl2WI0W1u1/KurMc2gG48qsWycNQh
ESB2r+YL/MOLfBe0Uut9H8oqOHrewouWzBHgjcMjTR5G+ICcLiJPwfSavL90YemMF5jXFMN169Og
tnCqaTv3TuHrYY9ZQdlcFTGTjI1jdH20KXKMe7FIVsK7ah0Yc5sOjKPcZaA73pViCJJcoohBUtIw
wzXJkC6qzyksv3pLuEe4d0q4u/scRrU+2IQBKQLVbWXtwPJy84ixVrMVCvgHA/O4JL5nSEy1jwJh
ehtDtDTiCTM8+xDw/vnGD6rwE+dwLchQLNAaXJWDrRJ/3nJ3ZZk3a0TyZvJlQhBcZwdX6CBN1/iG
tHOzISl5Mowbn3s/5F+bgELmUteZvWiAHOWvOc8jEpjjOSreIF0aco1GRczXtZ12SOx9bdcPfihw
Hudaax+zpaZtifuYrYbhJtolZxtDEMPJeaiwcUZ/zPDWvMDyVRhyb/dzzNoJ27AbL7oxJYQ5KN0k
XNG5M+UnTrDrKFJsEzkPU+Q++KIkuthoxYyvMlkRhAmU68SMCdwhZ6Sr4dZOgu6XTkJD48FN8zu8
48JiFzCz4vvgQdpu1jgp2w+x61QVo0UYiW9VyKimXodVHt/SighV8ZVj+YyA31PWhRpj5+i7c5QQ
vy6G5jGacRBL1ghak0cwsAblVtFX4NpgsXcwpyHTka9gJW+95ICVmIGI9qbXYzR2a5too3yl+9LK
n8bFrPfQzvp+km23KAFUOESYVawRcuOVqZBZ9wZ36/+Oxv+J4sgJTgZQ//3R+KYLUf9LbTT98YT8
8bP/1BrZLoed45AY5CEl+umEdP+tNfKjvzN5wKUGMREWORA5/nUkMkf7X2iL3tlLslvaEEN49xC6
+jL/fDf0DO3UZds1nbcut+BInemdZhsBP5AEGolqZQ1khF1FrYw/kv8hIaERwdrsSe5j50+n0DF+
oSmEJP/zOAgpIQVBYGO3BHMF5d67czkm/iixC2d4yaVHbpiTb7NTHdiYOC3txtytn/2lRiyWarE7
FY54FWLzLo3U+pzymL1EdeMfLNwcH3uBjG5TnKrQWMfWbrByAF8ZmB8aKFRYaC5Vq56i1F/NY9wz
n1xKWki62bBhOqRN2IKJctcU/xGW2/gpM7EwGN0G0nHHb9k4Rps8VnpjY+LzxPUwDt2pfK6yNG3W
rfTklxID/HJNIAdxjZ2MiMaLmIYOl80A62y1jILvlZH5ya3R4s7zyjC+Tw62m4VXub9kgkL119Gt
eyroidQY2mO21PnxqeRXp/J/PLUCjE47cZW4QTttqqT3LySWOatg8IFOFvA7JayHpoLgvWyrCLFH
jjXq9oaGm/4jqEf1VFppug8bxrjH+NSrIG+PgArb7IFnx4IQYPW9vW2CjPZmjrL04JybnlMDVM/U
bliOBPWTD2gOFQGx73W3dEul4dI4eacmakSG84VRTKxWAuT/pkw7JPzDueOyTHeZZshrTDkUmMtk
TKA0DA3o0Rr7CoMVGjdYbPpmDqY03pRMchFSnXo7B8GKWmNhMtz0S9/nBSj36dYkrg0uHKcJ/740
TlZwbiRtz9IlQp6SW4gw9I447BWbuUa3CcxYRJeYFOQGAJkTFOsOJ4L0K0M0OlB/aUbrU1/6/9k7
s+22jbXbvsp5AWSg0OMWBBuRFCWrs+UbDFly0AOFvoCn/yfojH0cZ5/k5P6/3dkySRBEVX1rrbnU
9YxKdSLnVbkeXdGlpjZkoGxt2zazq+fZpV+sX8+6lN+ux97rEXi8Hofd69HYuB6TAThyZAbE43SH
RGvSOz+nqXB19ozPxMQHMvnXszZiTP0tWw/g7fUsnijtM8N46+xdT+lcM07ssp2GeeNzV5cnzbCK
jnJoVF2GZesJX7ue9mfBqh4wwdfem+sowLyOBbD1N59NxPSvntTthYlb6VQbKgPyW+M6SOBLEe+p
scR01a6Thj7Vh3xrmGMdSss3D9PiqxvnOpjw8T0DsB7N56pk/AJ6eih/r9cZRt55gwogB1JzkeVx
etdcRx3TOvVQ6/zD8bg9AqZqGJlwdm1xI7rRTdRQ8yfWqQmWbTccxr550NZ5inUdrWDvZsyCQUme
gP6rb9p1DIN9iZFMiiHjRH8AHq11YuM6vdraTpd0KxPEA4Zut6fsOtzJSQzxu2biw46xOEXrFMhf
50Eehpsta7bn7Gg4lA/6dWpUrQOkeh0lNZF+anAzMVRP8CsH8ZD2tw1p7GTj0yAIpoc1uPJaF2ad
xrcVdmm/Fg6skyrAmVWQqKas9sV1lJWoyabRECfUNmlFaYV1aVc71RL6X0dfjMgYghGB4+mgwc0g
O2R6WVgZ1kO0Ds0wus07aim/tLZlb8zU0Z8ZwhbPKWiPPajQ6uCsozf3OoWrrxO5eGlamvaiXGyT
xu+3k4UyGkhndEs2GmyhNwvtZe+xxB53S59o4WyMXHSo3hrDCkb5xiblwQES/joKnK5jQX8YtdAy
J/00xZX2QFrOlpTYMEyMGxxmvF8ij0sKy9BY6LDOmGOd5053ejKCVvyaF+zZg3qJ1caY83re0aij
Z1sSc4z4iJvVrwi55RjA7xwPA7/iS1LbqHhUhWVMPTWZYahGpIv9ztpNRCV3NJrOX8rIbk5JXVjf
jYFOmXzosxPlat1qsm+s7+zmxwPVK8O+mDN3CyR0iEISjeO7tJrm6AMheqmZKTXkGfNCbCIMFP1N
XmhxvWFU7WRbBBcGSQ31nqySKP2f8MwZ7zj4vZOcjU+ZlaVf8GoZGS6eGvfgdXpMBWH50YqxZ5S4
5M9zGTPbwk/jPOjr4Nlry+44ZfhX6T3zk1uCy8kXDxvcZx7aU3ZS18k1hC2bH8460BaNzWj7OuWm
dp2J9zRQCzdEzjcUaXLquEIuwlkEsks6vCK8MjIfShvt7DpI50Kxq6YhscUvc521u0UXu2HvxrIM
ZzuBNpP4C6PseR3NCz/xn5tm9SozZdSpptWdudvUQG3vIkPr31uTY82a0ujueVEm/fhgrOrFWgUA
u5/RAogST3dCYMAKqAz3zYCSQOnvKNwcDxWAxI2YJoNDUpu7oUBJ96ktsrTztGoO3BbID96qRGDD
8pcAcGPybvj9tCuhmuGxuwoYxKxTEWQ5I+sNI351J65Cx3wVPVqvLuywTRzJjJOMZ7xRWS6wlg7N
o77qJGb+5vv5EgigVGobi8Y8JuyuaJeOOQgF+kiZViisBo2hrovhlFRDEfbFuHyaVzXGqSe+8ckb
5oUwiROF8yrauJnhPgs3y5D7iJGgLhsVonaX3yyqjOONZlvDd7SoYbi1UShuUaaRgTrURDpdOsRK
0kQoRcUqGsE0NG64HfOvrYw5qiJsll9dgrqgKcusTDeWmzRbRrHFieYkRChSYycfIe0mvepTyypV
jXHbEJbtGXgE9SpmpXnfM1sX3lnw2LwbsJd6B2l2JvhltLC1AzzfDLqmLiM9h+1+zIcF50KXH0wv
0ryw6qbsUaGruUYJ8E1XxkWH/3vgJm3avTPFlA9axJ8JJ0uRByW/fFZPdwgdvfeLsCzc9htzFJQ7
1nPnC0Zg9Dw4Hmh7BUlmks+jXciDhvnipZRcGfxh+dJsi6F16ODOpK1v2N1Aq/Gl+0pUPduJVTac
ei9/Na9aYpqNauSNrhqjrP2Yn2l50a/qI5m72g8tUaFKJt7YwjNshviG4C1HstZ3i02pbMSqrmRr
FKSrskkMiKEwzhs6iOJWcx7GqwAaZTbwEZ1MRElrZ418j6PNdQ4qKpmiU2Gun0yQSNCM0lh7SmGG
3DP2MO+YdSzn8aq/wkvW1ba/6rL5oDilwuUc3/W4TG6Nq37LEyz/7BIap4go6RtzoydFg9pbOcuh
GTAAAhkdTlSb0UFWLH3HiTmDxGWyPQTtDxK0CzuLEuFQylHedjzhT0Pqrybb2KdQhPafS4a69Wnx
OpPd9EBsFS/tK1x1lOkCSf4Jqcs5SeV0DaOSHlcxwft2m9NUcIcxvsNJGRUQBJOKYys6d2KK3VLM
4tFZWrUrGmgxN3Uf77pxian1MaoPfvZFHDjz6OYHClgaVoTRRlFfnK797IB02OdXyd1V04T+yhMO
LKRuFDsS8ibEkYHy9B0eVeHcuKtaz2AtNQ/R6FXGY1piLgK7NO6yHwI/cyr8Ly/JVfvPrj6A+uoJ
MNsuebZnizskU7LmMXc1D8xjKpjCIWPvkzwXUwhQ0qTmOuszB3llNR+I3vsSWZXxlV8X1gR3dSm0
V8MCpqGYBkmVpl+hI9T7Mk7047QaHCJPiT2mH1wP9E84O7laIbQeU0Sz2iPoEsMp4ch6yHFIa6k6
T2Sz+8D6YapYflgssh+GCyhXHG88DAX6rUg6XR5rZEcctuWQymCOgCoy0NcztWvKvlA7PPeYOYze
wqGi57jevpvAX0h3uRV/+8NLD5AOClhM2mHN4iIi4eCBm09qIpeA0vZi1ovLNOjZYzfPqdrNVpuM
uzIZZwBObtJ/cDxQ1X0LY8wi5SyidyH6xNsTPfTsb5gBcDobqugwFhhKVk+gLur4INJmqrYyqnPF
96Ut9c2P1Il0oinGEJfLV1XV+qe+nlLvw1cSg4q8hhYj5lvmkxs7xMRkZRXuc+tkA4SHtqRcJCBf
SHcaSzll7iCMHg0SJuv5ZHRYuK2wy3UjO5aGUzqXnj1MQSLewKflhTrocpEdONJmr3bHEIYNrUO0
/Ucs9H91iH/SIaCME8n9fw9b7qr+rU3rn4csxo+/+WPI4lq/mYbh+zobOMaz1+nJHzKEb//GOJb9
uuUYQKVha/9HhrCd3zyIoWRxxbX5w+M/dZyy4LtY4jfXMNEnyKSTyaJ28t/MYP4c0IEwDUQGiWTl
a1s0vZjGn1WIledoRyjDp77wYudCzVnhXKwrhPiny/JfyC5/DtGvL4TBl4w4EopAVvmVStDPmtlb
UFBOzRWOotWR/s2VMe0JzCxg3MXXBO6/fE0LNwQkL32tovBIUP/5w7mUC1W02MCXvs6XBkm04bMf
jfT9IOzS7Ha4ZuMQmf5zA/z/fFKmZYLP6VjcCaCpfrmkvqV5fm8KGi3YC+QXzSznJUhHrUjvJ5Jg
yaOtzC5++vsX/XNOnMvrMMPzsHhSOGAAU/vloxoCZw3n6v7o4BRdkPal/YZg2tKCXWT/QJj4yz2z
mug9VDIH+If/l1YY3fIZkKXQ2P22julELnElIKdkg939oX/+iSr1Mw/orx/LXh3hfDTAC+ZfIAgD
Vk9InH5zLOfRcTaVkRcviEv4D6durLObf3sRuTN17hXao4Rl6b9cRLyzROZsqzuSd9Y/5BgZC/Kv
27BN0GUqw79/NWs1lv/f+Pv6nVGR6/BIWC+l4/5qfE98DrURm6+jShKWDZzAbdO9ujjF26CqXL+/
McuBAOfo0iO2MYkTc7IrdArsjNQVIqhjiQNAH+GPbQ29tLtd3Q6Yz9JMt/Q9prexSqnhNuOvQJur
5mjS+46jgTJxN2Qgww6N2d9S7odpMNKDWxWSbSAiIfnzmcQGBkEvLaKNtDDin7whGxY0+LzsXtHr
KA3sRJMU58TszW5XjRZvGidvvBxb7OzxjXLEmD1YYIa8IzCGrA7HwS5czgEA3Y9MNZSxkVNlO/f+
RJn2htCnPXpBNrpjawaNv0jggDxJmt5H4lsq1fyD8f+vtxZXH6QCEDmHyM2vpIOkVz1edb08Li6C
5o1ncLYOy2Yy2xdmEIzK/v7b/uXlEL0My6QemOc1dAX9V0peNsNDiskL3yiD4vc78LMTjx9GPPrG
i/BX/cPNRU7qz3cXL0jQhxfCX7beY792JrQWG1GgP/YNzmpH25Rm5VsPsBMRiIEX9ANeiAbLs3Ww
ktVLn3EKiygvt9Fv0jnHzQ0AVYGDLShxS7Y/3MytazngQgmeRob/MitcybftRIvlvJ0rs9RfeuDb
7fc8n00N28uUZFpP57tyvDD3zDUVry8GU+ZdPhpcbQyA0b4lVzy9SL1wzmyfJaj4QcRP+P0yvNLc
J+mO5cF+XXphPhhuyUw2URbByEQjqhLY3UDUD182uLBwShTuFSL55AuAh5GqxDwEhOAJfI3rV5ur
D4cjM6KpTVKb0cCH0oZ2EEHPDWItJzk2vZXtNZ1asSCDLlgc6VttOY//uDx12TTOJYNSiTUep2a3
A2zsUbKnGj2e2AprdB6FqawSAlJZNy12HPh+H0uAEPXIquNAz1yzDy3O4KIx9fmE6Vm8ZXKaXFhk
vsavCOehMT7BNpm6p6aWJhrrsFqGB2rN07BT9MLeDEldqt1Q1sRiU3vmzNu2cb4BYJfuSdC5YduL
8k7WjjFhu9YVGVvXbbszLtoeM0vSg496qWsoyCcjlvVFc2eUaN2OG5cZTDKFkxczfa0ST4Zwz2v/
CMSJzgtJ2/CJ2HcttsT6/HLbl777mGSOfjvwuyeDtpjGV1bH9Fgou3MC+OvZpeWZwztKxYsqVRzk
ffvmMBZ90YTB+ljOKtnaiy6XvQFmHtXRtBpkh8R3uwzLPYoxTrykzMsNy1G8791sECG+c/m2WKUG
PRE7AkwUTTARc3N9ZHZoVINDCabuZnfg3aLLgmXT3DpG2ptnp4yibDf3XvxqWjUwHTFZEc6euTPx
30Vj8iYSMIwHbRD2gfT0zKdYouloLNRT30BYy6fdkFfeDQe2RN3PuSlv52nMUAjSyCJpkuNQz2fX
Z++YJ+KcLyT0MesKU5Mclzt36yS1DEg4M8Fqa1G9lWa9/M6UkaMI9WDNZhka9ZR49fjZ5rOBkqpt
OP3ZzKih1D0EndozltCQqTGsg6dqDoDV5WRdR5h2wTLDHuXlYpTqesy0MQSQVKRvYhDp/M0dh/St
m8po79XR+IqPstmvxLwJGlTT68yNMf1Hc4Be524b158DNbg44LPMcptdrPejdy59PU12vN3e/cAp
OH+nEWKoj/CLqQXnPM6uchNjSP6d0WO1zeLUxf8MaME6okZK/4DKZOdBXoxDAWCnN5xnBeq13vIp
pk4EXo+L4yWxaNjaMw+ogfAXzqITeBs5r241Vv74c5wTg3LDlVJFge9W9Z1juhdVz9USdIVRtd88
jTwh5LBc9YEtmiHZOsOMSO11hN1krffdM9Fjmd9SJuLqr2Qb5uS0DH1d37bziNN0mcv5jocXx36C
ghPWUwnM5OgQeij0wGe4kDx5kWGIBzvVGvyUCOjDqx3Zk7bhcVB86otuoayEJO1ysnqjHTGQ9/qq
79gD7vqelVi/MPzVtK3TJkMc6kP5rLLG124TREdzi2bnNHvesT9+XjTTo2ZmbhzzCNpmiYptO5LZ
u3WVP6W35Yhw+rUuY0NSDRirakeuLi6prvYZclGSNqrbOBt0tRGGZsgj9ADCUdwplfquscOyv+g8
m4HgykYrj3HJO3/SF2Thx1qKKn6jecfC+O0WdLM/1JTHRKe1RRT8e6VHcgtJxKOMAMp6/CkWFjYC
5mNzAqankjLs7dJD4RK9X6KEIVIZzyTUveR2RgrTR1Q9kfu7GZOOefaaRQO460YdP82E3H70SgJh
/FhA1OtfFchA8zzbc50dVAlt7qIIOswFBilXWE99P/n1jn1wYd42dVGRHp8RHoIEyog840nM+DfB
Vmt4fdoKMDsVzjHfrMkTo3sit6KLIjTYRvEUMlgoGP9Ky0foIF+FreR3Avqae1vEWeZdaD3X5lDN
+PZPhsvyeTSItpgX5Me+xj6Jh+vIQ8obyyCtzWoIll4m2mdwEvPwVSet2XwhzkPEDCuK5XwtaqfX
w46JXsokJ+uRdKUyv4157Oe0X/g+Q5VtNCegQfb5jNvQ2pZZXWCqamdu7Dv8ZlFchFqM6yK5TSBE
YcsSjJ4xaZHvqR06Yyf60LdQFtrC205NhI37UNe0Vu8sMZWr9cthoosTLNGMHrnuD4+YUDqOMRD8
tjW+F6vJrB7NSsPAdTWisXkt9TTkjsGzBu0W/xoADJkErNV6tR3Q9ZogA3qnUVaBZnKRym8wxETj
0jLybCzyLobd7ux+Soq93889SRqH/c0u1RPjMde1Rr+ARuzCEd1/0+vGGgud/ENOR81L7zG/98RY
vHdtFjehSyZzO7n2eBYY0OfAnJNV/mXkczLNNe3Uckm+j6kip9sPfv3At+xcymw0jz3bi5D9if/m
YEXf5ipTzoccPCqRuh5Kzz4ZC/VOsoM8lrcYE67mbpDfmljS/DhjNw+jwaPHmbXqfimIx1B4Z1aA
KbLVSz7Z3sXFgP42o2vdKSctEIgzK6GluzSfbXgmN3U9jv2RqBTeGSzyxYUDcm3crzvYZFPIuv8c
iTw+dkk0Fm0QrXSMMJ6lfSMI0HxQXK2OJplED6urD58+xhTPY1Z2xrcZA719q5mmttWgTEADrMRw
lKbUKKRnJYcTbCV4/twYtzMDdodRZdIaDR6lJXZCRxndNwsqyeekBW3FtNy33rOuoLNvNnDTG5ne
3Hbo0DQAuoWRhxnj8hcL++INgpeJYd2czlkUiy8zc4avnTKT95QV61h0dXKvssSDWVG1e18aRP8T
kio9Ci4uI1zam55uWRUYetQeqaerXytYAmxh6Ix/7ReyV9gJElKQ5XOtlcWXnCztRpNTds98lziR
0fv7Eggk6FBP/7Z0jQ+6z81ZE7sOgLrdbWuCuw/LylXGqmAURUjkUG3YHDaXygLBghqfjGHE1LbZ
m6WbfqhaE4+1CciRNczwn3PcjOxsXU/2IU2KmgawXxtZ6+WYhCp1VLfhzBoF3dzM/U2h5fJisRdA
wamljUjiAF9gB5qOe4wp09tQGWJvdUQDQYV0+sYgbgEfS1mnDKM8IkxTn3K/EtuMt/9oafwcaBUq
wxFf/HeietnbgPAX3fDzGxAyQPo/IvnE5yEhGYaEIPTPUtfzTxPAhA9D9nGy7lEl0ASNKqrQ6xLz
0cTPZ91raC5IcMsiPmFI9HQ8Biq65fWpsYmjZdeWxmycciWacZvhtdg0/N3Og64w/J5CGHorbCeP
DrgFK/9ErZSxHCZL18sDaeim5da0lqy7xzOy0B+Qa8uVDFvPnEILyJUo/j0K0w5IjuB/Ehgxu1fp
pTO01gbDxd5qaV57RH5i6kt8Yx74Ekg1A/3HUicMwCEKfj0xQfnagc/o7oHZces7g8cf6zMAtW1e
6yyzRFLS4rzA8GO8HYmov1lTe3zzSaHW2o4xytfqcMb5E2/kj2qVgfyj+85vVdZ3U01+ZZcq7QoG
6XROKqrjH6uqwaSw5/oWFEzyOkOszGZx1isvqlyee66Qx6SEMbfvXNcxtwYZmGwP045/rzABb7x6
JCXo4Ix0jgtB5JqaiDYAFda+NvxLEx/6j3bqGcQOb1bBfxyXEOQbn8/3OkKyYJBYSzMyTcj30tPL
UwlAfPg+iqHNnh0ijGNYLpAQvv2Y/FV+yolQY9Go7+qpibnU14ngj6vl4IfPtxmFgEjM3BbF5cfn
YxrW7TqDe/Y+A24KymHAKngLZ8PNtn1W6VrIhTTKU4HfpTgz0eb7HhONT4q30zVvp95lk65KzIV3
qJ9eeUwBT4qDMTHwuimtsSxPZDOc9DUpNTWDT/Inz35xHSLET9OPHnl22nVFGCPLx9/7uuLMEyYD
lE4DtgyBmyB2ipLdRatXZpTuhvQ644mnMi/OMdec/qo4KeJjy336QYx8sctAdjHQwL6ofe1QyJgA
WormWm4g05KLTJdML/eEJ7piI1KF0SpJnN7bETHNSh4wunjMmNng8AY/0sZ7HQvnuC/o7oDP0scT
kORKJwTK79tZniLD5cwtSak7x2XqGQEV5LeAmxTRPIQqGlK1j6lR+gbBECsoZME42kYyqcqGEKhK
G8YLPbiPwGtk8cJ2px8fbX/gzAkozLXesrG1zdXlyjkb70FiHzyP08+pJUcynmtr9pIzS3vSa1uc
WIX7ydd5Gt5lY88pu4uW9QybN6ssuvKWErb5BqH+jZM4NKgI2CLjIzoSPCTZxDzKcYbztk1l89cu
bHu1F1MsMSSV2C/ukVFzoCKLH2FyAGzvbjGHz3MYYQKgjMSjsU2GHTOqKYT1C/Qtds3KPC3V0o6P
SEQaMBZyjuviRfUGXiI2H591EtTt2UbwVs9J42YKPpkNcfld44FkHfwSlxU9Gp3GVU3pZDP1MLcy
wv8YYTJFjC1up9k9uWnGJK2qlvRI4pufU9Hi/en0Aj3axD14hto2+ERNM73adDWZgjOWWO5JclHR
wsc07XsSRRo1tI1tfIBrJUFzzcof2GbzQxm7HNjSRkuwarxSIebqR1WtE5IMJ4F9oGUtqkKjNViK
mrnwktDzpcrf4foyTShbb2XT+C6JmIC45aAu/3ZahfGRbAQcVZ1aa/0XZ6aBRs6WStk3OVIwDDt2
xkBjlqwsAUBDA/4xrfpfeemf5CWT7/2nb2btJ/ilPWB8+z+P73Wf/jnp8uPv/pCYIP4zyuRhz1rl
/mHQ/UNicmgQ0KnuZT2gSXol3/xHYrLc30jAMI90vGsG5WeJyfzNEtSd+hBz0KA8Zof/wub7Z4oj
AowOGcdgBom+xBv5tQkZOwMr62yJfSHUOszwK/ReSwl2MRR6nxtSvlHAsNj8tr6p/U+X67+IMb9M
QZHeSMlSwYxLQlDq9CtitsCi1ipNqX0P4+qJri3/zHbdOxf0Otxaml/e6JPjHv/+Rfk2/jx85WVR
YfgqjBU55F+d1T+He8AnzVECHmJv4TCNGYEwl4tbqz6tFp0vKp3lk+kl0QvmQYJ7rCH8Zzvxz1iI
5atmtComcWDVHZRRE8otXa/2myWH9pCUfX1CbxcXIj+u4ggYsdORve2d2Se1Bz9K5ocsxbywb5GL
OMJX9clpClLL/eDxEFH2G00+4kJiY2Xs8HLdGKmHQvO914GBuHnmeWU90KCJ3aZrVYDHPypCWq7S
JZBjPzo4khmEBLGy/RenzEnmjcQhyt3IqXtZjQU5ZhKwKuWmmPM8HHTMY7SPwXuOqoxiGL/PDpa/
Wlgk2r0wmLNuG0yTXeCKYpy3xpgbL55bRy9LbblPwuhc89MMRPBkMwqE/+47/kuHAVSSuVD1CcOn
fO1VA8CO3X33URudfPVSrQBvY5TnzPNqsLPcbrJQ/GEv1EMWNYy4Il3vuntKw/hkns7FrSe9PmE4
mzM+b6nftUbnbx0ovtate4XA66UbYfeRHMoDIaVMjuZQN+9UpluA5vCOhMzn4Ky49JamwZIMHNX1
TtswbBcXqnCK5DgBUN2OFG2YjCykumcBysoQzdBWW6I1AFuKMZKvckz9M1wD/SKvNRtFXqmHtkm5
Spqb+WfmkuLCstWYew6kDgSLnIF4kNhV/9HWM/+6cvNMBH7KDqMdwNxvkoht0GaOIYZsDOxsn4yo
bZ/mBYRmuEZM27CvMig9bs+NCIbYvKFXAGzJuLi9/d5nAzSPfn2DTb7M2MB8h7o3vrZLbs31fogG
DEmc3bhpe+HxZQygOQzc2B3LHE4I8dStlxN0ltYEEbPMca+hJiVhS/5H7eqm7KhzpW0sCvI2LtqQ
kkn+rdJp+KA+596g9pzW29Q+aBC9VrODkUY6ThDhRNZXJ3FyR9BGWPD3GW9uZwWw8GBhmWhuabAW
9APYmnTOugbra4thVnZ7DL5cNGhG+mUaR5CIwN2MQI8af5uVDf+pXGz1QC7beEpNbrVRIz4aVphl
z72l+iiw8443NhtdQSCvjsspACBqv/FhuBe6JeFqQg8go1qNw01mJPWJBrCSEdz1pifuxI/E7PjZ
LLXLy0WzGO75P6RHAlLq9z5rxs/wUWmCg6DKrSnpnKaTMDJvlM37hwuRGk/eXIhLx+uEMxBgbq5M
4+qDG1P3mQ1zaoBxecb9bjzFbgMr5vpbSJ2Wr8swJG9f+Xn0RTK/yC4SeuAh02iIoCOYC9/hvxxh
9Mwc0CM8bTtzVuohwu9J3JhxDDszbVYPbHoSiV1yHKtHY5SMP8eJJw72v3yHYZlfajOXvJJj1nzh
Bbn86M7oDEEUzfL4y8w1zZvFtmNqmuANpBQ6WfmyGS3qqzatzq3O9FPdu3ljPDEGERc+o/+irFQw
YMB88ZLK2WZzq8bPk6fyIdCJLBenOUrnl6JW1ad4GbPD4EwciC2qQXne5Ka5sX2afk09wpLv2lXK
cT4v+Z/Z4JA6dPImnDonI4jFOnVsxtELr5fH0XLM1oCemCE2OqJP1KMyIBztK8KS+7XTNpyEk3xG
cx05BDnZQ5M0GPSZ9240M5bbUkKQDkpvlvS1o+EGud+1B2Jd0Xsxp81mYOIRpOaERRvkJIrQEjWH
YvR9fgP2Mn+qijbhDJPbQyD10b74ypNT6AE5v1UMJHY4i4n3NyxMVYAweG8zd/tKA6x8TYXoPkAu
cK/RJskjetRavVmP2O2hRxhxQo5aa8sHMAew4BX1yyHCKBu+3jattxgaGSzcpmoPlGuxMBUN2b4g
dbP2oPfobSEyXPOV0i7vTCk6r4InlV8Uj4n6NEFp7TDCWziIQRJrGwMfMc07U6uFrclhfsPgiSOh
Gjt1T/kM0pVdzv7LqBe80aExvXNXXh8J62+BaCjbhjShPpDhv2+Yu1ksPNkryXNyvWPSauQXkkQw
HrZFX9svfu11HwPb2nKb5JDET1lWk+FHZ+CXgAlWPTS5hYXa6UmGb7rIE5cCyPIpA+PV7d1pVUbh
jvLSqdt0G7DgxT4zDb5yHwUXcAK28sOUeFyQHBB3esCVy48HR1n/UTWLfDWmAhQTcfWRE0tZfBVC
qTC6co1wQPtbchf8bbZuiv5+P/KL94bND1Qf0ls4b7y1hWzdrfwcNYZmZ/pAJPZDLcfftWkabgE+
MNMujGncFlYevfz9C/6y5eMFsRQZrrk2RgnqzX6xwJC87FLmgOY+rjp/byzS3/PQRNt0UyO7iSgf
1HF9nhdnbv/BwvFfXhm9e6WG68CTbGv97z99VAsXfDJic2JtSQ1MxKV1UzNq2RcIRfCcGndT9ea8
r/Ol/gfFXehXk81Phg4+9mqish022+joxq9FIQ5GwbgxK2uPJa/UiD1ky94bF/YQQubvyVDecgpU
3obdmYcO0+ryFS74uvCOmN238KncXe8l7s5eNP93cyQQ3DidOgx6Yp2zoR9Ds5t4+MH5C1tMzZuZ
0fvWKTvu9pQg6EYRNz6k5kCGqtXb+zS2q4ekRWDpCIMcSJ5gbW9rZbNhTIqDUjQmuM2nsVFL6DXo
thSdBIRe01MJ7mM/tEb6e90zQA4k6e7vlVEZO/Lj9XEdwt1E6Zgc2AU221Zo/ZcWL1WAvbZ87kSd
3DK5UffSZqMq3Izpq1MfFXh9K4gWjek//nrxRKy4+1jDHx+AI6zQV7F1Y6oUc2aDjEuTXcNjjXi5
uLc4Ozwz4Hq1IOXuRjK2tDk0jb4v06wDx6exODpO89aXJkBZpygIjeCaaQ/U6rGPAQB/quIJ0yZV
KEEO/rgMQS7FnwcPnlHgTBjMDZlEtxX83DpAZKExFIXgVTla9GYzGNgp5lfU/ZJXRBeJpt2yeDFb
pbn6FJXNZ83PwNXkHtXoeacwyjq8obqTp4yt3kYZ4EdJBKxDSSQY8VL7idg13njw3Lg7CMy5bWDV
phWoGdJuSOuSeXM9D7QAqENnUe0DfRxqnxRDjq7paiedZno24srZ5l1kAbQgApFbIvmaVvh6dACI
21bX+n3TKTQe2r7PsV/OD3Zlvru1Sr+mWSHvEWwclo2qPNNwX27QcKOQGIq7nZIc7LaXZ8e5iiBe
jvgKArDW2XvmiWFnRgUuaqHsnRj8tmcQrbzj9RsdEx7p3tQMN7lNDFnw8z8XVd1vknLOXrJ11BsQ
k59WrTR9tTWTCFgj5k3ONC4oXRIlWNHLNmxxLN5NXhOfpqog5KcB1mTJHbZtr8D2mXSFSPSkuWvO
BLYh3nj1DPEraWPka8/a4EZJwRnWJZaLeva3C5G/OKg6y3mgb4266aq46aHs31RZoQ59ZQada2tn
RZSEzx27pwJXoRkUVlpueGKz2nLf2a9OD11IiOg1NogLSH3iEINt8jz1hXHrI7y/plXun9EqxNOY
UMLEgGhi94N9VyAVJ6Q79Cx66qqY9YIWCvrfTLP7iOEKc1oBt9Td+y5Un9Sx0eHNebxrVKUdpsht
zhTBiK9RZpY7i03YnW7G9fe5MSqmgo18JYzn7Cdw7lHLlA1MRP/dkhYW+9mUPHa15XOGMz8kneM8
ED45uTIXYV12803PXqLZuBCcZsqhNOcltyzvqZ/t+MNQcYkxqKtehsRXW9dI5cOIYXUbibHaQlyh
VpCqnH3XaSZLvQcVwknL6JPd59Gxtck+phYELPb6DzrDwts4HsihOvbO9ipyM4U7vCU5m9+KJP3F
BCRwpzuNd2yMXJ1gGGIFYuWqA8xg1f+wd2bLbSNp2r6VuQFMJJZEAqfctYukLNk+QdhlG/u+4+r/
B6qe+UukWgz18UR1VFREtSsJIPPLb3mXu6LwjDvqWNp5Qd4hcme1G20arRvfLfwvDnpRay8ep6eu
DLJvddtAM/Um/6dvdKK+MeyErxAKEoBeWAmCXUDor2n3Ot1KH0hWqMW53V/TICLncADLOj4U0zgd
4T4mX/uyB13jplQe3StcHV4zVzsX33d6CM3zGEfjYzgnsZ7dDYdJFu4tDNXxMHsYbnurrkx8x377
1A9HVyTxXYK7+LqZ7P7m9f+GKZp+7w0QQhjz1e6zQNcB5U94KXiMdTd6Yw+P+KSnnBEvtPYoE+TL
0EN6ZoHCQ38EcmZv0KLIt9lEWFWRXR3NEq4SI+HiaoTsiFVU0h/QSRU3xDnexUSL/kfBeMYnj6Ty
0RqTF+DHsypk0rp4EJiF7+2NyTJv8HcvvvnoIQOJaGgGLIze56slTqO+gz1SK4mry6pNWiyGtclw
toDEzO/JhAQcqNChodjiDNvm5N1FuREjXNn5XwaG20vuFhiEiRd6zz7ebFikzeKTC6hVsLqqiE6G
KBpt0bTxocQWGN1t5lFOWcuNaYfVX6Tz4i8yPILlxPSLwNwOj1rV8iQkdRPKcxke8ivboG7G1YZV
GgAPmCtqyn3Oajk8WiGBuulUfoNuAzerQKR5AeCf1khous/AxoxmA5DTbyFt+e4uaJX5zQIcck+/
gEl2ZzmPIzYG96lbhltPY8ahgcD9KWs3uhZF1d2ppp5r9lHSaAGd8K3h6EBS6FOT2XSRU9TMPYys
lA1mHnkIfTF3nduWN5gvi9oZjrIpDRzYYpT+BH1z3GGZZnqLwhqHx9KZbYsmUTkrWbRsoaij8v87
6s4Jnq3ZlK8pahpIYrLKXMim+tiTasw6syRSfMYqy56jimETurM1DegydnNAPJMxgjCN0xeMqYpv
iZZO83xa/1YWo32LNjOVU0mSgNT7KDGsmLfM6z5lmOSssM6yb2I0jo8hGJuInxSKYtFVgbVFV9Gk
IGoAIiA/+gxVHrmxphyfEHQNf2P4BvG9qq0VtQA0FjbcPfgYND6cIHliqAYdR7rie6jqbqeGsb1i
EEaDpbeGnfC9Zp2KhB4P/2H2hnnFzKj8ltt4gXSNaK5QJqnyhQWL8bYB7br1QpftnI/E7DYPym9x
TZkKzEgNjwaUrqtk9ounTzSNaysw5QazH/+3Zxr5ddKS2dSCs4qvJ9e61ZbomA3jcDTR67yCZVzd
1UPrbnNHoO0Hpe9XS4Z+j3pV8D3XTGOHkikUO6XBQ54MdwXn2thgaqUtYLOwCZVTe38hwKweocSy
oV9L/WmuvGaaIoVjPVlLHV0FVNK0Ye2F5SH3GyCznhVfeaYz/Uot2c8E7iuEm7N7P0SrA1ogThHr
QkbN1eQo6t6kbt0lTqriujEHse+NUa7H0Q9vAUu47AgrKn6ocOho+njhtGnq2nh+3W9GApxk5UJ8
unItZAg11HVtbAO0eAWetrhthVAHQrUnkY/Uuh0NGO/WMYcCupln/mlwrgJ2EzkwadwSAeY2GL0f
BURWNqDsgSZ5ja7/1hjaQXTM4pcZgHFVTEPJLMjRbtPMwP88bgGPTHpc7jBm6xm4R+ZOjTPzMW6R
NjCnbNsH0Gp0K5l+lZJYjNEh3y2cmw753EhIOwkx3dBsiSci5SNCw19CCZdxYWcyYrIZDku7jPeN
Yt4N61tbQeFiyFMSUGK4QLFPov8a5dMRhigoKEXG7ZSgjEy6kCK0rrBwJcZEBmSduhweW0V9N+g0
KgNImc9UvPUve0jKLyas9NuhChBhs9wJ5Hlnuc8m4mYds7Y8+42BtWa+jF2KEHA5H7IJXcXH15dX
m8SyxKUOYOo4HhrixiEIIWKDNPPmjh12cTTKBH/22vIcehrMYKsvTt3Qq9JrZkmiKbVp07pReSUg
cX3vZDschr7S7xmTg/akocXv6IN8Vg0O+/qXMxJ2J6ZkDM4alb1Yeew+94VJm5U+EYx/j54RahP1
L4DW3Byi57y5fWUb+HqY/nLEOapaqcYdDhbSHj+sboK6p5C0XIyRxOijkS01AGx8vA9aZfEUEiv2
cBlEsxCeyOZ/jkSMEwpuYkQ9P6LOvM4NN1C3RF60h18bmfbQkN7Qm+TvGIL15fPIPPmpn28XR7W8
IhA/wY05tuaTBqsXQpqaqopLKs7YUNNEtyug2w4Y67E203CLtWG4DdGM+AX1E8nwOVefSD9qwjk7
ZwlVudjHeure6orXV40T9VYzJhkiufaIMrGLPEi/SsI8TddA0+f0ryeCxAQs/wrijPs8ZYn8Gvpl
cYd/6fwFHJock6po/7emBbCpaXdp1fG145jH8kwQIcEwt+NB2D0PyTwyiJEHv5J6h/gh6s/uzKo2
6l+jmeFP2mTTnYWq0j6v1By2ETkk+ZnznmawyGEcazjQSqRbYyC5ffAnCbuNMQ4d6bDmtdeyCbw1
8GEs10GyyKUV9SPIAx2ppuX4unxpNfxx/iSZAyxD1Ajmqcvr0KEl5nKmFP7Mtenei9FK71vXZ9vG
PLsISIitgV+Ap0iOhFHX0C/CNI+0eiSVWY4xaoLL16uzYBryC7XB5tsEYGQLfTdazerPsO6pALMl
ffpE3GSVY4Fsa/RmbUov26vXJuRrIDDg0u5G03dv/y4QTDKk+250owef8YIFSmqykycK9/jPZJbx
LrG0JPuiYx8392mGZtp2fU7ybfcBFnKZr/003WhuHlldmRB65l6QSmZPYeQKqHBAOnvPPVC2X+4w
QQqP6K96W5XxligggX+0tYHc7gRlcNHTVWdu0dM99zO/uYtcr7zq9XkCwKQL9KVs5KEz5z5mzPgl
hUI7DY/mkCXpFcjg+C6bd0g196A7OQ9vICLRbpYF0AqGzK51lPRJmk2mcflvx0HAyEzHgMQuoBN5
4w4aMRJraH582LjADEDjQUy1OrQrrwrSRXf9OmFSopq5j27KEn0GZg6MTwQOBnC0kDfgXMZ4q/K4
eES1piuOYujKH1x7NOykbPlP+aHnPr/mYWlL22SF+yPbF1kZ8+r1fjWFYHeCmeRnuyRYqHHaA4/b
Z21+4yGSf2ePjbZlOioekKmkYaxlZFB1jU7/a3L9uqfjlgYbGjS8vQ6QPe1Lm2A75smdF4jkoUZN
4MFP5PjVFeRRdgmh4IAKnH9flQYXRtGO9L7pxTx6WKGUmwztlHgzdb6gGjZaGXCdx0m0clrJZ/ay
UP4wMjKBq0LjdlyHjJOCR19qDHlU0gyPeBGLu86X1fgY2DEdIFMQOem0wgsIuG7rpewYpF1HOO5W
2xac/nSbWbp51c5xGdUMGuvuQNM4LyEmLV4/Nc4C8gepNpE+S7zZk2Tu4DvcFAjha5y+sStnRq0Z
ApaoA484KZOcHcqlDElecV9ZVuc+VxnZkzVvJlUaHlFR4sYRYJKof3uNqJlHFkbQ750n1QpjwVeT
uIoIymw0STv5R3M886fWObN9e4utTLQEF+11aw9RkEe6XrWLGhpMiquU2RhjMmxs6/VrOq7VEx/I
mN/F6BCJIqyrHoF60YUGjM0G04XoFyj9xcGjG/LvTCuldqm9IlsSRsx2kXWzrv5gcgHqcxWOHAwu
21qtx+q+m0+UJ6f8BjE8dlMWthwIii42OlQVm95XqPftrDCcQoRCryhftExE3TkZw1A0JQDm9Apa
DBzUfBs2yBSupqYLnu0Q2OECWK64QpFxRB9BtVsnqotnHXOofGGPydwbpqvyGsYpYbwnYZQRYGMW
uOrGBF52EfR3Jg4U+7wN4i32v+MTGSUjy9eiZYQA+NSBQlrjWBnjVjMRm5d4WQfrlj71vdBB0jK7
QLcG0vdwM4//7lvB2OS1K4hYDF0XwskvbaRzupBm5eKCrSHkE1RsGYio2p8ACh+6ivGw7RLHCRYa
fpXctVOCOjNwILGEUVYcNUL2F1+fuk3tzplzl9l3WRO0N1lKM9y0xuC5qqrmtjCT4pvqRuvrqCcR
CFghnz7uM5+QqiQjdgHd0LCotwEaGCcwlUnrtFa4vbG1zUb/Tp7oXEuaSvrfud3Ha51YCkup09EH
E4Gqq2NItBdOFgPFS8O+DeMtZ27CLqUDB7ok4jhyYSGRhfyzkp7aq6hW1Y2HEv3NUHo2sIcgNo1F
HuUq3eO6lO4AQpXiyYLitM3DIFJX3PyevmZPFtsaasAEbKzoNq8///8gNhcgNnwwxh3/y989Q9gs
KuQO6uC/EOBu059vYTZ//9n/UcvTUctjjsJoXtdBxsxQmv/RkzXd/xYWUAxboghs4+7yvyibv/Vk
TQsR2r9V9vhX9b+I3M5/z+Rr4AqG4QimJdZnUDZvZzyWY9km+BaT9rapEKk9dVrsI2sQPpJbaMCl
ioZo7dLTNu2hzLbwDiZ0SCbT/KQzOouincvBAJcMSgwi+dtpi1lOuTN7qz35RAoTwXnbQHKHH2Iz
feyHCJLFWH75x+d5B9Fz/qAKaiN6uQ7SQzh4n8yW0MqYfZCH4am3cyyGlszX5AGKas7sves1fy86
Pe1+fbzoWxjR/HZng2rGZ/SdAfacjpWcoaoRaPX7p6i3SndZ6ObE+Bjierprhtj86SS+pr+YFsIi
Lx+vrJ/qBLM035SxHQAvl4/Mbv7nRAtefF07Vt09DaVpxNs6U/KFBprDpZIW447Zp3VPC2Sa7jod
h1uii2slG6PwtN8IFwBiRudwkLBZ9N7efPzbzj8Fuv+gnMCd8U7O+PWjKAdDhHn9FNn9PNyDkZ1i
0AvIyL9yPJH3W/SLNFtbfH5Z6I+vmDbC/pmUQIAGpDubFTQYTfwlLbOOVhOm3t+p7KAiD53/H6xI
csUZlfD6mWme7DlYCXaNhFrx5Lelc4uBZ6KtVa5XGm4LjevStkQx68JTGvN/9P9PE+c95xKAuD6U
jSyUq58crtiOJ7SC0+IJNLCDjlNJC2iVdgxRcJCCQvGlL6Q37mIp1fBL5vB8DgBaewxHWqedfjRq
8hoO45hnGdOLSI1gY3vDvJ+QldOWuor1+LaeOE1rLAUD64b0UKDgUiJYAjm2CdVOD+SkPr9n+CJc
oC5uoQKphLfbOUsbxrGyyJ9MLImOud4bT0RmCrSelg79CisGMP/xfnmbJby+SMlcg7m3Yxm64558
PYALQaeFIn8C0l8Fa701y5T6u9J/trZuXpi1n9nJ8dmIFboA7DjTrs9CRYzvk9Dz5ElPXFUtfX2c
xPWUama/i0DyoiGHJ0q5xc4hdJcdxJn02UTvOftNA6bMwwvPrp89POZ8lo4Aum1aFqfmZCAu6yrt
3EwGT1Fh9+JLPtauBNHSR4yFJuFMqIzZWEn0jBq8JkgfKrurhyuSkAL93gbKyoKCjWHQEjcmPYtW
qZk4L+NkcOZk4DTtBfGMt5oIfCBYDqA0TSUME3L+K7DyH/N7fOoBhdHhPfYUtdUypSNjAdyKqcxR
AdRrhL+aRFTPQeJ0MHOa0SmuMvixxurjPXMW8CHUE9kcF2EAbtXTr4jwhVEV46iOmpMFxw6UHF41
cTbXGQMl8EJEqNfiDBTl+oWVTz2TeQXAYyyDpRklIhlwul0t5ns+kfwpx7lHLQxaxF9L5PIzZJMg
HCOq3Tnek0FWnK68RoPiZVTOgJNd7KV/UGfMhiuIG1V1bEpsihcOIgslIJ5iZB6A+bS6iwapCmdh
eei7MUD3ivzP5I4QBEGwxMbaNepS7fzQQLyLrq0GLsdHcWOVFzGSWtAtW3WokWJSTw2SgV86RJLG
H7TXigx5wBQjvEVfI+q1BT2ZxBsYExMFn051Nm1QzqmbFzzltfrb0BQuypkgRcXaGv20RSOt1Pu7
qBCqe0RfGxsxHI40E3G50G6ZfSxsDFaQ2I4KK6QJ0gOFhYLnG2H6GNdqQLjMDaBfPYALiN2FTP2m
eSCEZd2SAW6UPDTwsax90zCepIjEc7Lc+VXqlDvl+kCpKqhD3qbu4c3cOAM98mPah9S3vclQ5ceI
IwAM/RFoL1KalqA5uzCsKEUjMXTahPHgaPh5veKbTe4NX6tOdm1YptF3SO6RxDt1npx1Sex31xUz
uHiD0QAyHY1XIZQXCcNlCu8iMrkoyzYDxWgjixHkW6vFlJB6mcQD15t8MIe7NKM/uFBumZt7VfsI
zWZ1WOpXoUwH42ZEGrbYf3wazpMQ3DFNIC0gFBBttk4LLYUIIMIPmXf029Sxt24bz550kYHpF2p/
zcheVVm3TkMAmdgn6nVOi7TDjBmKU1P+hfp/JG+UZ4vpBbi1p1+Icm9RP0QNfh57B3g7aYgL/Oft
pVKGXij9pnOPuWF3zY8p00M6GlNXVb+N0GvxPHL1BocuiC05rWNP9y/IRp9FWX4AL8gRtI1s3MVO
fkAahCIt4t47dhPamuuopy5d0vgOd6TkWLVe+BwnGtXz8wLe42mpRHjwU+0S2vlugTyuc2TObXcP
Dgp7NXr8sQlRRYSa8Vgx45/T1Lb11rDgM7nUB1NmOwehg+TCjX4WKucfowzCFn+TZ966IOCAIQMu
P1Zm4VTcJuBVVjmYcwQkLB+LmFUTjB1Ccb0OdOLp06/CNEFcsTHlrLUkT6LlqBoY38oxjqlm++5D
BAkiWYOWdgof2HUcan/yKk3HjRX3job/9Vi6L/k8rX1GVLTS1hd+DuyNt0nb3B+Ab0C+bkFSPv0y
rSZ9oXXZdKwNo2qOiF15Jp5gEfKaixxoTr2aBILA6wAGtf1QtrRr1yOCFj7adJqwEBdQenD8+Eed
3akuZAZklOAlGSQ0pzLrZjhYRmYX4zERYdUePHv02ltw8HZ3g1wLHF14usCiNLpB6Yrkmr5EkE90
UT7+GednRCrSIhSq2CuwSk7OyGQ3mIHJoTtmujcYu9Jqp29ZKnX7vgN9kv1tD/BvlaOMs+LERTmN
xNlgW1KanG4MDIoyNALH9ogFuMBYsbNtqGUi0TumQfTsVgXzJffR8xAgvBuyscb/EWRVt1YIrmZf
sBXFkwuJgDG+br0p6XeDVnXF2sWsZboOIQLMPvKBiQRmkKCD/FjUXSmXgfIc4zf3WYb1cqT1zc5F
86R/xu49M5eebYvx6BWa+S8G1b993PM8z5WAD2HrSJPe1BnLZqxyxth2Xx9bJ23Evd679m9+TP8V
UacezdioKTttCeesc75HA2PFhaMPgBQqtAgVIhSZxaDT7CuMGu1xKK+iAMDTMhohJ15KcM6OiM2R
NSilFMUNSenbYI0d9pjlnlaQn7Tdi1+YeDPWrjCOkae+wS43H0tQpesw177O7gUXAKKv/YE3ZZUL
Nxa/JxugJjY/p2DYpih1ILh9cRwDvQV0ZYUwxfPvYKKTB3+gAkKKq9gZFc1VGq3dlVXamDWGCFdE
lRdcqhbODwXGxyaOGhCk6GSe8pOQ/R5GTBDqows9ERsbJ8g6+iYDciElg1KtKDEsRS08/k2yPYUg
SUvSPiu2GrEd2FJJsCwb+AoI5FrwFh8qdHjVopDTJO9ai01/Idif37S8N8nVQ9tHAC+YT90/8vM+
bKgJqrg4RmOk/w7JmPy7uHFlmSHVjMvfV5tZWLNMXDxdf/teljoX+iHnx1oREtg2Skn3nE1Gpdhn
9BeSI92ObsOV41nLUublSjDbua9TyOufDVvgMvgwSpKVg3o4eWI0TopOdAULZp3ewUzvo98R1J38
EHL51BcSiXcej0J17m+RS0C+PGky214pC5m58TEkP4aEgn9MTdq7SYtw2nmRm+w+/3SSvYf0Iybs
3KRvv6ehyFQCeMLHrjamlzazY3c/2bkrrguXcvT3p1dTtJt4QkKUedZH6TPYCKE7hEcPQO9NZAdF
/IDyzVQv4U+0l2LiO++S0I/DCEhtuminNwBYFSSVtDA8hlEfqFWCA2nzMJlDakPe4smXXTtG+QXu
3zupsgM0nCbxbD52ritn9rxneCDuofZlivqahz1nYYeO3CDeUgmmjI7df0myKXgu2wqzUNOfoD6X
JYLwtzH+GMU9INsUAT8Tb9ALvN53fx3IdNoSzvy/03dia6nrcM2pg+1jwxwvWmSRrVWRSqtftWVm
jg/I/3TTBl0OnZTAsgrUdlLb73dIapWPrZc28W0uSSmTDdpH2oUNcv7JIKOyE10Ec4DSnzY7SwBY
mGL5zmGWaDbXSTQF6VWX5tL/GpqASbbo0jQ/P7cpkeOjwtcdMJ36nMOf3EeJDYAqxIrhmOrhbKor
jI561em8Bj6WFj9+djWekKa/5dBegDh6slruM/sOesM5VCk63Ddo7+XO9z4Gowa+Nk5p2X283ml2
Lg3Wo4MooCRAgj2t3LQgayCVsV5hl+1zC2hpoxHI1Eq1egqK1NS9epGkuXFJgfD0U84L80oFj0nL
1DjNhGu4nFEz6erAXVS8QAK02hskyqet6+v2T4G052UGxklmMS9JR1FQgxA9edq3waxAnloJhJoO
Isch5sZmBG0v2lg5iHDnQfxtBKhV3qdj6T+LFkOdLTNN+QebAZFfeOun1yS/xCD9R5baZCR99tal
MwZGLaQ6OEWHvLjmDptZn2yJjIO+twqFKmKvhqU5Ttb24+991n98XdqZr2h283kiGKARn47joA45
6hubsjGqh1THW3RADxx/V//KG6MS5S+ExUDsWatkGPoLmf47T0/FNTcM2HQcqpNLReUqmQBxy0Md
yfqHITKQ21P8FQNoflCqPegEEHZe/NlKVAJ3JOAzvkZoU1INvv3+aPUw284L+wDf0/U3Ze8hsiOr
LsAsaoL8eec15VAsdGlo2eqzr5215wmcDeGJRz9tGJJAU2sUJpAcytQAMZ2srZ+TGkDpVge7Umw4
b5aNPJVvfmcSE9TRDKYuxn3LrNG6NDw4TSt59zOznzCKjQKR/uQkpInvIqMZ6QdEy0DugE57qvLA
v+5qq/r18ZO/sxTTH7y8KC1p2562K/0oBQFML/zg21VtrIbEV8YmscD2fkc/viyfP17uLKzMbShI
1HNwoUl6Gs8ipSaraFJxmHIJaBgKat9ummECdpMFPTTRBeaGgXfhPJ9FUeZuc6+FT8TJosn0dmeV
NK1IEiHQkN4Y/j7lSfslo4Y8P2q4ft8NpPH9euyF116oV87OEivzvLR8KJeUK+Z//4+EG6XRMdNV
Ohxcn+K9WcSOM8ldN2vW3sVaRqsF9/lyWg5pkmW7eJJmeWlrv/PK51hCj4WH41Y+Oc4eUrw9+O4W
3BEpip6E7cOY4Orwgmacmu41KC6/a60dwru+0K1nqOVh8UirOQg3MS4EoN+zePoDkSUAnhc0Tr3X
ykyXNxX52c3Hu+OdzYhPHRLYvDT6cKfFHRx0bCazUhxsb0Rnyo2jrFz44CGhQSgnsdefXc405yyK
9VxJxnfyZpwyVPPgvz2Q8QX6okb7zoJPoUdiBeHFsC7swvOn4xzpbHuThhd9ppPlaBXDrwfZfCgx
o2h2Vk+RsKqtQli7KizN+MLLnIPEPytl8H/gXCiXCWdqbtu83Xq65ZaDpsn2UMtMs9ejwftrkGe6
NBI83+IkRCRgOvubv077U0y+cxmPFvurdoJ6G7VOjZCryKrbFGMrJB91M8L6FtjMjrYSjtYff8TX
kHH6nBb4C4FYx1yJnxwxHDf9HMOW+uCQj5s3MaJ+qFu3CJLh5oqvyKpyB08tTPDV+nIUIlIbFYSo
v0UcdxdpoF7D2SYr3W4dTHGpIfQ2VsNDXrpZ+QIqPGu2zJJwRmXOGRjXuNUUOcm2lcoL3YT39gdv
Enyc45pUWScPMgrbRxPOaA596sjvEk7zr6zo/D+VcpAe/fitnecZc991rlAN6lTGdSeLtZMd2qHh
N4cBEN90pwJd0tIBg9Xv9MrwaIs5XoMLvTvzP3KAT4wEggpiWAPv/ZKW+nl85sfMVpI2gt7n2Kx2
qlHudPX6EOFIssEWpPpqZToKEVOJRV9fYa6GZsqF43geF/E04DzOrSwC5OmlQEPRs8Fy1wdrip1m
ATU+gWQ2KYwUw0Hd6bHpehfe+ntHklkubVRaEoJb/u2RtFKc2PMAOigMYYiXcZBk0K1KBD8uLPTO
VrLnR5vZ4q+N/bcL+SM4Y0fPORNTOjyHNPOXkVPS7ExFe6lSOF8LFM9Mnhagq4gDJzvJRi/bSmu3
OLiZZ9Op5LaAFGYqGByW2cjjxxv3ndVISylKuB5maMX8iv9xoUYNQtbS1rNDkSHSswgrMwV8MKHm
ces6SSw3/8FymArjtC0cOo8nMXsc9ClCUCA7oGY2ocqAcw8i/KYepMYyAHZsXZr4nx8FqnrdZnou
5jQJi9Y3zzfiulQHbpAcjNSgEQx2OLe2VecgvLnAuKEAMdUxKdholkRP7+OH1U/HH9wU0iHtNCh8
3gnldB64NPoqPmQqTeO1Z2EXuW2NovDRfIlwEmJWOfp1vOj6sV2HVWMeG8szLdSPWitKlhrUxaC7
cE7f+eJMZByKGZORwFlqjkKFaHM8DA6WUVDrjDps7WzhxhozqVFDsOVS/XMeGJj9cJvQxDDfOaWN
XYtQWlF0MFBD3YDV86IlGtr1RsevCr8/H0u0C9vsna/uGBbPRnuWM3s6gIyY6ZsBJm0H4ODFhii8
g7keb1rVF7eIdpabnqn7pWbSO89J8sO+npMRTvDJ3gZHjl2MZTcHH7rbdYxkztoaQ33rozu7CyC1
PmhalWizJmyAhHY+XHf5gM9eN3yDvtbdmO1g3nV2XVGd1riZwX6rLsSx934i4Rn7HQtg5NkthXY1
koEkSwe36cYVMAZ3KeCoXvd20aMvPNkX2juvPYa3yQTQptcawZx7+qdJk0ULFZ+Hvj54EBS+iqjc
cXUMeKoFnb2XPfRXhPoNqG9lmK0KzL62QWvE36XTSLXNp7h6Tr0I8WRbzIxMF1X8axCdYbhy4Wyu
+fMj6qax9YLEFKw8/IWjO9uv4kejF8jDQPcbP51UwJ6ygKAx46XyOY0nk9VnVBy0uzFKsHB9r9q6
h7gXYz419Jp2+DiCnJ9VJkMUvLRsTcdkzv02eoH0aUa0kLIDv4ReWIG0LtFyQFOHaa4QF4qrd1Z7
rVxJZUj7aD6frIYdwoAmVEYxieQ24THObwPBX6saVvS/HMv/7YzuvdUUKRM9RgcxvtPVfCMCXw5E
/hCknUcLxnOzdlYFDxDS8utMjy7hBM6yBXe+u2nCIYZCdXLah0nBO6CLJLR9ghySuwJMq1rwRDHp
7cdf7eyUsRDNWpqMc/gB8v72PQ6u0ivLS7V9NzXjYx7rCYWCHz2kaYH4Tuz0l7LPdxeU+DfRQyV1
P00Z/EirJmTPvH2IY5UOubfum7U3hWG41giv4zJycSq+8JRn34+mrW7zdGCz8H09nc3ossJvFHUr
/FNtsXEabzrijan9mri11IW4dRbPWYtPZmGdzI165g00BWiByizR9u5ouOVqKspS341Oa3vruMLu
ed2S82VoCiI1cmHpd97tjPEBAMdvAD148jENTzQ2QdnbgxBoVzg5ehstxAkFS8/gqtN7sfl488z/
vTcRE8AO1yU1LWMT+jonh9AUFdAHZ9T2qnTRzkuHQMOet7BlvE2Vpo6p4WDXMplWFOyh35Sf/qo2
x2OGa8xyl2f5YNExiWgnz91HCO2qJ7/XyNJspMw2jI3K5OfHD3u+h8jeGV9KMJlzCn/yclWSIkTp
C3cfkGHrGy0ODI9Ynw7HJoERcumGnt/dybsF/sDRZ1DO4Tx9t3YXwXA3S7Uv9UYkS3homAxLxRWz
joRZ239hy6GMdQhCLQbA3eMSeeUNeZ0tK4N+4arwDS1aoi9QfLpTg+4o5RrlIz019yzpr0LkK0MU
/Zg2VsN6TBQSW9IPtoiCqPWn3znlkmETC613KlWj1XyUhke1b5G0EcuRpgKeLpESWr+hSx8CPfz8
gqTgdBSAGJxvKVPvO8uLKrXPjVLH7j3PsEFy1dhdA39xv3y82PlxRaSYYYPDOJWOzWn3BGHwcUas
2/sUv8xtM8uwh+RVeCI15m70bXEhxz+PTKzHCJPSkCk8w423sR4lBy1HJ8re+2B1lwEONzvdENGv
oNDzXdg17rIK8vQ/eEjAVGSZXJ3vEE0QE2NWm9n7Pu717t5HpuFnZWr5lyAQ2r2Dua59YRD/3mMC
aqTJTDuBdspJVGr6Lo/5jHKfBvAWF5wVLb4bZJ0inG3plXrAV90Si0hrRH5hv773RSlUXpV3yUtO
R4RZlZUxPF+5133wwSsfe5dxp4OHDlcCVarbPMDI47OZEMMCm6qNRh/FmzrlVJhR30krJEVNcF9d
d30/bQhfw30+heZ/sIFYhYt7FuY9C4FJpIwpqaTcSycMt8iRMPzGDwtzOUyOV1rWM4lFTvzCLSPP
IyHNRZJYLPegR522qxJ75tDISu4rIcOjLPxRXTlJLrE2q3L75fNnknKMxAuCDACfkxoc+QhjhByK
pkSH0JdCbH8zDXJ4KZrMWxrpcOnh+FBnj8eDzQGeIcw70nMo4U90JBu5N2SVwP43+/orjcLGuGYu
UETrtJ5VDqQf1eV93WgZnvSeiscViR0KOXErePXoS6f9JspSbVzj/hUHL2icB8UujUvH34eY0GJB
EWEitLEBHc882QKJEIm+nI1yFERUCO1JbU07rWkNHGtqW6GjUEzYeUAmRdIncmuOUlhVdoRgHaPo
dZQEjlxTJWXGdlRtFXyNJ6OyFq0B3jpY1nbr4qPteU7lbP1xjNx0kTkt4IRFpFuDsUe1sZMrdD6s
apOqNJK/Mn3SsgH0N7IpVy3TQGNj17Wl/VJl0j2Zvl3a1SJX2D6/MDZDw35lOZSGP9MyG3xn7QWW
mnCqHsCuAxvPmIqAturD2cC9p2sS9SBbFgneetaD3miiRVwkrdL6SVQ2TJtF0Dn2gW5Hgv6tKLJi
yx1nUvLDLl7WTp491Z5dw8dpAdSLNsse9Erqm1qzm1sbjeRvXJUoIIcVVOdwItwlZv+nqqT7mPXg
BXBnzIts1Y2azoXSNI3xBUOpvl4B5iiPVRg5v1G+kMayx05lOvhD6sDLsr3M2EVxFbcL/E3yfiN1
bdR2lYznKsu+mqBBh19Tcp7hRXTt1DyDkE+/oxaE9+LQKIxqigKbgAWNa93nsBZ1sPTN2QM5qvTv
mTGEclkhlYZnXoth36IcpESV3wlNTJjAkRzSVAdwGhrq0UBDa9fZfUVOa/RFwSY1vXLVTFa4x8gM
j3NV+WLZtmHa7ZCIks4y9bRhV3VuNd5V2CwPy0xDQGeRVpDykZ2xC4TM7DIicZGpVl2PlOXxaogy
vPF0v+3w22Zhh3+2MbNE/ia7Khi2hQ8larjmQ2uFnEvdV8EtRtqwus148qKFLlK58FWd3/SmUT5h
nRaLXe6pUfzqgPSGP622wKvHyF2ZrvtKxydN+AyHb+rW8+Q1426IVprq5HKooyn5f+ydyXLkyLml
X6VNe8gAx7y4i445gsF5yGRuYJnMLMyAY3SHP31/YEmtUt1Wy7S/G5mVpEoyyQDc//Ofc74XejYS
lyawwizNRsPXkNfFDu2M2r/a77djVkzldZx8mGyU2VF3cWq5FII5rQsKYJvU9op9l7fjcC3w5/C7
E8ULHcDWl5jOUncTV6aSHMYF5clxCuQ7p+SILg44aGoPHUFXW+b2qtpWlC5AJ88kKYbVYEdvdVaI
mr10T/lr1GbJcxjmJUU+QUM7kHGeeI9P+bZJy8nZiLmoPwajpgxzu57Nvgii5C4k3n0bQwih8MOO
Zgg9tdPpzQjfAHRe2hoqquI5+zLTpvoyB1OdX1ld0aJQW2FZbfreTGan07lwjkkX1Muj7tG5tn3a
zS3tig1nMHUhV9blMIEiUfBu0W2RPKsCnf9cDbEut4mUYp/M7pLcVJ3TN/ugJ3pdZ9k0HBMXdMe+
9Ij+b8s8sb94o9c1B/6IpTlYcZIke8FLr6OUZFQ36/sST3Yn62tFngG0EI2x+aGY0+A8g9IoNuXs
WYd5nsfHwY7z5oZqUWvcpMLQdCA82Uyn2M9vyCHqc1IT0N8HNCp9q8YVPBLOcdQ+goVx+lPXpf1z
qAf5Sw5D7D0yB9XJbhpA0zy7ErF4R7W1h42/DwxljSqd+ezTQDU8OV4qoEdR0VzvSI01wzYsp0Cc
4oGtx6+4qiVlYoH2+i04DMPFPjSWvc/aYGpftRJsqTb9CP1rQ5OZM5OlARVFh5UXZ+poB6Wb7tqc
IQEWE+Il7miWtmSKQaNE0UmEOZ71wtXjAp7Pbo3+meDFgAZWtHkFnkhN6kARCDB1kPeJ2JEBaH7+
p+fruumJbUw+GOL+Wwa4sRXbAZV6j5EU8trHZBnhAzX2IfVdIk26bf7N9Qgn5J8OWC7ypC1wLQq+
IC+l9dL2h7UBoaA61bFTPJjIkvuuMu2jNKkGE2esJDknU/Ab7WAWPYVda59npavvmT3m7c4vU3nX
DEWw40/uX8keNDZpjDw6ZGVsdc+uQJ9ZIic7ZgXTC0co4I85c6d3i/bDlyyNsEtWXn1biwbx2Ckx
VnQ520TMQ85PvGvyqqbFCzdAWWmmgHFUb6WV1ZK9d7mW9Tvmiy3L4OhQHYjQVJVAVUY5XBzjCjKA
momQdYL5LR7XIvh2FJy7xRx/Uw558g3EBD3QIENcEsvY7AIVLQxkqGl+9cbMjdDzVWqdqHEOJIBF
R72Gso/NduhY9VBQa40MQOw9+YiOTncqtVtR99kl+YvGiLkL2x7yztT1cbrNPoFjEQcanSBreUgn
ABzx8uucXWAT9dvYZSCKvUdr0cUauJjqYbHlXmI8+V5adPcdcf0bYKhWEy2bxrMNnXVSBZdYI2OT
eiRisRFizu4qQvygZ7Kgg+ajIqyOYrK9ax+2nrMh0/cjnay4I1KHheXUWhM3kt7RFNKEOSEzVxSb
ZqoqfnCp4x9D8Bb3c9b0D2nc9w9YOewrp2hBb6MNPwhRmrlWe7wEtmauC+ztWfg6m+FXnFJMsirB
/k2b6vkwowXFWxHU867t8uAcN1F8J03sdvtZyO4Fg0i4IfQ2Psi6sM5cWXpxO/ll880yfvs4MEo8
OU0w7MsGfjRIoXryCCwsPg1ldNXc9o1ptqPkF7ulV6adDxN5nu/YFYnrI7I8zbqBPCZQp2lhj1dv
4hQAxwqcJx8k6jFQZjhXZi1HgzuYUsfT9lS76qCPfpZq+F6gQbxaanilNH66HT32dzan4U8nG2xe
QUV/rJJAHECLZU8Z3T/WUY2Wumq/qurtWo5Np7wfUUVPfSiJuKghe8dXA1mns8bbWvXQ3KYQaD9I
LEZ7HUcK7qqG/JpP031ldz8CpdJT5yZJTE+mdJYNF3QtLgCgus1YpYrPFb6Q7qRDWu4o+OqQNio/
PthWeS8jf4k3U6CsGzI8znDyjOW8jQydZxFAit641A+f3cj3T0tCqnDP6MiDDD032htJ1QttjQFn
NMUfb9Qf2Yeya0h8eE5a7bUuShCTQVtSVpdnzwNQ80fR6fnc2qm/t8JOVVsjPOPcjn5L30+sA56U
ZrrPuyIEPr7cD+UsLqgJxaFpujyl17yzD45b94fAp0BeZ1CvEqdVtz5OnSNWJnM7UCDLV1XNNqxa
r94a8iOvFpaODTGUtRWiAwHtLkH6mgTTrXCc6FDHbfNeR2lhc5vxOUUV+eGWgGPanGkrIgAJdNm+
KH4p1hbl0D+0hjY6Ovfb/Mb0cfdMf4L5adcDRXU1TTQym/vkXNDpfPZp3SQBY4pX+vTphvSKL25T
iXOk8/LBb5s7y+lo8nWBoQfkWmv/K1ValJ2FRAtUmMUoViKNPnj3U7/bLe6NJClxU6zYBFOXlPg1
qG5HqBf+c26i+oXK1/Fbkag7bUfqKpQqbwJKBl9wgYNXCL0BR4eQlPvUJDxex7mxBPQ1i5iHhhvA
zqoNr66nFF2YTMyHIecmJVpV7pJojh6XKhh3oTfTuNQFNk3EzWSuHqybaVNbObcaOruttywZlpAq
DBdHsbCGr2TD4x3wTVI2w+CzAIWDu+1p4DvOgzdHB3LaOU1tuaBZ2VXmAyxHeLCroAO5W1vDhiwo
1d8ydwp1Q4t1eFGmNIfct8Inr/N9buVRNx0moZenIIsoJjR8a+M0cr3SGcwWWtHo8e3zuTkHOf8V
yAbWn5tS9PHLkOrvaUNUbjN6aT/u6qY1kuStF50bOvzvuU90w9Vb3PyJ7tj4i3KSdIWBFf5C0Vpf
vBQAXV9DNx3kLphMdBumXfRzookK4GL9xfJbr90HOdjPHYwa607zi+VbqS26NM0wZv0X6pmj0aoo
7ZRZgTdym3kQaZW+mIVq32lnjQyld8AFYbQGsi6d6QtoGMbwnVB1VgADN8YN95JbU3k0cygBV4Iu
cG4p+2+6G7iFWmZHjGx6obR1ntxzQxKpegMoaf3mW94AHY+Bcz4EqKTVJitW9LPMepWdeAromfLo
9rVlR/Fr2riju7U6R98GOignbys9/ljW+zYTVrodBxq/5HbACEtEmZiae4DpAyFiSbPpQfcIBIea
4KR9BESszI0wxbyDUSj6bdKKkIKHlHD1TuPBavmFoKNMO1vpjqmKMFB4sXJYInsPDJ55QeK1xG7G
AC4PDG68eBM+hbGgNPImyivaOg/e2gZDmRWQmSA/eBiWhrMiYDXdcgPXHMhRJRYsO3nnlbwf/CZR
Jf0mEuM92zcaNQWvRtMr/oKKV91cci2YexJjbR5DnQDqQBkVbElD/HdnO97o7ogzQUBNCg7LdmNl
5RzGF6fPqYjZtK6vZEMPG1iGmyW2gClT/lipexC4df+99Runf2Jg8NUNDsMFxmhhlc4pL4p6myVB
P9/LNArluaN702PwGFrrxm/nSX742J3KA7zZvLvEc5jZAEwtbqh3tkv/4nfkCum1W3+Muua2jv2h
q3ZNQXh609uGIkuZlIAdnDkp8jvaNsPZ3dIRXhc/8RoGgEhbStk4G2nzn/rNIpN0JuMnwvk8gCYc
L33TQ/TgekTCeYOsDguQZIFMtg2jIYtfLkO9IOFpB8OLcfws3FiyzR+yiVXP9wqvPHT3XjT06fND
A5vnuCOTMSEufy/buXI3Nmaj5SRHR2WHugi1/RYOStQnVwGh3hsesaHbIPSF1n6M53VYmktbHZea
Gjl0LyOSWw7ESb5FokyY3ntPvrRKxPe6kfZ0y0tcOU9tjpfK3iw9I+UezxUwYZCaKBVLa+cDoEJq
8p68kvJpHo4+Rq/buso38YXaZdFs8nLwxM5BJKhP1RRC3vKKwc7e7BhvGHrPkGO96OKKbgcTF6Gk
pn9q32MzlbS3DUxj6tYJB5rzfZda8TcdS9FtfZ6YhYDZzGHr95Mf71VOSfSOAVbSUuzVYfi6lF3s
8PJ1Bn9faSSTjT8XE1iFYsjCrtgrb7AgQhSDxyKEq4xp92OQ5QXVn3ZW7UVXe80O72Fv7tyiba2f
lPab6qYbIru/mzG7Td/HSanoWnjNKA8gpMhcV5RN8lknYku2MmpV924nQ5PcssdP/QfZC8rSY8dZ
5HlgkBmuLmbaEhUH+DxdbnoIfpS+6rJrFg9RdzOVihK6qlSe+vB706YXHOVVc9CTZbyvbVe4b6hA
Yb6tJRTms6KAIzj2XTmXT2WZ5/qKMOR654gHECwEKGCqs4O133+jwE7xheOo8ygm0SZ6I1vnmYOI
0967QOOyctbfOEic75FSwxeisXW/LWa+2/3kZBzWG05Xyte1VG77gMnPlfsxixbzvUrTqnkOZp63
9yQqjX6ruqR7DVNrUrh92lTCLgySqrzLq56IxqbrDYWCzD7e9DWP7Sl4V+Sjy0uCtXU6JxmokuNI
irqmYxMAo7cPaZlTO5+fHR2MxDbgJ0xTmXUb0QUTS3O/Y5B54PyzY8Bdw6A+CETW5LvsCMDjuzNP
oniYFn+Y5Vajf2ELzNNgPBV9RqEEbeaudPcybKLsnNuNno69cbP0a50tvbcfaNY3ewt+iAV6LOpC
60dAAjLYjqGamVk8RvSPpslFvlHA1rwT4YtpfOHCXSyA7u1q/iX6nu7bilsfPXBdUHID7SmEGZ6F
wtB3NgmP762xw+ZXb3KuThvVS80EX9Z1x9sqlquxoxkHThmztpszt9BBfXQk8ZWNBQCu8w/IUCb/
giyUx5dODlOzh1cxma8BBvnio/YGPz0VNewTsNEUYzwDX1qc70nbrYToYCyo3QURgs7REY5+44XP
K0AsXomkky99fV4WWUTwqrm1OghHUvxIoMHC/7DmLtrNU4CJCkdHJO+LSeTvLC74ZPKapP6595eR
67OWZhKHhcKP9KAybdpNMk+RuhEEu5yvpgrncO95lVs9WHU7S173VgTJmuVlfbCDxtZnDf8YTp7b
Nng6R2WP22hMR/+gkjRCqGxcKfJzznx8jRo4PZdh1obPvsymAuDgYM38Jb1sUYxtBTVi12QUZM02
cvZneV8VKpgukKkaeqn7KBq4fpiFr+rSjQSWZAFZ8BBP+WidrZoh4o3F4TieMHuoYZ9FzfhLxHls
NrbkXb2jXt+mkTVuqf9hd+S16nUKF1Xd5rzQrL0b1EF/VGmACrfmRohf0uzYb0ZbqmE7Foksjgvk
dqZNGhqBsWL2HIKzqP1MnNqojIB16N5SOz3T7nI/SRXrY5GU/fidfe4S3OkE7e02EcYPtyT2huE3
hrNc7P2lzaZzVeTVtA3iZXmZx6b0DgBgogpsFHu1XbREPRiQ0vLKZ14trn0vhFo7CaGNOlcCi0VH
TDnvZPzBgw5HmnfRON71cz27hyanpONUj1n6YdDUgu2Upd14ddwqp9fZJeX26odjSHe8ZmsC2oQq
GLm3R+lxeV1Y/783lNY4b/iqPUadCebYsQAFqO66xs6yU5kvNNdQ2p24cFT7LtyPfqq8gKmYlxSH
yVTLh2miVbnfMi2t/xxSqeK3DJo7LJ5SHBv0PjAZlFoP+5nodHBCE3YzyFE97d7QFAfvaKXcjrgO
hAsKWp5G5C4EOzlamjVQ43kjIAmNt4Hs3sKAJcZivOExnxZs7BtZsec9FxTajC8iT4tHLm3wxcvE
Ybba1ES6k29BXcTpkUVGujDGoqQd7druZgPgoC3QHnNYKkfKQ7rxUIPDpjYmLpL4DltU0u3bUYHj
onAsK/cDSRitaYx3VynHLj3M113IW3yfj3TE/NbWQTyUT8hjsfzKpXsJ6t1o+YoH6eIgL6fhVtl5
VeXPTRly36LZxuHI/9ty8X+6J/9N9ySBBmTCf909+b+rH794JP/yN+Tr+ed//eX3f+X/Vk6y5vt7
x+QaW2jafsz+6y///1JJgkL4ophJcc+tvor/AN2Ki+tPsidmc9DDOPGIDGOf/bPRKpsigUqWinv0
K1/MZwhllbLfhnmyrYrmU67dIrykifbKC0folL7JYOyLmzxp5+GVSreoORFZgH8iqVFK9zrl5KWs
wFQepzxMeS7/dpK64cPQ2bHZxdS5uht6O/zkgyd7Si7Q34LhYru9kx0sTe/uPnNVmR3ilLspV/qq
Ly5uno3EdfMU6ti7Yh6fb3hdJ5O8KNqV5GjvsGfP/HCfUViBwGfbvPPrgZmzWwdQtY6i8TqUch8Z
ufvG4OBXfNztHC8ZEz/zK6CNEH3EBNyE1ul26Wqb5zlbHA+FT87Hcexsdpt+e+YFyUzM6HrIOotX
hzv28Rd/HZxxFYIJdGu3WZA4dXHPy2W4AEhi0pYglsSQDS2tYot/Rsgentf7FSO5fpY6mjkpunSv
HO1d/M/h3WU3st4ePM5uv22/qc8Zf1jHfaY+a8v8XW6xGO4455YnVCa6qj9VgsDtoyeuk/0xSL6y
BQkvntXagvtwmD1kKgFN8yk0VJ+ig1n1B12AJbNXTaJa1QkOIoSK6VO06Fb9AgpLiU/ImpDGV3kD
NkK8oyvqSx1n/U0NwPZL+imGjKsuQiofiQQ7IoOqWZWT1nIca+tnPRvjisbL245isx1R9eixlk65
6z/Vl6WWh4GzvQMVhTpjat/i3h6oO2fVbYZPCada1Zx6RTpWGvVdgxX95mV08nJNFPllSWz94qxi
EGAdi3zI2G9yjhd/VYuyVTeKsVI/k4f3mZtWWSlfFSaa8fSNyqR7g41f0/8VFfeEX6IPlfGG5ooT
Ove+ytTFXuUqHaT+dWps/yvLmeHkJrF9EfXU/uCqhsSF3GjvukFm92CoxJkMcsWvaRxvxjS/bxb3
GRLmeD/ZefSL8rPhjHUYES3gKsyaPRup2EBjW1a1LZ+n7Ee6YAvY1k0XXJtVjUOx8Q+UVSDRJata
R+l5hmAYTlEBhxclLwev8abagMvyrKtz7spZ7OBYofpVqwBIDhB+va6XHQ3o84Oa8/A41pHH6Nux
oBXsAk/hEqpd8KkrFt6KQA8p6JMureZxUdZHa5UiVeYOzNdsIuxVqExXybKbkx6jR/qVpyu5n9yw
OPjUYF9ko1+yVewsVtkTKkRwEmxsN5YIuLvRHCZugWAhkyIR+JxuCOGUfza7fpVSl1VUFZ/6KqWz
5aaNg3LPFa5GokmMzaVzEW/ktIs9pXsC3krKJFhQr0epdf6zoB3yKzoDs2szZzcxWrO7X1JZnHt/
Hs8wAlB/cwubz1BHLlARdOHkUyJWTW0DogwquHcsX5j563uA6ckh+tSW48xH3C07uzv5oUF9Tlch
WqBo7to6mf1T9btILZo52ixeok7j6NzwZiTRU0z3etW2aZNQt/Gqd4NjSD7KJJy2Xrz0+8bXNuWA
Tu0D6F1FcuhWCOaOn8Q7kUw810tNed1g0RZaeJ5+l71hrRc46mqJwT1ahQ7q43qNeHJkVxxKiAcn
7cy8w+jH/9kOLR/UNJ5u83IpX0oGla+jDKOfuizluG0+9X8kp+U6xgVDee1VF29dEiRycoBHzHGy
11FcwgL26j0vB677saD9Xmdm32JteBrX3UP4uYaAJMNKolu3EwM1IHeV6Xv0sT6qj9of/W1p9/Yl
dASoGiZCNhv2uuQIGTQOa1PNLlm3H8ki6m+4w9Qps9XykK7TPrpLdvKcScb8xNmYNFmyXP1hWnbT
uk8pprH/1luIH0hXKcyxdenirOuXHDkNI1vgAfrLfI//pRTPXEGjcx+yrl0XONYc5g9AGtatzu8b
nqxmeh/XxU/qEetJOC0OztSoh1T7/naSlTp4oXTviDn6xzLuspekxRESfe6T+nW1VNuxPjfrugm+
H5sna1y3UDn7qO5zMxW4nXe1Wlffl6HX74mbsr+CNQgIjHTWcMr0WIOgLtn2f+66xqp1L2KBOgZy
JLjMeTQ+lQBHXUZ7L3ufPvdko7JayuOEQKroy/oQdFP+i48y3oVITP33crH8u2kynJrJunTL1DIf
OxHiD3awU2JBj29YTJgIK/vs7LoZ2ghnlcUCb+xdwBjIRw98WO+dKrP3EvcOK0FbW4O3n4Osuqp1
D8ijPbxSarzM8FfZE6LcDOh+PvPZWNcWK+h1kQj/1z6T8g+XTfC5ZWSLpF4FHiCgup97SPdzJ5ms
60lMFsvDjBHjvqhKVogW1hM2mZ9bTVuk8Te+EXadmuAQQlJjfoNrzvz2uRXt1wVpmlFRkbGxhHaA
enNEUDV0x1n+rv3cr3qfu9YpzMlhfG5gh3qq8VNITR1xaV3bxk4Q61nVdliLvgk8GRqnBqtcCldZ
6q7rXXxI03u+rnzTz+3vzDUpP7Cf6W8C5c0ObI9UnrOGlsg9nTUh77Jufimq2nmn0aR/LeI2wKCU
yrv0c9tsLKv6PhYqh6mehC72gnwfpnZ77YJM4cypm3Tez6E7yW3nNe0jhii5Z8s6DuVzBtIskMwi
jAvz76a//xkB/s0IAHx6bab71zPA8/eh/D5+ZL/U9+aPg8Df/sW/TwK289fPWkEMmlQAsoP9x2Cw
JnP/aTBwuP3j+I3oK+dL/6NtnlYp/PUu2wbS4xgg/4PB4L+5IRgucK+TbkPFJwG22hH/4IbIHWNX
saODBwhebopGVHiEgjCePMd5VLibP/xEHn73q/+vZoIWmSNjMQSFf84I0HzurT35ODcddLzPWqM/
fD2KHFEL0ji9S8qUwowXOLdu8eKqBR4ezqVsGbcDP6O7Qieu6baj7aTveLIQ3rbYabwHeCmQ4La4
7+WPPEmzZyxwScaeBjfEc+gZZFAcTYl7KRHmB+fM2rp7zZDfhhrsIyTTWrk9RCFI28F7EkZdzSs2
N+JJw8rBBJLbefkbMXlJQrxoRv83ODTsvtkhLWRm+3RAZ9lmdlK9dRUHGdveoKgpCYjwQcWgvufw
wxL2LCWHORB7FHLqIWvWMl4aIVBBaz7EfTTq81SLLK8BNQaz1R1p8ygrUexGyRrFujPSeDVGuKCU
XuOf8FG3wbyNQtVOCaYqXy2RC2neCRiMehwbgLW6pvW3be2uUwtYlX08kF7brau+9Cq4/3onYfGG
3E8Nt68d3KEo2rCaHF+BVSXRJtXU1u/HQfslcM6FD0ExgpDfeLYjAiLgiCZ3Wevrp9FkiHBNVuQL
a1O+3MTbLTvFTZkS31ENGCsfB1lPOFLzpzgD963XAkrz2YWIIXcT336Sbunm4x/477vsArg9L3YN
mR8bW2YcLx+m5lXsz3ZH8ahTFMHe5w+ztkWWtGiOQVDkB73YQJHKZgoPLT/PhB2embHKaCA2JzuP
w0faMvketeYhY7BLQDQXC+s70ZBc2fi25D8jnlG99R3pyItIivHViHbmmlX2cbQJGzcWkCRH2dz4
zqLvYATb7sYr44ChkBVLgWPChrUzhfxFg3LGNab43b7KUBrKB/CDrT++AauPZA15MtxC819lpIMV
7hMhWEdOJF8loyXs1zSR2Ucpiuat7jidb6y0bYYrvYDyvZZB+xix+gAWyOILIZ/WDbEJU7B3huM1
eXAYK909ZNDxVVOD2R8hBbbdwYxWieFN1cDRUlmPr4Ru+JTw2/HNiy0KGO2MvXZ4zvyV/t71IPGO
reSM3JR+FydfgGo6/HyUzJyf8agrrmn0SAQcuCv21FSajxiz5Phatq0Jz8LP1AfWXmAKg5S198XS
cJC3heyq4oOHu1p+suEeyWn7aNLJ6IV7myoGbpNQ27IBsxGFhPMU3jidXFKQEJHUfGfm97fQ/xxh
/+4IIx7F+/hfH2GP068fvz7+6fD6/V/52+Hlh3+llJl8ig1Q1OZQ+sfhFcZ/xRESrFVotJOtsbp/
nGXirysYhUAYPQTc4j2y5n8/y7y/xlhTffqGV+oKZ+J/cpb9KbK7lkatKAIiMgzGJD3+HGOWrcXj
kcn0lPscM3dBIPXwtVly7w1HZsiYTOUQijAey6otfou63ra3EVnR4KeEjxq5hzptgCewvcDcKr/O
kegXhwtqze1721GOPBQnO24NGysGo9G6TZi1YauBCGLZYwttsdiR89LuyYV3kB9F5bpD+jKQhE1/
/OE38/86Sv85E8o6AubCmt/hfrE6KP+cg6gT1/FTIgvHOZJGP0VQbaNzCVZi2cklCbi0y4RXyNF2
pZX6aF2F077iTnPcpywkmdLhtqco+NtEpWT74DZqNqdWqFD9mxCMwBbwT9qjj8eX3qOQqBy5QCSM
P1c9EZWlyclti3MzzG430w9vC2LmmHAB9jk9r3IiyL5n4CiMfVRJ+zqXob+PKH++iefURepfeXJS
PbZLBUG2mqedcchiSFs7e9vKlnrTDqZ9CRIMsThwp5tpis11NAlaB+H07j2RlX0Adiu7regT5z7y
LP1g8BcfGtOxTlHG/RE30OTbPKDlZa0f2lhWnF8XKy0OaEUvxIcgQxksxYbAxe0qJJ2kicYX1izR
kzKcp/5Yz3fJMPaPi9UnxPXjGFdzz2Zu6gDhtsx/7K2V2c8UQ77r1DBGCHIb94vTlRcrC9N9PNs9
npEoBwbgqIgppY2fmQvbx15WwdmywuwOGwpwW6svur1RS3Gb1Cp9ImIbgTrVHebpJjoksGTfl3FY
+HhAvtWV9m9GJq3Xyp/617ifimNJxf6WJE1ysvrIfaZmiVf6elnREnUFVnPknXgQmudMUZK6DXQ4
HJI+9H/0SZdD20Nh6Cu/ffbI5u+U7HHFhy0FcSQROacG9xdNxv0Pp+FYzJfE2mG3hQMwWahnKEKf
afqzbbFXBjzXmWuA3+iYat2c/QSJhcdnuAHti9ZFZjF9nGHmgEyY6ubIjQ+pwGrFNSP1QJ1J1CNp
1lP0i9asp97S7o9lauYH/MYYk3ran8NxKF7YnrF0IXxxDyI6Obom56kmDiZ2aR34LyIrqo+gDHJA
cAqzNu6fANWmzu7GiQB/EI/D0atHshHWVA83a0vBJmaLxWPGD9j1m3wPGbX8IeNwxrIn4K+RKbh0
oo9Wf2p8XsvPH9s2x8Jo6uRcj559cio7/jaifRS4KJr4PnCylpvM4G2I/mWQ6dTsjttaVc2PQZoS
7TNZUKl4AUKG0hkXdGId7Vegg4pWUh2e3LQqvkVDHD8EnQ13w42x3C5CnMYhrOkzCqa3euhIwSx1
Z/fllgKiQIXPanTCtD3EEFyOfbjIL5PlyDtbRkRK7a4Nd4XSPu6aMsOGQQtkS4fZrsE+wRXOwrhZ
p7jraueD8qw37C8a74NZDvDVxNbEVXipWa/RUIgm5CE+0BzG6mBKI25v+Jgttuqb0Fnm9hL3bRpy
3TSzP+xdFc4iw95fWv0WZTCMbuow1dWDjIxz0l3be7tB9fNtlUL9pMQbSoEvK9cca56T9pgpsr8y
yfkAtFHhjHeG3MuHRbVcf4SCrgCuDjHkDNGgON2ybAsm5BL8Izdx4bv1Ae69zevF6ZGV3IW32w9R
ZgvWDRw/0S4I57lvNtKzVh+4RxMAP98W5eTSUZCig73tORa/TPJ4vC0KZ71Y900UXLSHI3+jc1ai
3XZt/BGgF9OsEl9w7LT2psZN451mT7EY3A5kNhgj6EAf1lWDXw6CxXw/ifuqSyPnI3bMCB478RTG
9LukLjN3vnAuuJx2DgtmO/uOKOC6v4QswSvu8rTGgFdiUB4O8JbNtEu91RW6swtHxkc1VXV575b8
4vVxCot0SA9ZaheZv4uIWpmriIyevky9FdF72HmmwOHGprj9Fjoll/Bhbrv52fYN1dFjZuHMownV
jbq9nUI22ZGiiEaMEDXvnqOoZr4JOU115zFSOTrZ9X6QFBdPZV1/naXgh9Frl/8TaBD0lI2MZrCa
3ezXfHx+/wcVdX6xE0Uvv5O5oJkF8qMutmi/VnSeyr6uMTrX5OOvopDaehhxf8SQ4Yts4GhPPIn/
bT82YtR74VT1fJxY1/TXaGBXgpYaehlCeG2c9sbUblpeGj/hL6hRupGyaq+075qqT5ctYPlcH3Nc
yPML2X4Ff4QLN19CcxgzzAgeSXNo1FIKEF6AQetdjBY+kz2Q/AVjfP3eSRmcAlhUgBzBtDT81DcK
+yF/2Wb2GKmw0OnyhK+wKX4rwpkZtNP8a4lPW/YOH2Ghj0aH/OyGYeTllWKBat/nllbHbZ9wnfgW
9kyj/mZJ2xBFW3cefEpcjVDIrN1IzR+/80rMg9iOEFPLS5lTs9Js4U9Ghgcd9hSl+mWbNlt/msAy
WHxIrbOXGbjTLMsdsJJWwEeq6wKQLGzMZr3rxpG6ft+bZtqSRFYV1i2qNX49Ft02vx0+R3lxEngD
pp3X9lly8uBUE3+KHE54sEugrDHtL8xAW4Z/HkV2/0F+VO2SmXtW5A0PpyJHe8LtzXP1f9g7k+VK
lS1Nv0q9ANcAp50Cu1cX6qUJpghF0DjgNE779PXtOJZledOyLK3mNbhncGNLYoPjvta//mZEFjrs
bVVgxbzQrfQ7yIkVXixSB4CCZDr1OwEiQqpHsfIZEWqWWSbDIdshRRRkn+CWl+7LcGrLP2vW2XA1
KbVE93PW6/X2pwHvIOwdZhjDUjEBUjY8O1b1KB20fA1bpLRzPtmEXja9OURm5PtNtCzOWXgVnbEi
fcaLcHdlEVF9dPZ9boZce5WhNj+XRKDI88JO6Z7N1UIi4bQTXhaJUa7aOvZqYsqwFHUuzwUOAOaY
9Ox3v8kQU18NOX3edtzcku3EALTNk0xv7g5NnzK7w4TS0QuqL39Zr7xN2z0D5SsvCsgd3qH0WSfG
AoXlHSDqX3vabqvfJiZa9S1LRcuzgPMT7gaMf9dz0NSQbNiZZtjA3tiQO22P222+eVhjQ6IN9xNQ
t32RFCGndsny77GrESMarf0b2486RUW6qQAOXdoE+NAwnI7tarTR8bYeBKPGtIoP1+JF8euBgI1G
HIOsLndX3vh3xTE6445vh9UzxgbbzbCEakceuhdXV/4fkXpm9cAwUt82mWO+rp3I70Bk3SQFVvvT
41XRRQMpoHtPM1CI4ZTxYJSGXxyXMEa/gyBE2Jk2jfySRR8cyyIdDsVCqBDDsXG7cOBZe0jiMPPa
ze/0LjQy40dt1vkNmc8S7ilKjmiYAoZYEoVrYk35QxfkwXchHf1pyMaWRweG/MVkQupfUt81L0zG
jfW4kYTygyspvwTj5JemKh2yu2RHUWyT/8cXI/sMCRnmKBY0bOpKwgcwXsBnZ5fWLKxGTJoQpqzs
DIKT86NfjwPm21NONgiOJ2l2YYobXmwZDA/WlrnJ4tnczapx/TEpw2J6ap2ZSady8FmO/X4ebn18
kLfEbUxvvfTd0K9xh5jthn3DSKOmKdMT9NghjAUurlXspAwnOyM1b+VkEqhkO3P9Tl2/gb70jt4X
XMrDvHZ9PLtusMvR0x6YHcxt3CARpSRflpQoJWazcgcncrnnxf87wLWh1rAP5ydvK7pn9N7DLROc
bseybBkAcE9uNyHr28Dk9YyZCxb7YCK2NW7RmD2IseIkak2v/5jNesE5G+a8ZJ6TzXuv1f0auROn
J8/ALY7NCoctJj2vPpQkk5bJEuhyT5iues4cPZ9GH+RoMYf03Z7cbzmS1oRyrVzBpHoz2zXSREpM
as+j59dbgvEJfgPZrKeDp7OM8wW+Vc3Q2IkqT72sGTY4Cby2EiSxR5lIM+Z+TvPkv7tF2q9Jg5h2
SurZ9H6CprjkqNdueoZN5GycFFX6sNg9hlIuwOSVxA1YZYqFTBBLqQe4dSqyORh07A3+QJUiRshp
jQ5G+HPk6OwLttoTcCFzVd9DMKxkUckI4eWwd8d6ZohW0jtDnLilq1A/7d5oj+SMD3ehKB/ICsZ4
XLSMhMAO1J8AxlxCPkCHSTZjuhdsXLMbv5yCHeQ/pvkKQ6aYW85IxkmNQ0Ou8g3RaPgSeqOf790+
LC+s4EqR9w4yOlHSqBiIUK1na9HIsPDbLiK5eL4EhoSFsbpjCKDXgSJC2jIypHGB0Zwp3hrkrhif
9uwui/XT8myYeZAXxB/slJy7otzCPnKDbHuwMLCKYTqmELeL2XOTbYKTE4ddujSXaWjCr03QL4Dm
+v3HUtf5bgYVCPZtk1KeK9Mw72xr5LCbF2SSOTJSiOjhRvM3BXebQPOUuV6+RHmDjDdpct9+hlj4
iXmg+ctD5eAeCFt6NnC1salMp/QoyQA5OgDIWwR1r31CGTXweNlhnUNHoPi203pybm1YKL+rKTCX
ZMpIjI76IZzc27Ravwp7rLM7mzmkitMmrJ/hSOv33smrpyt4+1blm7bjdQ3b2LcnbR/qbs4OS5oy
VwZksY8eQv8jLUtzLjdngWuwcIyFkBf28+wuZxpoKgk05cvRDAo05Z2cjc9eoiuiS85SRdvRaTLA
ATD2PeJHj6i9a10ET84+rRbWKsmorFmhcdSDm/TBNYJ77jgR/NkKE+z/cCagD39DIYpCAmLM0Se0
ABFWZ+DOWVOOxmZKzQINY/XbJF/V9gPKutnS3C/DUymrYEUE58lvzjG3T5AtWo9eHRa/YTjrj0EP
fR5Vlh6eoKK0qO7SavwqeRq/cnsbOJgWF1rfRq7QgLVAj0+0DWd6g69QmpaPDUwYPuMcSv0xu2hH
DojsgilpRa7Bx9vJsY4t5doUFxsRa4R7duUBZyJHxzm5dt6ln02zZlCM8CZpS0rxnT1vqtrreYDj
0sIeWG5UaIn8Bv8FkT47vuG1e0wZi/pY9IoYdMyrHf1YQzIH8V3tXG4XOt6qu8jGGqd+16fEpPk7
1BGkeW8wktsLZiXA5DEOvOb20MlO1HNEEcelGQOgwMGtPYlLgMNB5TLutY3OjtqxZWB/7KmXIOFa
wdxnyGsyO6CqdZQwDrW79s3rkqehe3SavDU+Jr8fFD6AE7YcULaWWfsHk/Umfk25bw4JcZPFmNSL
N/wUGtnWrmuc1SQxrxda/aTs6z1KKbKXgjYOB8hWp3kz7PScmXkKls0CadpnX8om+6H6oROfjQDh
QAVVtlonruv48tlPw36Kmxk3Q4jYqq4gmYSwWv1TyQ9uX+i5szTpkHotN5BLM/8Od59lI+w9COv3
ZrxqROJJpNJ8Ar93YC+sKEedg7tC1qQ7Cab6rciDyqQyHsG6K5NRzd6osF7a+QT1Mkyrls2Llp7e
9+jbejs4ocXo1lEOEv8WntCTzvNZJxJ6Bo0rXamPmPW5Mo1u75qmRF6ez+540rOr7p2wntfI3yQ5
hTgOiyJGueaxMo15XXEDWNQHdpXzN5bV9R8WeX671inmDKg4ENuMtttGY45SZt9ZHht/RkrMN2At
1dZ1rRe4xwaxOXXoOFbiFauzXJz8y12a5lm6A+OMshRlzF2QUZWaxp+qcR5Tbjfum2n5k5iZ5TJo
u977+EFlUYGH77Pb91Zx2soQvRteuhYVb197z7MflKz7KlgSBDT1eYbI7KG5LHq4HVg1HzpQu1Mo
hg1kx/XuVeFMGwlOHBhR2WIjZrg4SkfwokV9rHEZKhF7ruEn9G54F9gIPU+yG36kRQ51RvkbSex4
JSR4R6UPoyMqdAaYmVJCc8PbE3hbsWNjGG5AE8I4dLu+psOooUbbeIldOWVie+nKJQ93LQ/3s+rc
Zo3XbnxHs2IlGtHfF8wa8DocLJbg6AtYBlWq5hbxrhu+GXhjPHWZy5yxtAqb89/uoZI3obE+FgY3
OKKStNFSMTp7SLERg6qol8esyqyDW2zZK5Us/Gdj9NrHtWva/iAbRYSmQ418avE6GU8NIbUvTiH1
a1XKcvmxWTgYx10+twNztnakEzS3+SKU4zx5M+BTLK1JfNelVLcwcuo7fOnHd7FW9VlmdIMHmZrh
L2wMYRE3PcJmR6DPxuwibD0iL2f1A3sBqXbgIvZzm+HcFwdXErZTr5Cee873kwRW/5qlWTW7bADu
OYTehou70vkThOo61mhui7gcnR6oEjrJmrAhjZ8VJ8sCI6qcs7ieRtdPGoeExKixzRcczNIzRs3e
hcU6/L76n7y6rWwjkmTK+eTTTU1xhajv58DFrXsmWOpscZ59tdZKvmi9+uhNie38E2ZI/KB+i7U/
wMizD0slihqtEYR7OP6CcVxrjahssO9cf3iptTJKgLcRhdDnzZuaZiGNhEMfngRgPfNeMq739hnQ
9XhDDYSMtxxH1hEwrXMnwOHKc0akOBti3qbv0hYwDaG4mn+ymgDnVXGouSbGbRFTXoewmmVb88OU
z/19gS7diEy3q8RNUIyVjqceD1IWWfbCJJxGvLXEQYPwoBTzKyaVtpsyuOjt9dSNamDQisLm1m9q
ZICIV5eL7JfhwZ4y5UbtUoByZ8PmHlja5NzBBcVblcA4RqC0nzdmtm7veIC1BxSXFjXGYqtvi6H0
Eg0m89gpm2bM8qG+2CfhZcUOIYID9ukHEIZdm5hTZtvFOcNEVQVg6V6JZWqMC2l2NrkMwqP4eDp1
CHImu4Qf2DK3OaLrQngqOwf0R5VDemNkYV3/CQ2+nU8i7G2HQUkeU8kWhyK7SkJKIxzKw+RqwY10
rvS4En6W4i2F8QDls58+53Z5bcN0AxucPeTUnW0199magSmbiwx33aSxA1qRJz/WqD9w7wCimqDj
4v2ABLJf3jw9I4FDD1ZcO4QuDk3+Pt/fzOhuveULUYzvJn6XXvD5Qu5D7pF9qcAtGgIZreHe9YuQ
hd9tzcDgvGpecJtYv2WO7RwMBFk3kRBlLy6Z0OZNuilbxytH9ivYV74iWwEDlZA3CWGYsMXAS8n0
uG1ryHZTG5O3seCpEiVAahDUlIrkUEVyrjzrM+TXjMlYM2uP0OrJP7BQffiPkOYutrI0yv8utYIj
XYGvTvYS+D2iM0ZF0Yiu6HEKwG1xMTIIRjCUt8JJheft0SyFFfd7abv7ZdUi2/uWyNa3fHPC6Rmi
Q/1hlxQYB2RX+JfMgMnQ/nCbD+cbXXlMNdgCxB7vJLiYAYGN/o5JVin2wu1zcLpRhXdUUYtMaNYZ
xgGL/p7T1XlmSbXw1emdgLf7jJ9em4CTzsBGhkKrL2nkOkyFKDOKjM+wi07WvWH76bA3sXKqdtIv
Z7TOsu+uHrwjk+ux8Gc3rpxyxEwivDKBQ1lxzCPqC+CwOf5Esz25imwteK1ZZFW6LfMIXwZzeMHU
pXukEmjXW6XC3sHAb8IPGRzAHi9p5ur0g9eJseTaCpgZvBQODt6MCTFv+Rvy6iHJV8mcTj7ET5/K
3bh3CjxzgIorC/mKlY71JZ0UBkzjZmOrXaJaTqeDxVfbGd0azHeDlWEGFpk4Ptr7pdQO8526GcLb
tdfL/CtzrVJDVWzQbKUTNPkL67r+nOl2XjoEW8bRCRBS5vHcGilfEjyoOuAyUl7DbTyN9XRqtep1
3YrWjzFs6I1nEIkJIEJWlj8dZnKc6J3Mri+eDJ/AyYc0CLV956qqaw411qPtA9pv5l+E4gnrKBAH
ZOdaORAx59k3hjPjJ2uh+IKU/sR5U3R7e/NIVnWLpuMUHmAo3jaFa9W7RXDys3rNFDU8etMgQmY1
ty/KcpleTKNl/FrtNCwPbNM1ZVJKfM6BkC4yP1VAe4uLAkvsAsVxZkvXRfOobeRREYpA3SRKpUEn
I8de0tMEo7NGCuArSKr+Oix0wtvVf4cwAuwEKgHXgVIGzZZVRj0UK4ytxm0zH0LmVmI3+6MWz4pS
ui4j0ywcFeGCk3uIh+B880rJFjVZONXOL8aHoLx5N2WA/IuxvhmmZ6TJ5IXpl2GP3mcu2xpDE3xj
pz36BpwVsmGBgZ3VpveZXTkfUdn51nxeQrP9LqdZq+PcZOLHjMNzdQR+0CMXhP8nuN/SiZs5GMRN
hlSojrn+skIAmLr5ofS2+Tn3EJxxiC2W+bj2mJ6w4DAWwhlpKVbUdKA3W9vML0uw4DG4cbfHE8/z
CnMiVFYJRC4XWj0yMRXnCMUR8QvAyMjT0mSNYZkDWV/Z2WbEA0zzgh/z+BC+adq4b9PFXXdVxZ5+
T2fSYGKDrWP62EjdI0fPCYpnU6/xHMveEP+id4pH3+JAWFv0aHcFVCrjJmh98avj1Goe8JmaHrGy
Z1bFCAJDVKhKwZ1yMNHaIfNOj4hXVI0lr3SNo9nSsAO6zrWO547R2B9A3Tw9wAO4wqSCyXU8z2PH
W2kxOLmW4l3wqQIjW0FnoGhr2i3TrF5L6+oaBQ7fZcng+S1sWJVf9wd/7g8dY9Vn06qy4s7SLtBq
zFnPpBo7p9BLhMLGbQe8TF1foFOt4tAOZwNY1Mk8fMYcVazffVWAPPBuKnMHZr9MN9pImyeRDlJ+
IvwAP8M5D3J7rEPGOHuc0jyFP5S5lmAKKoVYfnaR4DdFBDvWeifVthEnQgSvR4XZlov54BHtQ7IZ
SWxt7IjBOigg/CKFIjvBM4mxEkDWCt4uxaroUUrYYQlVkZe/I/Bv5zoq+7HtX3pd+elvWwU2QF1H
q9gtSemavfPod6jqQQuwmqtA4ZZ1OlKMdAIaArmEFzvPEV2rrumAZhdbtPIXEiGJdXFLMvttR2Iw
wuJgIpU7L8dBxxniu0e8LHJ62i5TeHjRdXMWLJMSUX8VYSZDtTLAVU6JStFgz/yAW0ut7PFurzts
nEZMwRiL4f3jop677c0JMQ9+3vJiewtdiKimZMmtXjP6xpmIhdNdmqlxssRfu0FHFMBVeXRW+k/b
TpeBJ2Q3v2hRyyDZMpXqC8ptVX77BR3F/aTdMcDIwgelsY9IlmfjqYNnCMehXqb7cRqK8FKMfZ7f
wdVgAES8BuoGbMpapqMjcYqJEWCpEnnuttyYhqImg93AX1FtbZyWKfWYXIsGt2ss2jrfffQKzAbi
CTskOtAp7wJ22R51xdB7c8jIn7ZkN9d10V0F1MaLiWLkp2hV/jsHb8dx33a3KjHXEFcDfwgmLNkm
zo3bOsPu8AwXAd68yOCJRl1r1M5JNrW6w4HN+QkDSLWJC/nvgW5F48hCn/DDZILQJlvXr38qkMgs
JgDbfyCRFl8mo6ps5rlobZmSprWzxks/4A2CZ+EVanV0oBONEPrezS1LnxFytvuA93zeg2ddQ70q
UMCbqh0/ahvpN+MW8joh4bFhRGq7jltGeAgVInuNFM1U6WZAf22C3yQbFGSgLe0J10AvPfjYqDy7
RlgpprGrF3cLspKsXvRp8toiDgpsB/YjNCIrmj1SQsil8HOI8nhr0linlfjhDsC9t6alAzqlSi43
KGqZcrvEQP3qqsLrIppb/1dm+fpFwW2qUJrV7WOmMILYednaHoam5yUY3SkbwcsooZLBJUgJ0kBn
vw+qKt4ELn7fwm/hcqL+76Y9ZmoiJpxEJjXtgIrnHCGxTaBQGaV2PU2RXmhs6MDkxXHH7titVnlm
uEW+uSQEDOsHlnl71F3ePeOE5s8RVE4DxxKs1ZrEsWEj7FNYQ/SBg5l58WZN7XPIfO8kifJleS2Z
qE5dJeVtPShszaiohlcmVtfxD1gCpCaaptolnhYrUB+jKCfFkGrMmCBHqZlPl57tbojlmrnFMyEK
4thaw9ZCOBwweHJ955EmQSFMdqpjHY79XV+I4MsQ4qFWKBdR2jtu+MptMn7WU9fGdepMu2rLht2a
M3F2WrM4tA2SxjMVn0XhrHLQj8bPbZS7U+9NN+4KVyLqrXr6ZXlCeiPUhYGJgatMfEO61gVFzKj9
PMs3fuVXAjmKJYUN1o6xx3xmg+pePTz15t/h6Pc9RH6t5MrUcPWzvVLgfIozZc5CvJ9y7Jm2CnLM
SrrsEOl+Eg7VaTd5k013UoeVTnIySvr70FVre0v/2KXNibA2HcIC2XATZ/cpvXKPfroirynzBa5E
F/pZupMjhEpXl3Co7KD8SXVCEwnCPanhSMvcrHLvzV017plhclzjvANZpYi8JS1C3rgc6HeHQUBw
2SC7PvViwMmEiW72JOd6itrV0tDkZOX3J7stYfpUg3dgfeTLoQWt3ac2DrGtnPWp8tLxW+iFRnua
LOeRQIx3p7X8PxpPoS3j6yXBNgmy/5ZFfG4mtpZML7qDxaj2Vbk48cwUzkHsZFabWKyzZ2ac2e9F
5AQneZYBUzvEAH3frc10M+tl+CbHRNy0lfYIFLCak5I6/WNugbXjGKvfvMl9T1FYp2BC/Vu9Wvhh
4pqPNMbsXudgs30G2On0SERh+e5hbgzRbCtY3TXcsod042ZOPTzBiNd8/gbgRPImfEcfee9/hNsK
x6SqHHht8DJ+0hLBmlUw0e4Hz/MfgY3QgiJ02/mbmT1PJqhTkudr1hKR0XCLgmGtDstqwC/CHQC3
TIXLnndyK44QmHK9fZebtIWUisvBXJf3/qq1xLLWTNIqC25aIPqXK1AbHPPCclgzIKmPXgAVilPi
59JDj4y23je+7EyNX9OVvhS17HzHoAtuUuB63IcGT7rRKHCoi6mEcPGkfh0qg7rYCfxhB/ljgulx
jWtckDWmlgHp3JXynMvVNhIZFL442bZLudvqpXlbWgOSpD3KCUGmJYr3VU7ZC7kS1VFpaFIMCVZG
HK0FZ2LxhfHoyvCzUJzC5jxChxmd6ilVuaZ9w3153kkLF0saAD1/roh94Tn6veFD1vTnFHu0LGCg
E1jE1fgQtZXfHTyPEEMqgNz0GNZn9sMqjMA/WOWMrRZO/7BapEuHl9oMdQucrKw4xFtpQxPrOu0x
sHM/TMhCJAzW701mMog1Ci5j1VO8CWU8inSRZ8vOsqOGNvdkdelo78AhY4HSL8czac3uZ8ia7y3o
3yFjtA/4EWwxRhKBtdfDhAwIRzcZZ1jBVefO5MEnSMn8g7Et5pmzca35NwaM1x3afKEQ5ptqK//l
4fLyzbTWsmj/sfqAq3tFsA2XOikV0m4PVZVm2cc60IMxkjOb8uSCjJsYhxll1d1q7tL4MIu2kgd7
awkbCq26CbrItw3ffa9JM5t/FkHjXuppzfcidK4xiYIB2RIPLjLtZPXLNDsEeeOpw9aL+a0GcPAP
PqOV+Thz3rIuHJ3dI6uqOplcBdjpa9+hq1bxYoG43xpym3B2iIMNTUhIoc9Yw4mpMsYdiqcCozrf
WO5n2gYnmqwyXBgm8OWfChR1yw9fr8P0ato5dyGqCoX2sUBk8Ir3hu29lBBHqxPmLm6cN1X7p2dj
KhFLW9Ylgz0BBVNrAG+zVAKWHz5qf4Zu3phnc3eYOalGjuo8YuTxG1LH7H9XoVmgZYfzFdwgnPEJ
ZxqJh9pjk0LlImWwU4DI2H51GleIqEt7bJlkr6o3z8YYL64yOBmYYkwf/VzDSMyz4svEoXi9kv2q
4quZSgM3sXXNVTQhN6mjdXRzEdnMesbYJhGJQqgFLzhIyustGVfd/coQjyMtwPns1TFRvzENVdPb
OnbL8yBFF/PWFCemXubr6DnrH0TfzRcrJG8iN1ctB0/t73oLN9Ko3GrdTBG2I7l142MkGd6XdHNn
2JTuZ2FbEqRBivY2GLt8eegWveEyT3Gys7Z0yXBXQbYtFYQcOASMhlzfKnwq/DT/8pgcPLaU1T1b
FYG7zEStVXy4jJJL/ADczDwsCAjeG0haYpcC9b1khWHou4nwcu/gSeryHWSUqQOeaBEsU+IaOMcM
fvs14ENlJcBM2QELj5x+H79vhaNs6A/lYy89mAT1loIp8Q+92g7sRWG2MzbJIbZpp2Bo+Zeq/f/1
Bv+T3gCOOlTw/7ve4O73/Idm9rv6ar7/1/V/N18/+69v1f+bBOGf3/IfEoSrmAB3CwZIluea0Ff/
j37O8/9Fqo9ruv+NBMH8l0AW4JMNEArPtQWX9R8SBO9fhEzbBHxdEwwIxrL+XyQI/x42AZps4eAX
2lefDQdhw39Nb2tW7OBHtbkn2HBjAIpemQTR45qTJ2l69R/otWs9z8aVQfOf7tx/owf4d38P/rLt
MnEmIIa7w9f4r0HRMGZJlFyx0fY8bPdO3I5eHXrG95iH53hXkv/mL2iGOHUAXYT9Zx46/T/lVEEf
EP/O9Sf10XP44rSs/EYEGUhE/rOgsFKA5WHrWgeciJFSyXLivyrtUQo1/NgPtLQE0Qy+DyNzmlD9
Kb+mF8vxNk8jQ0gCxfswdGFVVAUxsYtT3rd5vUpaHX0lFqfB0gCjNx0KqLqS/nyeVhE8boIQuyiX
UJiuarVSFNh44UGZPlqLNf9ir2g/wLqHdEdRXjA0om7+XsQoRghVerMSkH7+20JIl3vVZBaPLSOn
lyEeLNKkl2XVJyU+ykA2RlGzn7pZdYQYKcV9HergJFqzziiZsWl+rsbCHC5sPXTfRtl3xT6sCume
tzAfx9fUM7j2vqn4zGbguHoq9MhfGjRe1Cc5gfp/I++1953B6PMBDMyzQI8YNMYjAeOX8GqY38T/
/BGgDb6NOYeO/gLy0N8khk/yTacy/Y3khVSMhriln0QjjlkM3zb46aAQXvYrxm8inh1j+B7LGk7k
4JbdQIsn2iDGwiy4qzP8tWTgpPnOxRbJTqRTgUVZ3tR+0MLbz9onEpbGmVL8fA0iqfe1NVHWcZg4
mBY4WGDDSsoHRIh59SpDvEEjDSXSvEyt3LxkSN3OTdpwzh8DYbrYOjl2x9CssMGTLFxfmR/pkbxJ
pppDu6tCCcsVaUD7MQIk21GISrHfyw3m7QVKRShu1kAhe2EwI1GVmJX1SLCM7R1mtwzwcR1smuly
rjjKsOSPZ2MrnUuLa9fbP0+6YGYyJYbTUWjjV8UhCpbJ32Gcwi9Ba5oPD0yxbXFmJE0addPizxdt
WAm2j3IGEY7IyAwbLJfDIIshmLFO2cf89FKEmg1gSCmI7gWxeKgzteMAACvYTtHopJTYbj/x9Vyj
ElJGM6QE2vAsbPJnAKuaD01T92bpcM52uUGK8T5DGrBC/b3S721Xh+9j5TR+tMJ2x07q746jpcGy
MizpC4Zc+bLciNFd5RtzHi7H2HxP7EYSTZGnEv+tTqqw2K2Uv9pjLBQc+6TRoQ04NFob9Zkkxk1g
TDvx0QWHyuZp9YduOCy0AOneBxwAWZtqsz3DUPKmx6Kz25EwEM//ZTM0xMtGLyVkWrxp6rLZjzxQ
Rdnk5f4NjiUT/razj3QGGDtL30KwgOUl6LFr3y8ZFChM/gpWhBsob6Y2rq22YwgkPc+OG7M1cOu1
U4i0oxBwv7yhomiU8yqsgzZL3PrCOlByT3TMLN/gPAnniKtLHiLHQUyA+V/LLa3sbJxjiTrsOS8z
dobsCnHG7tpk2HQYYqSF1KbfxpLcR6ZLqQyaZx4Jk96KeXfxQ7e1i9Jiq0L7os0U01ITHFLurwAM
uA0pIRQj5Wxffe2Iyv2iXAvFM1DZYDz9fXmrTWediTuCq6H5S5cVQZE2g7KaC/oay2MGH8OpHG4s
hLqMjtnQRMwIq/sShQ81195qzJ4XfFTEZ1q5qUnsG8jybhP4YSfuoHnApE7K+jktswV8COHEchhy
5emvABR0SOQWcrzsCpSxgBPQC5zbyrG1c1tOOLa9twLPmxIIEsHnJaCrzfH9xGMNHzZY9qc1wL3i
UG+y7hN7BOraOyisJ2bNiB1gAayr/qbOKgAboea7zg88yK+viVOxbIpy5DzAHNydLp3WYUtj5IbD
RUwTl81cjx1e91DU3nCACtKL2cswvQx/Vznm/PxsWkBVijsD5HNv6mmbqMKz/gG3Ziye/nkWHgSx
D7ThnDllzzw+klWuv9N/LsDDcAYXJ5FCMweRqPP7TdT6OzDI62IGkrYDLVTIt2qk0t8ujrRwID2b
7ZPJNgdEPjjpKxIVFAZ4IsoSccUkhhMOzjXdYQcVDkJ/zhe2ySyWyAsCTpux1EhtrXLi/7euc43j
P69gB8+b+JOUN1DpwZhfcL7V39kUctE+oC3U3HUIb7BPHL7rVgxjNEFhQ36NUsWmue64ZtfQY3hP
M8TvHgF3+mTNRuvqhit4pF1RrhlAiMGbS7RsOr8wVOCTtYNCYS+vfy7toFWcJxZej/kLUoc4oARr
Y4hYdOhW4LQfuN+xzaghaD8YrnIXUmYTI0ba1xMGJ0B+edNu+nucNrYdhmImO1zrlzUd8NroHyOe
i/Y9jLVh+fR9ElzQQeRLdmmLhlCfNa+vez0J5LSayxAEDuYvm9UhLGMmAQ0gLzl/3Gawn1MrXSeY
GWa+qVhJE3MdLTGd2hOKxUV0pgm/1HNXrJDnYeXOD33PJRKOs7XnFedLjhcSPrqftA2mlQzYK3ev
ZFHyeF17466vV/d8EEoaubis2tY94uM3pvstpSg6Ed3bN08Ymdj2NTOntJ+vOx02UYZXes7x79PT
KQTDnYXpW3seuslCXoXMNksMKKuggA6d7/5anbEBm9DH2PoUNzQzOXXiFJSgPUMWGfGlxj+Y3dBf
V8PeEIxV+tvxYUCe/nlXNqY5eVK7unMPYzirOerlgJ5OQR7sk3pVfO0G/1BCZv4uE7UsvE/SDSuM
hqRJkmEO15gInVohTjIDurDYopmU+6bM+M3MLfjXhk5d7v8uQhQ9XDPeZSZnQ9rxhpmjsJLK9rR9
rfDYGjoXn4U5YipdEhMsOiO/t6ZrQokj+qk9t0TcyH0JZmcli1WxgEIVDN9oxHr5O5Muv372JMww
R5R883+KKHLrWa45iMUH3k9he98VVuPt3QwbXDhtxkpFl1uOvK1sqjZQkskQzzY1Gvv5dUliVGCw
PYjrx5FOLLx612WMpUL7ASeev9MLSQzH6licnuMccCaJvuKRI5LhZ5gScTKFxv8m7DyWI8e1rvtE
jCAB2mn6lEmlbEmaMFQy9Bb0T/8vpO7g3v4i+p90VHSrS2lA4OCcvdeOaSqjAc35srvJZx3ZHkfe
vsVVJ7e/W5ya3L558bgDc4hFkzcgDAzh2ftgBtjC59mzjyJWbIN5qDddC06xuGsc5DEvI90HUPkR
O2iLX0yuC8PVr8Hp2OdqERfJPYNx29qCi7Wbqzj2KROyPuNX/b5CxgB81y5DaZY7phTj0XUrVgv5
BwyOEpBV+VfJDbs+ZHzc4m2Yo7H/AG6TjjeeiuRsr13U++F1XfvsLb8bLFduwt1q2yqsQ2AOWI09
1UIkpQML6OdY4J1yX20j5Ev4LRqA3UjztotSLu+/36KDrNo9Dug5zgb/J1QHqsEa4BtQDeT8hJat
eoNAKWRBMfrwHCUH+ogcv0iDxjhhBp6wgaUeHYoNB65+gE3RIwUpIvs5HHtBIy7L5YeNK5o7lueG
1yycmKZsOGQBJUXhPbcAR/t1i3qz2LeEpNwM1LwsdOgeFcoaFse6rGgdHPIucJ5FxpB91UWQNDCA
TjzuImU8WocLQqiizKYNFnK9+6GhdvdK2mzztkXQzrWLZiRa2Y7iWzHLfsr+eJ7b4s8ukWS90/vu
ysdAwh9fC2CNfNTQfhjSLAvv+fe8CnPuMwwyJ1beQnUZUm6lcXcNxcJo94zjWA2+vTg2xSTa661D
M8PT4LGJlpFdGSFbUUOcFGesm/K6Ilps6jRFNDPffp8kUNjd1+wtXfZN2ijPY+Zyrd6bipnPVTwA
UN0sntVBCMZglq64VeFndJUIMIHYcCxotl2OcIwtuJmw30R/aTtOiO+6kbcqVBaWO2nX8gnhfOMw
mwZjvlaNxWihhl9/oE/WxmgGQt409RVvtK/dLF73DsBFirho4rwya72YHdrlK7eLE++6Iu/rnIwd
nyyjadZ+B4NRMZmLfG5R8DTOXZoG1gqNin2sGkqqIyJ+FHE16CX0NUuZc2kk1Tlj0/ecF1jvVF4G
oxO4c2PBX/tbDpOkMHKmypmC8vfXebSR3iBDcYBNMuPztznZwxXkGZ5PxzGosMt+SPYOdk8wX7Uv
7HtuyPxr8tP0J2stfMlKlGxv7Aw+dlhS5oLDsPRsRiCheTO+wzmBu7bS59DInXXdIGxh2zMDO3wP
ehhDFmDZOF72ddtfxJVZZexkEanmFmQB+S6dg10dkpoktnaVM3gDllwPY7i2iCsXd4T68E7ZVmNn
n5TkjqDtmpDbegg8nruGORkZTexJIfj4Ym1DKdY2l66BAqcGHAspE7o70G1NdXCDhh/JW0Vd4C48
+p1r4BJzZj8aVnYfgY+bU/1+XCenFMeYwTVjER1+warj6KRuKcGSZH3bgrHKTfEKWQL9b+158lYF
EMyupFNzp0JaxnZo+nH9logGuLFBdGL8JWB646J3XH41qWx8dcwPmzfL1ff3yaVqY7FUyY2YsslD
AzQE1hpWpx/dqoWZ/G5IBaCYy+HqMCEKd3HCYY2GIBhsQIVDUh6sIHKfak8tyF3K2Bo3M5FF3bab
W77cJHam82/lQj2nPQMdprSdgsgwPBj0hMiRwhFd72PEfCyUZaAm67kQcbdEvqCufy8+4WiwLka/
nKcbY4zZ8n+PXFgp/HxFBEB9heyeDS9zW/5ZTjhBHn1SGIfnAC4crseoosYgzFs/SZcK7ffPTOOp
l/A79gEzFWNm5/dqdA5EkgwDIQxBTq2SZq7fbqfEmBO6NmYqtojSDXufAMMXZPxhFWEurU/NuAcG
j1y25gSEu8xDXqT6VMI5SwmJaZAHFp1UPjwz13TnddEDRaWQQjkEvJ2ZwR+AkbRmGEFWn74B5nvt
Fi07Rl0J5p+Xk9gjvZJ7/eJP3VcN01o+YX7hd9NrYo/t3SS4+a0hmQkDK62XYvS2GcvEQacXxJ8m
pBz/Cmhssu8xbdhHM9MdmDj3vOFhutSXU53a5Dpg54cJern1C1v09aFsTf3Zo8uedmh/8QqHreXP
t/Eg7eGhtlMu925uqXWCmOk7RIjqXomu4OPUg08+nhaV4UbxmMmtGsn52shR8NZrCwMhqVSMaPF2
5TatmDAtvZvaWVDpDMkgdiqnCqIREYHNaAvoFU1D6+XgoXBHQDClstuQBuK2GzLw4HYSwNLsC5R0
J4K+Cb+7yEPbZSyRil5ko7ZWkMKLtoLd1OXyoP0gL4UYCKA0BJLTwkaOhMCpNNYcLfNHc9Gk+skC
5BvS9vwFOdBaT8wHjuoiYs1ZpN067bzuJpbSwRhpOAxS7Nx5a6TX3XI4XA/kbjo4ndvpY7xIZUOt
mg3MHhhiMqID9k1/QamIy6hUxNS5UA/KDQV0fKJLU3wMlmx+OKGCdWh54kqapg8jKOKcF7ChGnqM
RKSieQD6m7JJBJYWjlQBAYaKv28d5hMGVCtOiMTQGtao8B+DMlLPtjH317WTtjs/NhuOFK+h1soQ
lmXKm29s5QUfNtSwFRMhUh29pEMUgAV/KRHqtwR+uIQrUl0p3g2NG9Rn9GeIFcb4eC0aIiVQ3TTJ
8mTJqbo2Z9G0x0aEKJp936k3naXsgwdvgDo2CVE/91xrbv0hwLXEVnQFtxGVAQGE6Y0xqAcEgJl7
SFwupSIskFUnjT9+LHYXHtvMi7eQASxx7C9ibB+q6VoUOBuxwCbxl24kTRvUdNXeGfvkhH9vWpVm
H9/IoMXQcVF8i6qS7G6k61zjQ3T25Dc03QoXDrM9LRSnBNaacdTjtF+IywHLESNvFT4JM9hJrzzJ
M7D1J0WfqvVfPSMz3mjXqpb5UCeMrVsjUq+0XJ0CNHrm6Uc+ZFseNtmLsj2jc/NAA7e8g7zb3olC
TfGeubXkyB/ILgCimQQb3VVgu5uzk0PEH/W9NxbXQ+EFrxksyJdIRearuIjtgywFdk9fAGopXoZH
H3Lazmi0PD+9SPUzdspxx1UeGTMCvvq6D5sGJrw1PeZ4vF+ZeiekHl5E/83UzieOxvneEoaO3qjb
9AxsHScwCBjWnwMSPqVzWvc/iXYT+DEQy26Gq7dSXds/N/3UUbaOXvlFLjNdszR5l50k5zZJQyg9
jCY/cMTK27AKFtoBte1+jLRdicsJk87ct6zQK0vbHWJtfEC155Iyhxli6ebntkc0vSqiwfZgK3cE
WdCD0vPNmpTgjqvKez+UiBMrPu97Osug+h3E5wliOYq2HvY4+EqsGUNTTNq4hyJvTWsnK7fYoKIP
A8XpUV58HR7d8y3cD9wepRfJJ5x3eaVJNjjnVFSZUPnt6r0WAXvcxS/CTaXFOzIOb9ILqm9i27CW
tFGQX3lh17/ivitOfeGWtyY61S8XqA4ovrQdn8aeDcxaEDfiQJeVWhvMVkNCfNN4uq9s99NOm/GE
bg3oUlBQue6kNsMQFIsvZrp4ZDhHmgehSvu6CDyUGGkRvRgQ6rgNY64JtM2GM0GdnawKT3lrdWeD
dBiEhEMsXmxHWpSyF7eOX44MruUMcMG06scU1MzaL3rnJrtYfFzt9mFsO12HY60vBg2/ZeWmxKCs
iJqyPpgScZ/FLYRnoJrXlbYQoa7ETUT0x/IsaGe1pAdpv9HE5AR5SUGLD3qFuvG1NanSJqWIyBCu
PFxJigNG8aHfFpTeZOQIKzhLLxsek4QYiZVHl3DPF4TJAYXbK5BidZ9rRxSR0VTSGDrfiybheUJb
ir+vaAN6KoSy0Pg38FA+OvTWKvzE2nCVaO+Vr11Y6E8c6ORYE2cIqtDneHtPfpwYr26fXS0mHq5c
u7ls1WLsWmzHebLQUF+7eSafFnv2bwFQVUQy1pKgNN9LHpKoDp642TvfLTFW+1K7x3ztI+uh+uhs
kgcW4PDDcCbHQu+V2TrVHjRbu9FS7UtLDLvDolbY7KABz0q6Sg23OCnK9BUezWY3VW5xy6cj1u3F
7tZAfey3CkoxKViG/SlgT6xA1nPLvLjkcm2YM7V1DjPx8JVpO528OOu41OOyS6xBJGv34r6TFyce
1/nqzhswfR5zCBvTQ6nzjYauz5+437T7VJv61MXfF9Rxhw6kDu5NRNYvCHRwAbraENhBfietNq4Z
N0UYvVjwF+dgmpGJQZVUD+9a0PuU1ZnJ7BBJzmms/PYloIMzHjzoFxw04/QSDuZUbcCLI6AL4gUs
kAuyQ3BdyKt8jfhB0QkVbadJFlV8b6V+cxpmld2Rn3U1c0W392bl+aCPlHD+GthRA1SUlmUdbP2R
Mu8jRBuZahmsFlblV5crj/gx15/rbRkW1k9kWvG3dkzEuznD5sG9CgvX6CflJmmFdVa5bA9VHVpX
SMnyhx5lykdMc/Ts0aS9bYm5vcZj2l2buSjIzUO+9eN3hdp17ZjcJgzAjoR9GneIeKdXOivObUw6
BoE3nlO/As12fOT3QYszLLPQadAoeaZhEB4kmPRXe6jMYyidBg+OO9d0yxa1cdK6PYUAfEz612H6
snhj7lxlFirxwCvTa0AAcllbzItflXS9HpXIrB5GrA/Xvd0RYZcCtlYLqxabtt9MDypwwJxUwwzf
wwVqwHhJqGuXmzlJXmY0oBeceu/Oj+mBdRNyx0BGJHpzx9TTDAXbv+ppo1eiVVduMo4I7xmEoX5M
PohbJC8pgNmwslHtoM2pluXZT1pcLbLatX7vbdTikilcpO0dXQM6m4iGDmqJilPN/YCFOzFHC43W
2aIcIl0ObQaWBJjBK9HP1snLO1zDQ8XZ1PX7CmMuncGu+nGRWz/1iZ3fJFWNyzSoQy1dVuUWFo77
CDImdNfWMnd/EOJat7XjFduUbvKtEXbGQwDAh2e9GXdNWqgtNjF3LSNMsjVDtmsZJuVehw0YUTcl
h8YwcTMw/Fmn7WQcR66Xu26ifoSxTDeYemrxPgEXBEB0aiTkVi+JLY7sUp690saeGCWDdkhMjL7A
w87BgIzKxyEVtwRITU1XN7BK0uEJMwcUcYd4TThrNnZKYdEVB4O/ckfpn3xKoeyQeio+sBW3+Cy4
in9nlu/9LEZAnd7bJZFJRHdDEgjvyXt3V3GAr53o9aqj85J35xTe0DGHbw5XldsJUWK5Z6yK0LKv
qjH0Sc2IQ+4MTVRnr0a9pCj8AdmvK8e0cxopUXvAgU7OHF5teYy5Ua/Ih22ek1BQdMDHilMUaB7x
3yoP6RSnNfc2e5iOacHMYV1FYfmnbqA1TPSQd3njnSYmmPi5i0L88WQ+PUEcK5B8zm4JwDZFWr7O
zZ64Dg676oYhHHQe1DeNAYeqr+blDoGaemuUOx+5W3CrDMJ5V/NlrcbQzN/nwSx/RizYm6RPIPbA
pcWIrohENMZky4OGv3eEekEmQGSo54y6mrBwmcu7idnXS2Pa/Q3RqO3J9+uE50SUU4psL+qa22mO
yzecIuYneW+dtWbfd1ESokYEmc8NrCXQ9cGOKMkxI1rtHlf2MDzEk3NeMLgQPNwLsfbHon5uh+yv
x2OQPpvMHiooGa4F5ScDp71qcoseRTJSvGycQUWPaevFj0MZdMdFuSgSCJ7XORQt185Txot8wA7S
fnvK2nujXR3oWeAeMEjSg5+ECqrAd7CqoCKEa9sKTF6bZRoH5L48LaEZOg/DUI8a7tuRKSVmb29S
+zyDAvN0t2qp9/ZgsJObHTCXvBhLLZIwMMLINgkZ8IO1XGdGZm1nwjLlJlW1+acdWjo4rW18pqJx
uzcoceZViREN3Bbfc7NBaWfQ4xbeg7fk4mU08uxDIDXH6Wb17c5MjRG8XpTexm6j4NimxXSkbDhO
kOSjc9U0xmfduKl354aN/yfPYM/muFKqk9PWtr3phMfGNi6jPFaWXHYRRwb9vV62zHVbh4hUh6rn
zBmSvCvyydYeXZ2jWTcGEnFLnauhLyqmEUv6yZDQqnapSAjsBRqbbRiZISpuktA7ZaEx/pFNFH54
uDZd9nJaNSfAKc2fKpgweDAuo3Cup+IutmT60SwzB2kzp96338/kqPLCj/wh+4GUSBxTbXEnm5Nq
eSwhn8RgunzOFqFyE3FeDQ3MScstQ/lED4Bb5uuwUTsPAmUz7+FWZU9ozdw1ERMM0+IsPSuYcUhH
c/eOITsYB2cMX33f8N+CSiIQIJdrAPbGXPxvfgE/COq4L3Yg+4K7+sShzdQkbNp0v5Dj/Bc1SnLy
aKwyw1I9GZgYt2k+J2Qloo2vcGIgG9gMQV1+LCD239yRTkDheeIE0cy9z1h9RNfk2X3Evg6DpLX6
ncUjsw5x5x5s0n6uuA8FDIPRKawbQnwiBsYifDIQDZ+I/EIL57Nsz9hmhqNJ8Ou1uSiFAhngR0D/
+sUeZmvUX0NCDRD0r/lQ3+VQ+pMtAZ3DkcW6vC5DM/4NmZ4+hGHt3aQGyKVtMjjyuq5KC/u0ZnC0
XBfjla/JHI5mdKBzan7CskPsGkxoZIs5br+WJurW0vbF39iW5oOfDja/La5iSmjLJXatMUEriNGJ
Tlaf4rdeUrqbRlvhex+H5wZTzz1Dv+SR/fe5o2UWEYBmCH3QiFNlhu3IPT4ebsPOmbZpN74afQ6F
xNVAksTKzWvK5OrZKtNqE7m5cDaqAhS3mZQZag8ripSVgOAotpHjXqkL9AQTQLBLqG3UauIEx+aJ
XvyvkOMzurf405ZQKrW5djgEF6KKbZOT6xC8vUvmjnIqK/L42m2HeeeIeI8/OT/Q2dAK4EplWlhZ
MDd0h/naFZriwiilposSttBrvOw8IlRANa3RL4GGwKDghQeTF1UmNm0weGigYcXkVaziG1fQZOov
GBlGO26zswfeRcp859aGcFNsiGnN79EJo5P07CLvmAKAFGe0ONSPYLXsLXXP/KYmez4U6CfajdHH
YqJi9LqTwuNzTHLspgCgOw55ArlBDMQfHsTB5DB1vj9yo/eie7NxllMjCGfrZ6TDeB0UbQa0URva
Ds/EdIMJAdZ7wCvLqnAIBVzHbmwCP/XId9tEY+Bt5qXurxFRB59hYkz3wCrMG6z6wHzofxBH6S3z
VO3zyXYxY5Le+dfxl2Btzw1TIkoqnZUIIIjQZ/njWhEdl3EOws+Wz/UcE2p4l85B/46tL9wYbMxX
wdBBHeLSUJCsw5DtL6kh7hujARBFKQafbTdVc3bPhZWmH9ROQKJAlJ+j2pwKvB3cEMsRhy/T15A7
iksAFkrx/oVLkLoRnXFIeuq4HOrHamFgfhMFRo92dVCfRbT4+17lZJmaw/SI9kM8o5SW93Pm//WF
Y26IH65+VN+fmBRVaxq0oVo5TnxOaWUUpNFCoJsTCtHKDzHWOeGXQE+/tsMe4LGsoydm7cX70o7L
N3aj4MGKqmDdmF18nENu0buqYY/zg5eJQ+NVtk3fnbIlpW0mlupcZmO0m6bxKSuD+cqI6m5vXwBV
o9CwqkJzqzTdDyyf4/pXGbgjdgAl57+Fp3FXoy2jYhO2OGN6jcIaNBRrufCxQo3KqmQT3gCLaJ4b
W8x03VskEhqpZdpGdk+/LLoZkEt/zZUmnlCbLptFE7l6CE9HczSwkeAw/pMJc7gi3gzjEzWbuktU
Y99kAfmDzhg/6RyeV6oexlRTQrhYb9k37N/MtmuTYMOsPEU4+uV67mu6G8VIBFQ+B25yQPkxkEIg
0YYks3pHoRFeKbPEtzJVYmKmbE3+u4yccSfIQsB8TpOMexIjkjWatGQ3E+e3660aStPgiuwuNz3v
VgvYKSdUpraLpp85moPWKGSNNNZuM5fjHgRW9ydMgzdLifiEA4KpI9hirruD6LnJThA7NsWFs4Zc
Jck2AR/CE4Fv9coCZrAm4sZHQQScbQmC9F5G46wV2CSWGIGV/wFvy1vEJW7eSo15ExfiG74U5dIm
Fc1J1JJIsLFBnhXWEShNhNcIocCA7rtxHo+lHdLeD1W1H+iLIS+3SBYj996N36YlNL5y0Q9/KtpK
3O78vrqdxiJbJy2RsTO2lHrVNJ38tkVGfSw0vA4HUn/Vd4nN+CDH5xfnibMt43Z8TxtoWcGQ57dL
PmNnQmZTDnubMfeOuCy4AniYefTm5pnRMKO3WLnNwYcre+cPXSHWo8XEzbwg9jzEQ+2aiOTppbCW
fmFIoFl8sS+vB08pzNdgbJ6TrnBvMVzX1wJlxn3qJvbjEONWpQuRZ495yg8WEQ0XKBxBcyZuFwhg
7zr9CTSDeIY+CQ+S5tz1hJdTRyhBjgbot+AayeoUwhB0QVeHWLA/E/FFEbzO8qW8rt3ReMN8n16Z
yAXqVTyOHqxtytFBNapamV7QHWpl9ocQ5MXa9ieTVVub1OYYpLLUKakNYqyMPaSiKEJYs5r8dqYJ
lEqLngGZF7h5a6hjtVGHT4XVWj8pDcNN7/Oo1HSGN3aLb9cO6vFsJuZ0YPbFdSJw4poue3vVNW0D
F8Tp1Y6GIsbr7MJvLDTKsVUodpGT1Ue37V5rL5Eb1KwJ/FhphQh1wwHCaYjFY7u4uHaphGXLLhGT
spWSMHTvD2L5qTRVEtpK/t4bwv6pqjhcs10vzk1ttgsSo8AN13HQz3dLni+PYp48etWlvvPEAQNi
5otNFb1MCyGaK1GTb+gHOLD2VWi42xaqQb5F1FTbG6EGA0sWyhVSUDMfVFpvwP5s8oprPFX8W9hx
Dq+YqM68gd48LPho6F2XFL4bIHh9de0I0T3agZNuTRo8wHnGAK+MMWy5WQbbHGk5TdPev6V50XCn
XTuFIJitOhU4WG8xhLNR12FOYtmmwKs87f9dR24hoGebB/la6thKRwrb1Ux+KTyBcICImf8VcMO8
oZfgVNM+D73x0yBI7k8HZeTsuKXhrYbC4VTRLG6Ib7Oo30J80csB8QbBEuPkog7599fzT127sD2X
+hdtuyNREf/z5WCPZEtPS7oScyofaL57NWD41Do5/jjiDhSqvYosiyU7Aor4aGDhvv/7K7jg6f/3
E0GjKiXAWY4yWj4ab/9fmTUp9sA8ytpuj+1tQkqVTtl2aRbjzUQ0Rm6JHx253y8acgAkAfvV/ELS
8njuEiPFAdSa93mlRe9DjfPMcLr5OkVH/jkPWX1bpE6Yrq14BrGVYx4+/Ptrt7Tc/n9eO0J6x8IW
4HmmZQsdY/rfr90wUP5Uk1D7LO2YocqKWeOuQDh5w80muLeR6p7zJZDfHAvBnmTC7tabqxBKTuP7
22huSGn595f0f75QoosozkXgm5Kx4D8NAoipFVchi6syfjfS++LWAAzctNPuor2q4BqHPPWqnSj8
F1WuLpLvf38Nl3CE//1YsOWxvmUgfSwhto4p+q+vdASNnCxYefcqgX68M5VN+MEi3Ee01WBuJXjJ
HZP7EQoYN3ztJa419IgG8bKZu9F9w8XlfThOese4GxBDMo39EXeGBHCiCchouSH1OGX/x60DtB3A
4bhuZmHEeMXL+/iTeHfGDV2SK2cXecPMaC8RwYmjxL/79/dq/Z8PPMDbYktpu1SVPNH/WL5M7Jl+
4Nvd/UoIfLvTmjUECcgwy8m0nirDRoqQkBnBxF52SN/0bOMQ+JYDjQnjKXpRBafzmlQcLQsIMvQX
ssOscWu19LqOkdvnjzH5AQq5plYw/X/eAVPcfy7jwHJNZqrSZurne/9Mr6W5kcdNyFS8S5zwnRFG
txz9pWyHVdIPdGfjqVRPfaGCH+5L9SPzwTK8muSC1JABEWIe6ccZTAB9hzL7Kr1BNFu9WcKNCyKi
IgC7ccts7FNOM20IRUXyDZqSMT7D5RE1VxMJJEPxNGwidKJc2KYYZziEEx8eClhTf+O1lTxzw/B/
kkgYh6wtLe7KscF3XBJB3dhBd4OvReYb1StnBlW4/LWbqrmaGGmqVS5iKbah7U3fshHfGbf96j/2
IRBjWFXmln53T9miKG/p09zjJ0IE2xbMXUg8RIEY3JUpaC2mO/C/sj8KI0C6ydLZLM9OH3VfMMkQ
Wvg9c2tmiDx6c+1I5EwNbrqVz5CvOi6tpQXQDVSGVTv0CP3rWPtqhLHw85IWS7irhpzFMWQxgkUH
gLGN17lFZKKM2HAB/adxil4PMebqV1hMwsBs7hts5vnGTovlllj1hRjayYG+KV2yBRaHwc46oGAp
Nr3tXTXeGC07wATlNiv6cg8K3TZoy3eorTnxuuaFgZo265QJS7NplN5GxtCmjrCJyoS0UGnt2pwY
LMXUIGkYsrPWFvmzzRtDxRN/+0xx1SqWXPxWo430jLwuLbniL+MHndpFC+QA6HlzwokqEOWd+jIr
F3nKbGuXBAsOgWc0MhbYIPGfzB21M59UEAs+wX7JWXNhqH9eF43R1qTr+UYR6Nr3KADS6rNIsN5M
OILUGSCNpU4XxXAChK4qOCRQ8TF21PakLEr5/39Vm+3FkmQE9AQ2npqRjfSNtJ6m0q5IZ4w1vz7k
oYig44N2Mx7hzevAATJPcahnTAawqARoZpaxRuBcjuhzcZ0yytzBs7AI/QB0b30xw0KuUo54m44I
4s3wFiCId5zYSsdDILtkWYctGOON6Vr9Z9EDpF5HxLMeSMJ4muPcv836Ocs2jaCvcM6l3/fbWjpu
tUMSiF2Fb9M4R6nKp/0UQbqTqCuoJtTo3EEcQGkjexf/eYjHaFS2D6EGIRlI5cuDzJyGjznBDGQS
8CAbkIXmcu+0YN9WtbdIsTayFG3jyJhQtAOaUSw6Rd5szJiybSMxl7xnSLCsfb0sKHTA3iKMZuLk
sG7ClC8fnO4YA2MljwIgX4nOkUMwJTBjHnGTRKyZI9D5mElH0yo4ySRhRzDiyN1kgYs2uC+kPjtb
h3QsTQyGFj+XWhV3ETP9+skUgCYUwCia8Uzj7UGsOCyoUzG1o1CrZ8xB1ICiZQ6VjIB3JK+LgSHX
2JyoUJRhCjH2RhX6YS5mqGwPU0nbLkSZc/X7mnkhrHuT/8jkVyjeBdUly4YcbC74pdsZyRWg6vkF
V05X7cU8YG5wL7YCH87GV+0orkTjWBA/58wLadBt90mgC9Fg0NY+aNwu03rxTU+CC2o1e8W12RF+
JVz9AKB2b/hZVu0DJ2kevMKS4TYtl+UjTdiCsPA6EBnS3uzVdrTa0L0iG483SQ1fvFY+mU0bv6Br
DgHD8nZlnjQMULTkYNUvLfC9xSjyDVpRE8ytZUxfhe3D7gHAJK88lEPRJgcZPmCqj9BPIytrYHsu
s3sqZtncW6qpjm0R1yeDxdusTNxmZ09EFnMVREwkCDqx+sKXHT833RBgN6wNeWVOQRpf2RclJ84v
Vg0pfOwnv9rypOe5XrvEWwNEFnNyi2h6/O45BtwNasbQWCc9QM4tRnyi1swJMfkxAL4gQHuG8gi2
ny+qg9pNr73mWzXNqrIPTGhUfWe00HS2RSR688lu54ldnJv+tbQMkGKpX8+8YiolXBldwRd9+Vvi
3kC079EEQPIdZdQgUC+IsFkgXw0bKwlDOpwckzciJp53QwwPv/Q/p4Bw2XFg02rJpFDsGuVlAc4X
L8qvAcV1x2QPeyhjWyAJd4wBe91FMqU3kAo7j7cXZWxbtQkjEihT2O0i9x6tSn/rwJW5wdUfXs+L
qb4ux5uoQw9vCB2zBp1DzI7bDYngRCcVaI2Zy1i71kxrtxsZ+ohgYWPv8xRwAViD/D4P7PqcUP68
/Do3Aw4QtWYWS2hig5shJKrOLsZjgc6MqSLDHLS4bcHzYUlEIo9Dxg33kVE+1R07AFIa38urze/5
NSNx3Oet7f+opfPRC9EvI9J1NA5lL+g3kBvkbfo8Uj+tIKtRae9Ag3E+XEVdueRbEFcZYHKEtijI
YkvMK2wJNhQlQSuAZjYNImpv88Xpxuo7XAIHU9qcjX+nxGRoKEITbel4MRV4Xuu+l1RKUNXMqPhg
+cPeABD2TGMsVNc93ocALUZUbGOkkedLPS04j7Md/U6jAKRmW3skxfIPWqj0bLhAydEIpMEN/DvE
btzrh3fbmwvAHU3Uf1ISwlSXrj0tu4b2MJYpt0ANO3hFFrD7SJceDCPc5L4YR8qHvHblka+FahJu
GftehwqB1aPNUmPVW09oH70Pv6Bbuo0tEtw388WI5ect65NlPLzPCXd82zA11RJoTghC1C6tTwsV
WHVA6lJihUX1V19hdxygVAoOp9bJHsAZdwQt+u1wDywOeWE3xfpRYIgj1jLrgaMYER0bQ0z2m38R
BjeNx7OBuJqXa+YF1qbUy6Z+NVextbVpI7z3tEufQB4mGyfBY7MaSXS6cd1pLNdklLjySUmTD8XS
llgsU2HzMaMOfXZjN1+IVVHDdCvS1MYem2ENQdUDY2TDJROQidHjJ6TFGqLTt2pIVEdkO2jya2cO
7wOnrTZycsuTIa3ppjCCyOR2lGMWbYDkzTsUjWrfL/wCKOVTektMC3hl3E/2yDxb215+D8vIbHU1
o+uYLs3mP7TNip8Sy1JyDuyxyjdZNyOXnhg0VyRUMA9czXmKaisHYcZ8HP13tsGtRFaCoPsgdxy4
3fiENzL39oyl4HOIpsnVwaV1TNQ8Ttsb4lQ42jpy+NpDW1jRZqLPgi3YczIrP7lt4uUwKnqQjO2C
T9bjAvX960UyQDKd4XcwWWDcCnzYaPmC8G3ySeF94jSNqiQ7oxukIh8NLLiTnAsfBnOfGZslnf3j
AuXN2WR1OYi/Ct9nT5qHjwJjGGNw8UGHRWtFb4M1jKKQVKIYlgUFYep8T5TIBE5aU3sTVbFzdrxu
eOgbeMpbSH7+6XczIPEKjXYUo08EtR7ua9328Elv+Iu3M3ZPHkqAvekMbDC/GvQhKbKDa2st28gE
bD0gMhpWBiPCeAOmXn6VoE8OnDRBtsdMQZ3mSwfjlxe11GD/sS0tEn0BaRzT+be+dX4tUBdLq1TI
QwHTQQQ4QpQnt7tOMXttg9Fb6DtKpT6w1/EJdlZqEG042WDNCVrA1VjHCwwZE6HNyo0WrgJVk7Lz
RoPi13FVktBhMJzf/jqeeh6Jt4FFmq+FManwqraDrN6g6ed2gsIr+tsgogiObF7iiVk8zifb7nWB
Liw2AdvpGdMlJR2cvdXTGmDyDQZnE1t+N3OdRmGNQk1bu9py4WOQtBv5oC4mZcJfdCGdaVBA044s
78XWzsUafMu0M/XPYwXRzvvEHOdvHuVYbgu4bTFo2LH8y71t7J8dr3UM8jYsDitqxRhjpyFHy/5E
qPf/2DuPpjiyNQ3/FUXvk0h30kTc7ogpylF4gYSkTQaCUnrv89ff51SBGpCupB4mZrQYVkBB2mM+
8xooB0UBd81r4afNrR2X2TNl/jCgSQ70KskhNKCvgPjILgDAoIM3mNQtVA6TZupHJIG51wBKt7lO
d6TWyQXYbpU6mUAs+RCUZxgWfVPyj6bj87zbUGLMHRJqMOI7+lJbyEQr8m2ZftRGfb8Hk7MO59lV
rjlcit2ZvE13zwVCvpBBm3aFv6iLUB5yR2zMC2uAmUq8kcIKxZGwWIMZIjGJKoUo0wqMTJnnMAAU
+lNlpVyJmk36il4N58VSKTSvY29gacN3id/oGED4C0GjDqFGp08YnzjGWxghl4gizZNAV/AsIRFT
NhUesNpRZQXM3wCeSrVoDUKeUzIWvt8vuZg4SCB7E7gnFaO6PktLWxanRlULw0u3G6SvWh5LVjnY
Oy1aQgZpPu5C4/1YcpS0SlZ+VxTRh1T4jBOBMOSwxBYXf7ApqCH1YQhEDihYVaEO70aU57T8Bqwq
qaNvUaE+xBCEEGc/ovYE4j01kpYfb95yFC6TzFc9Ny14lrCniCiaW+RkAc+Q9Lh9QvvY8tFKR8db
fNArAbWClQl2BCKRPFGai6V0RC7rCf5uvROtUGsqrBd7prJLfxrYxhASOUfIC1VzxotUsNAtM2g2
IwVHYwWXEH4wAppcd97XYBb9oamBuckFwSG+Y24DEYMfaYBvWQxWzXEKneB0oXqSLegjFATVBBdT
9hd8FenkwzuIj4H5KeVNB54eoimiT/7CA7tDkzGLUdNM7V5qG/kYMmX4d3Q34D7w68YcB7BCXLX+
ieN4RbYSRIVYRcFdOifuBQ5HgSkhN0+Gd2gWOR9NwGSnkGh5ojtGJz18rsMwaUAu/R3Ra0Cbd4k2
sZoujDhL5h3VwO1kGcmmJydHKdDNcVPIrCDD3yjVCCCRCaYR7TYADCy7I6XPwOluOmgM2rwiGQ7O
+xYuzLyk91Ijif7Jr3tLwf4w9bfwFfQrlBfNbp4PSM2hst1pSJcrU/1BHQ2WmDwH+L0wNIdnOrWZ
KD+Dy/IuJ5v+FL2UAVNwV2eJrHON4QNsnu9VN2PpKrB+gs6Td4i0zqDt9NuRalO+GIB11GcJDPB5
6xVkmoImFRszNR9UJnb8a8QKuWB6rMz/MQwptHS6XktsCHM+amjRn0PzKINzNFAZLDHt/rck8JRE
GlBJUFEr1Jq/aF6Fa1kHQRnruQBCGhGU5UwUAdQ0ooJnt468QViAYJ/opxYbiUAdPvV9xDLVFJKs
iQsE37uyRT0L/Wga4VDhYoc0yS6y25NrcwwA74FFQwami8YdoQrMs9xF7XpLqezh4aaTikSA3oXN
lV5SyphVgujhkKU5Cy+9LGCOK5pUWZiKcFDOfHPKioUHRbxY0KLP4jl8n/q+rw0Gf6QGgXldaFQL
Lp3K4kaErbq1M09buwDhitIb6Zgbh75yk0+YC117gmH4wQ8byGtmEZXjKUgrv7gceanxNs14Tgvo
33KOQKDDnbRruuGM4r16pYo8+wCxVD4uAgCKfRbk+isIoW08t0Vmv3WwBWmWlVVZ0cIDEx0eGkGJ
lqoBqaY+9ApNpereZh4apE2zNBwvP/VjRCeWajxi87evxjbsp9Gq0aqgRXs5QgWFXggBUFyN3WeU
1PX6OBxz1jNtiHlibmywuOw1BPZ50r6Ug6pcGn1R0QDlbanY0sH+bjPemWiavnyP6x90//2c87Ia
zZddgaqvUkZObUBZ20tD9DuhgCxDYmOhKybxa7Jjc0Gt4+XGFF2C+X7sq7vaoZvaBB/4UfFKNSAM
HpuNzCMjRPi8mzyRnj4GaVB62OmKnPX0zCBS4feATf2Odb3bJPf6GJTlOMz+e2gvLFko5MjBn3nD
eE0TyFehOIBRX4dNY/hv0fwS6mE0ZkVwbtcNfBZ0hka4zW2B9cWa1iUsWh8VTW2+H2JuPrE+RDne
cw9jxfdlaFL3ZQvRn9ovn0ZmfY/aLHufSUSB6IEsQwWmxV3tKXu953FXJZw087Tvre7aHyRDdD8L
kXOXYzlQ2TlYNEPcc/JgKvY9sf8XFPupoJhq0734oaDYm1nVZnUf3sXPRcR2//kgImYZmJUL3Ya7
Z9DD0F1kvPpt3fz5B+p0B6rQLQMaHO0h4FCcL4MaGPz5h+kcqLZKV5TmlYr+mED66lFEzDxAEBV4
0+MnrxIRQ9rM1mz6HDqNT1u8bHZ4EE1slKXqNQJd4lxkVvbBBKjIMDYJu/XRHN4NtpLfPnlSkNtl
h/dN1qYXeZg19Z9/yE7g05aYbE6RYTic0aQvtjNXf9ISS52u6swgytZ5q38x0rr/BGkxXGqxGrxD
PSD4iS34y9PxCGlMWtiC26iEUGd53oFLtbDUksyN14loULbW6emsJ+DLJ2NYqhsPlYv7H9/fS2k2
XaWdQw1b54yuAD74/IQ6ZKs2rbx4LYaiX4xtUl+R+ePcG/NLRD0SdxVopf6Tdvq3t0kRgSanRe5m
ad90O9E4NJpSFAoOCT3keaTDDneEcGJH5xoFNrH8yV2aLzq+gvoU53GRJ7AwqaR7/vw+i6KrqG7b
0XrwC+sjsToWIkFQnKMxJtZe4cQFeEAQT36LHKIBIAoOV4KxmGXhOKe2FyZxFRAlzz2LEyWKVpTd
9EMQEOZmdBXtGsFx1Kq63SIYaIG5oSOVvEcjF/BSUyMypFM1mOdaxDoYBKV7ApQdL7iSX0aUJtKZ
Y6XFOZoSYm04VfKevp449mt+l7Gp4tYBnuJUUM5ZGLSKr9VSGRYVJkCrMNXdYVbBC76G62puwCQG
iJT54wW1DoD1rodCdtqa4li1XO1alEr+kVJIPidtKc6roS6WVg6qeRmFmn3JM4Q9QGwxrzrePFm0
cRSC/IJwyDXnYT5ceEg1oGIsOfZWYm7UyTY2HZalc4yR2EEItcLVOPTcEpR1hpDb9N6pB7x2iXul
eWTLCmkUuLjLpo6OCN7Avt7MUDnPrybbI9qgbZ9+mXysDuHl6j2SE40zLzOV7XJQRwsAFhhnsOBo
V2Q543eVEVm/h4KtjccjceJNEoZa/k7V6XssYsfmGmDrFhUosTIc5/jh5lc+iNtpMYY9e5ZVUafq
bU+1Z4bXONjQD2DF2Ar7/hJTI8K9qUycywmVuMu9/Az4SJ55MqQjqZsor+U8viSbKmhmKJZ1XQm7
o4TmBs072wbH5/aNdtzhJbCERYu4U4te6EIpSLJByqbY0hToaWxapacBmhs1EWBsW19EndnXPRXW
c81V8rcIf7HFR0F41YwEoRDx8p7KQYm9adpP5hlZH77IYwJSJymwdFfsLH1P8IuPjjIgak9Xr6u7
lYMs+rYPgaSROqTEBiJCgV5TKaEchwkkn8MCAky0QmnYvVJ1H8C90ufVh6jUBiglej4fSeWQNDNw
XfJKIth5lwzO+yzECGejkSlvJi+DzYvDkn8b9Z1yX7uhvuhb13qv6yp0tIak3aEdwaB34RwswJkT
mHWiDFdBRAMGZNWo3KtaZ35QK3NYuAhzX+oJqsE+sscrBox+6OGlcA4Sx8EmTteuB3RhseRupMoF
avdYR/d+nl/1mqW46xr5dYgHOaPPSdPhouxLRqdVVMTdChI2F3U4MJfZGgnXFMq+mmkFZwhWFueo
dJGB0+sg7NKMXqwbyzQ2o9Exf3CZmYNdFqeam+lwpXv3nDUPkyjXSanf2zne8+ipXKUi+RJWTnNi
JkN+Ytqp92kSMZkG3RNxTEJWoHVl25dG3cTaRg3kZaQFrI3WqAsTd2vAybOuYK7j/UMm29uFpa12
yyVkgPAscZrhwkWGbYWxOkFZyF+mKhMXXoVYU+jNYRUPpGTOiOrZYkCkDgnCeGSkVxEQHkzl2vLy
QT8ITgIaEhqzWSudy1TiICKR+rgYJDUx4V5xCF8eY42eu04ZI5S1rCFN0hOXFJ2SHaYSqCEV50Gr
e5882M1XoRPh+E5o7LCLFUxBTcAiOGycYFxUBuuKP6FV4FQqrLNOr+3LNnLdTygnsxhE1uR+QmYS
qLplj+1a1KM4VhzcS5HTxdsdxUpLnKVZoB+hwmUdeX2pfp4As9/ojW7N4N46IMiErKPoGgyKue7b
5k3fxPbaA51fzMxOhVoRaQlzE/HNXUOa1VImwGrOs3CaHE4aEQArjopUo+31jrZyC7cYSAxl7RER
nHGOph5rWZeNNHYwqkYJHaVoFAcVhhUlImL1hdZLtd9YZ3BSvJ1oeDRdYgKUGhkzXkvTCI4Q4hXI
vlFcB3nR8lrNoflYocaHvZ/rrEDyhYz9GoowwAQf+n7Oux5oN87MSOOajSDv5kFXK+eTP4bvEl/K
jJH70sqg6HAytANHzrRKHNvFToiB2AdEqYCqP0MbpDumSlSiZdZXUHRgzvVhsqlCQG0wgUJkGNJw
Q/ISzbQoP6+yrqDjA2dIpBUagPTXF2PSu0fjbllv62A6ZD93lyZqa/NOKfN7L4DwY0RT+05nZVg6
UPnB8yOvN5S92HipdDntYDIhsFov8LsIF4E5RUssYfBCH3wTHovtbNLQUa4QhGvf1aKN1pPh5rNG
n8CLhXgmzVCJjGZQ92C9UQZh+cLu976VyNosaLkvm4+JqJqNAv/rRvG79qjzxmhZTcm0tF0vOkmT
yv4UWQp4Nui+c9UOoYJ1IlXfCgvmL7oA+coEaGfOQS/DlOmF531y4jr+iCQjbmAhEGjwu58mVZ3e
1q0HiHsERFXodYBQmRZRLERxmlowRopaW9N9RIcIAUPvFF6qJusCdn1Oj8JXVgrE6fQIGf/0xs3z
tD/2vEzpWX2Ryjx1DNsIyUhHVgxUGDzkQeKkGuYUDkLUKUwaQlAuXPWoKBLg+KMlhWik+EvlIFHF
WDNtWmAZxRNBBj4rw6xHRIVm5EKnFbF1KbplVAO7YDNFNFysCeU9Z1DM891gQuMrU3jjEY0E2Kz6
AvVbagAR1hpO28dvvWQEy4XxKgxGKFPuid2J/KQj/TtuUC6B0OwL9aj0pOScyqsPN21VVMd+lZir
CXmrCygBWbZWavSNVqXTosiRa7GCAr+F5SmZyhHw6uhdzB7kz6SlG3wbozkGAxr4KIDCXI7j6Uio
DdoYVgCWif5acKpRqjvSDY+6QiPMY0C8DqUuzAVmjdKJkzEBHNtCDkqwlestMA420j6lBfOzgqJy
OmgqupiaeTfyHYQAZw1y5H1f59HSGexobrptcTyIulwiPPSFwugN8KjxwjRoox7XOHGZsxijRSLO
wF5M6C8xEXs2UkzqDoEVjjMsZhmf6O2Zx00fwFLOkOztLDip3iIJWhNFtSjEtAiMmuKEqz4sYIBj
O1KddwM1zoWHs3hrAwfoKa9QL2klOMvvLlBfCJHEBMiGAOhQDldtJdQVRX/tBLIUUvJJgtljKQTy
ooYOyND00rWKPc4Z4K34JkPdPY/64sxp4NkB4dOB1ti1ZOgaoU7MESVNsG51NT6m/GlvYsqNmLa1
sYCChWOTp4QIngy5OO0rjQGU4kmHbzpCD/D922w2wB9ZWFWcnHR9J9YJKkhSscRZINxrfvSxcURE
YkOI4Z/Ump2gp2L0mzassTlMjI4KIf9/G6MRsRlwWPvYawHMpQhfsxn7XPsRzb98aWhNdJm7isNe
XiXGpqHssgGfZi40C0IeC4dlb5UghauWB3p36gvFppJabhv0IunUTMHHKfdr/GzAJF56yA1hQWIq
w1YrgebNE0uBb2uOPQ0G3r4RIEJjpRp4LprsDhy6aoS7CkN9A9QBHUWjPIPoFS4hpjZv85G5NCEH
BVu05DV2TNu3crelT0xt8h6CXHFIHc//nDSjcolkfL6lujUtM0UxTgyVaT1DL0qlNozvAiXa9Low
KzEbhsm5dSyLPoWHYBWoIFQNEIvAQ8iP1PwKuSixhB2cTCAd6R6wznv3+Iy3q6npw88WzZYj02ts
pJrBe4xyZFkTxgkDxDWMl7o+WxZBXPJmgD+lDD0WQ0qPNBnznBZ5ea1UNfptiCpBDMkPG+TvVrDK
8Eie9KVXkd0mDogZT6Um7A/ANow8OB5bNz92NOMcbPVdVFvpnRd42aGC4hGaLa1xojHRF5UzhXjN
K4azAYiUQnHKzHloDyZxvaiWBmpMeNaKvpzDgtBO3Mm2Z6Vrf0ILDEQRStUs5LG5BKiFCqoyocof
VkXywYHT8DlkitSgbhp3XZhdBd8HYPnhCHL/TJGcZHxo1UvafRkLqgJh06/MFYbD3lp0pXOh5/6a
9qO6pSmlvGVQo/mcVpoAnIhMsm0l4wJUsjjuG1IpWIoY7gDXvzHbipTfQkgBtWYxSNOoySYyxriW
5mhf6/pNSfEtpf1EaLBTbeuCtjg3QOh97EIyOaVChxKXoI5wp4yEWOcUG65D0Jv0CY1WPyzQSZgj
rFCgdL2r7Fp5sZxyck0jIdox4sC5RHc1Oczp8V7lhh1OFPxSsCAQwaVQDpB++2iMh3L+4wRdk3WG
J3UWmZ/rGlB2FLF1E1Cu+jw/x7YsQbsDl7Aob/obiEU6LRiHgKmz1c8FqZB8lxEUnQQIxgx2RNXM
DJ7fWWaIeKOabiD1gvoByFCSv/3xxX2veGAIVTXJTyyDwswLXHQ1DdCsmzhcNxDnMCTE2Cub0xQl
jdDd6AvqrPV9NpB9G2wlC8zkUNLTG+L6FgRYYgwaIJ52GMExa+DGCsP9FOUm78jVMyTAA9qHltUa
Gz1NULvMXAMNG0oINI/NTcBQy2YNmHG4Wc5wAX9bPww8Pf2yCzZ357I7/tDCUprcqCdoDv3YzFCX
HMgWokFxWUrBOtqgdgGi7N4x/pM5um+jWKv9ZP8EmPyiuCNfpSHYfy3Notxi71DLT0tmAHEdhege
bdcJ1TeXZxAFpCLUWDo0ErnJn1R3XsCg5QkpTJB0GyrVxm9qO1ZlRDSOIZd5Mc/X8UZ6Hzu0GItt
sdQcP6VSk2q4KduDffrjsfGdmxUUFSgPWhSXxMv6GUpAGArLvW/3/lHIr8jEjeSclCY/7y30R3bn
+18rcssT3QGVrEI/aOq//vVw4vltc/vsh0XWhM142W6r8e22hp//17/4T3+by7/81Q/fbHdH+Vn9
msCQ5eA/168vqjC7275Z3Pe31f2bo1oaYzwrY+8P8FjG1g4Mk3YLY8+klG0aDJfHMjYFaQYnNUcB
dQWmAyyfxzK2fUALSYPkoyNaIf6uYYsDhwI2H4CzB2jP0R6fxEP1mIe4fzLfqyZ/wzrAlFPnHLbB
0Rgu0ifiydxg/e6xGUQOy7XGZvoQZzLwRjFYmPVZSKalfunIDUzg6+2EmcbMp9cdoOOGeZZ/NOZ9
q1y0w9SvQRW01BOTpDHUQ13XY+cOsImmAlwgpltVSEJGUu2KjhpAfGTP6IYayWyKLJB2vhLjDlWR
qmeHtFmlmFFdNf6CSCwsZ6qFERyaUw0yqjMv6FjwyjytukMMiEfsk9CqOs4xK71tSPEIKdUo5kJC
mMkue8pI8DHE9Zx1x0zINTsj2ECKCJuzwgHEn+qgxiodQ1AHXoS5cPwGiBa3VS0bfC3vcQGybsMU
ajbOaFOurzG5bqAjj/BbM6RK4aMNMD2JjAlnw4K0MZX2hJo9LQFJ04nPByWuh9lAdxF+wRSGLZS5
WvkyNc2IiCHIFIp00lV9ldq4a0AxyNGbX3ntgIdEBxEh2K+G/9MTdrXNz27Tbb2bkF8n6H5Kfv3x
n83XJ1P7mwn7ddDK6bzrfVzn/70/ehz93z/QL64AKhzaFyvA7qJ268+PjpHcsky191soeuYB67+g
l8DkTUC0Pvxece0DcAQqkGtX3X3xOWvNk6fzn+7/x7f27bL47XF+dOn7tVGyC3XDtthXni2A//T2
ad4JKdIn73T3xcry9ClQyDnQUJlDSXG/1v5W979jD77q/gUOSEBPWFy5vac3bqkHusHSTtvS3X2x
Hfxmr/87+98/ff2mdYBqiSHg7O3vko3n2VMwDlS5HUKg/b99Cnc4WzUypkASMXu6iRtc8a+MgBcH
+HsBsPQDwRyno0ioLr9oAT59BK60tHIAbgqarA+f/14DgXKdpFz+ylO4vU+lSFzd4IXbcJ9fl0HW
AVIUm271w3Cn4fv0KWiGOBAasQ/qdL/bRJCU01fePruAsF7uAJouDjTNgu6p/3b3rEMPIwp91Ts3
xYGqGpqFScv+68XaL8cENFEGBIPh9xrymio78a+6e8HLlakfVO6vS9uzEa8xJjQNdMNDlvEb7Xwm
nYzX3r8lDkyVXICRtH/7DKen98+6p1omLSsNHWj59fvt/yREr30KTHyTYUBiZe7v8sVT0FQSOawM
KW3+fvEfa/H+ov5Osf9pACBUYFgcxjYf7v/FGuBw+5LZL2QhS36xO/5eSwGVImkM+bq1gDBHRejM
pQCw/3o+F2z1gC6uKRFdXz//zZ4CC9lrN0GCQWpSBiWLhxn/YixY1oEE0lmoHuyfwj+YEb+weH7N
LXEkSe53WWW4rZ+Ukn76B4+J17cHeEioZNZEwPjs72SVaX/kfWYlf/7rWZy0y/mefPiYA+5O8/Dv
D/f37Zmfnevxph5/uQ631W11R3VjV/B6uEqZ0P/5x38ln7dVc/s01t3ven9fyZ9/PLvOJ5PgRwee
oVwe1sEbPD/b9HP47Az7UOq1Zzi9zcIm//zsyAAGZa7+2kNjcvtjTOp/rhx+XSF+9HD+kYnua88l
kbCyxPjmeotMYpNXjPfHR/QkwX/1M8u72zdXd9i6P38j+xDytUc/z5rbKsyfXfd+Y3rtkX+1fvvK
18AK83l79+z691vKa6//6raOb5u7YNvfPktZZSGXuOW1h5fGrNnXoTM+HnC3xu0zwtee4azNbruW
PHF/IHnkh8jzx0f+3mL4tXL27RL5WBH73r89X/7lX9wl29vqr38DAAD//w==</cx:binary>
              </cx:geoCache>
            </cx:geography>
          </cx:layoutPr>
        </cx:series>
        <cx:series layoutId="regionMap" hidden="1" uniqueId="{8364F413-D4EC-40CC-8929-B85F9AC370EB}" formatIdx="1">
          <cx:dataId val="1"/>
          <cx:layoutPr>
            <cx:geography cultureLanguage="en-US" cultureRegion="US" attribution="Powered by Bing">
              <cx:geoCache provider="{E9337A44-BEBE-4D9F-B70C-5C5E7DAFC167}">
                <cx:binary>1Htpc9y2tu1fcfnzowKAmHjq5FZddrdmy5YVO1a+sCRb5gxwADj9+ruotnOttmMn7+RVvaROTkfN
AcAe115797/fT/96Xz3cdc+mujL9v95PPz/PnGv+9dNP/fvsob7rj+r8fWd7+9Edvbf1T/bjx/z9
w08fursxN+lPjFD+0/vsrnMP0/P/+jfelj7YS/v+zuXWXPuHbn790PvK9d+59s1Lz+4+1LnZ5r3r
8veO/vz8v6v7h87dPX/2YFzu5l/m5uHn509uev7sp8NXfbXsswo7c/4DnhXiiMooJEqR6PEf/fxZ
ZU366XJAKT8SlKpIEP551au7Gk/+ia08buTuw4fuoe9xlMfPLx58sm98Hz9/9t5641ZxpZDcz883
d+buA06b93azv7Kx6643//14zJ+eSvq//n3wBQ5+8M0XyjiU0o8ufaWLW19a81km/7kmZHgkQ6WU
4HSvCXWgiVBAE6FmnMvPq+418biRZ788dF3ubDd/vvitLX1bI1+94EAzt7/8szRzc9eXdw6eO979
jQoS/IjDV5gKOXn8hx4oiIgjHRHNJROfdbBX0J/dz7e18/TpA9XcXPyzVBPDRvM+e7axla/v878z
kiFQPUr+SfhiiG9UCsHZgdP8lY18Wy9fv+FAN/Hmn6Wbl8bddbn9bLvfih9/MbmQI6K4FIp/8pjw
qcdoOAzTKhSh2HsU+7z23m/+xIa+rZrfHzzQyMurf5ZGrmznsvGhd79H9/yh/yyj/1w/SDlCq0iG
dC9+cqAfSvURZRHVWhwk/7+8sW/r6Q9ec6C1q39Y+nlxZ5CI7//e2AaMJoRaM8uX8S1SR3zVngqj
vQoPMs+f2cq3VfO/Tx5o48U/DKZdeXM3ePc3eo044iTknIV6L/MDHBDJIyI5FyEN99cPfefHG/q2
Sn4/yYFGrt78s6IakPb9w/u/TyEiPCKEaxbxTzVM9NRJFDlSSnNEM7lH1ri+r5/2aebH+/m2Pj4/
d6CO680/Sx1XD+NHFFcfqjvz4dn67+XdfXf3wXafpfSfJxrBjiTVYQQVPVWNJEcspDzS6lPRg/Lz
S9X8X+3t29r6zqsOFHh1+Y9T4LO486Yf8/flZ/n950rj8khENJTAB/s4doAOpDyiSodSyU9ud5B7
IPA/t60/1NeXjx/q6J+Whexw9+zmvXV/Z8nDBQJfSKVkewUd4reVUiBydS1wCU/c6s/t5g8U8+XD
h2q5+We5zqsuN+8fnu0+jHfdh2dn/RoDP4vqb/EgkDkob7j+PfF8id6gH8I4/heJ/fWD6PdXd/dt
fX37LQeKe7X7/1txf0AM7o16r6knt/xFGlSyIwEMrSX530r0S00B00miKdHik6sdVKqfico/3s+3
dfP5uSd7/3/Ne/4xJ/o7U7y9c3e7R4r5C1r0+1cfDwje++DRT3Hnm860l9bZh5+fc0YiEDS/U9fr
S55GrKeg+YtnHu569/PzQNKjNRJSQImQcKkVstFaOeMSZeRIakKlpoJqcEGIhmatrH9+rsMjoPQo
kopwSigIpOfPeuvXS4IeRUxITihBfAUFzn6n9l/Zak6t+V0en/5+Znz9yubG9T8/ZyHe1Ozve9ys
iihoEEk4UxRsFFM4bvP+7jX6B7id/p+itbQTaRneuKKdfHc8Dnqm9IIGkQ/EbpkW29+OzTD7B9IK
Wl9QP4yS7KwZVdRtSjn0s3zZtF0xXXOZlao9TqJKB2qXGyZnezaUKi3L07HuShOcjtKG8sTospyu
fT8OwU0orJmuVUVIzzbG9k25q7IscWednHHTlA1ojsRhvhTL2ypjonzheCLDLHa8ncp8IwEDxmwb
jAzvjoM8r5e3tLAL+xiYei67WPHGhSQuUh2297TU+ZRtXRCtR3FJRfrYDoVoi2NCRoKVMpJS/0C7
qMAl7cacZ/HUhHXaxJFofXdG6FwMeRw1VqiL1mZ0KuI2bLPytcmihWZxO2S6SnZN4HGKpZuxklJ1
ra5G087LiaxY2A3HmZeLfadTR8f52HS0tS/NTMfgpmXLemJfDMa+LEMt+mNZSl6+6FwjcFIj06g6
L4lagjszVQFE0fgCcgnmtp6uG6Ea+zKnJoQ4qjlJcJ3wsJrbE5mLOX8lmzltPiCoYF8Za13+rnaz
4zL2yobmNOqmsdiM3Qw56rom9YUtW+yhaWSdbbO+CNrbPCHQpa5bmTcxtamK8FiA7WYiGYpN3VTQ
YgvbKDZzIf34JhlM0X5kRnIctplS1snjeVaivSFlXkXvF0udy3dBm5vFbkpTrU/SQbZum44jzCCo
JUSTm0SnIt5/5a1o+9s0L/CKDRvKchnjfHI+uOlEm8NyTEEhR6cXSCXqhz6fNnlgZ9wtaobvkpZI
mLBn+ar3NFpk0J/SLM9gIFXXD7jfqRGC/6QRq4F0pw2fi/WjzMJwzl56MvTS7cpoyXi9y7N5CXjc
NTgq2ZEkL/rbpJtWfU6CJYmJQ+coa+I5N7bckUVDpqNJccIubUEYw46TLrgJ4JKZiHk++uzeLIOs
z4QObPZb1KU6YBuXzrOuXhEv6v6WtU2Ks7dFxKHytm3L5W3fzHBI2vOyv9Vphm9CR/y6DSul88f9
GGhdb6wxvDnjrpS+iKO5cP5c1pY1Z0a4LrnN6qGhF6nt8/wd9YX2O9dELb1wSzh3m3bU0tx3GZ/5
bZLPldxCdFW1G/MML1VCWn8+DokSceDNbE4iN/XmdGoLLVTMShWOeXU8diRrHNmSJnBux7vEHpfx
NJP6hPciKmPiWXhSENJWZ6ZAgInDNiHFlgwqyTa2b/XbKm/ohvRuIBtSuuY2oqIQ23aaXR3bYGiL
TUP7X/Ogt7/qudSvFtp5ELW62mSh182JTAbJYystVsuCMLlK24rf+UkHu7BS4rc0zdoXuXaJjbWl
vktjkizBcs3J0laRu6CZKPwlwRsRD2aievcu4p0OL01XZa7btT6T7ipZNMnptWNtG/rtUPIwqHeF
M5Fsj2nBc2jbKMsQh/KpaBGvajZAgvFekWKNzQ8lI7P5ZVzqngbbIvWZOf0id30jG1BknC+TgYbB
c4FspcC9RkRpAL8vk8GQDHU0Dby4WeooMqeddYRezelUIxbmqQ/LF3OJsFZvTJ06xGuEUyJPWFIU
MEDWqA4b79oUFrw4lqUvE1F16SZYmy7kVVASRJN87Aa/E4uZkxng7/fU+43tI5U+2T0IR64oATGs
WBiBdnm6+zxsoqXsiurNFLWdSk7rLuJ02HjCRMpuWNXNNgJJ8r0l1+z4RfZcoyRYTkpCFREsyA6W
5I2Q3dx3+Ru/zMFSxrPUiUljNw1FcizK0o1y66I8Wt5+f13KDvK2ppTxEBgB9BGqXR6t17/I2xWT
lR9k737huvDzcZsgsL1Lu8TLIZa66M1tNgZq3oi5W7qN1fkA30uIGueYtxxOmfVI8UUcdOmUXLZ6
FuMvY+KS3G/cPNnkVrIRj+i+IsEmW4xtr8I6Kdi2DCYabBCPlb0OGzWHVxFb7KziQFRBZWPeczrd
1d4pHTeqRbiohVrqV0WWOWNiWocjtmiCGtsCOkIEjAMXIrZMrAmTS0mDBpFnqvGN5A3ijG9c1h4v
uljUa1GwOvsoC922V40x08I3KWYESr3VJF06fj6QQNjreqpK+7YMOF6ilTL27aTg4deVzlmwYa3G
+aq0QVAKao0l9rvpwmbIcI7O595sBhs2y8e8pV0FVGCMN6dmwfrbngUDGbacR42oYrLMjSp3Zdl1
9GIZEMaPPSGR36VmyMz1VHVy2GV2CgaEJ0CabTKFLrn1aeiw1n5hUtPWn7PS4Jw1C5ew3bDR4as+
bwXkM6mEFS9I2Hn6wjBXlDxOWos1kHVGc6qEDcimznwqrkf4t73WwYxTVUU4fkj7NNJ3WYN4dqPS
tpUnYT8Jd9maIalu+tpn5GRo/cLyuMxKSS6YIUWXx2ERqfRK5NPYxla52V8F0zTYOS46U0Ge6aT8
jlYZVkNimMxJKXzjz8M51F0bzy0Nygv0rbGNAgGSVxsfZatKk5Yll2ZwvSk3PjA8CDZ5P0Ks3Gtn
Tl1LYXXFEE3qta0WQ6tjWVfQeda383Sdlbbt/fkPnGn10idejGYSXZuBAlicCgY28EtfaqdhgDvJ
9saKoerMdkjdEs0nZm67cCN43uvyAti4Jc228WIZkKZrQ9ol1mJZc26ZkASI9/u7CsFjHe5KKEEl
OpUr10UPPJyzfM6XgY43rUkNiW3WlW2zY13A7XWfzDAiEgRZkW2Gagybs2KuIH8ZJkv0ynAyBkU8
PRpDHmZNe8UXMohL0tA0aWMH0IUo3Fk99emxHeoq+0iGrmuv1qST3BZRlY2Av+GsygWmIKfmRa3d
0k6xaf1Q+NjQmtC3pJ1Fd0+JKfqLDGjNvlFNaeyZov2sblsx9u6MFBP8L8lmEs7b74toTUdP9IYs
pTF5gukGwSg/rF3K0QNk10vwegqWVWG1qnjKTru6TLXaWBupYdnOC18/+Ir/HfCVLYDXvr8P+lUa
AJWCtgsXCi1JJNCDvDnR1sBrR3tTj1kD78xd1mQJ5I9jvwpoxrsoDpIytNeLNpBGUwQasbeBghXd
+NYFwxyLulL1JZkn0x3bVk7UxKPmhf3F+VHgbpJGBtr+/tYPMz7VDOgfVWSIxlGIYzw1fe29J3Jo
0tdz2SzAhzoja1XVzppHKO+qJUNm73SZobAbLAeQ/P766HE8VSFyNepYFMcE9TG6hU/Xn12RdwY6
v15Y4VANhv1aySzLUl+MXYj6kAd6hc/SOlm+ELoIoctx7IB7v78R9fVOIoVGABcox5kQ5EASc5M7
qocgeV35PJmyX6aoY/UFqjdUGWzhK6Bf8mUJSsDZLAxInC0SBd68GBQ7WUZRXSrj8Yic+wEmti9W
Pz3p29TAoWSVA7fFKWbN2ntiShQrAZCDyDZza6oqvzc8oX48FumcLW/beeT98b4Q9NSjVFA0X+s5
P0mnXpZ1kqthVyASKbkLU7b0aVxnKXQGMIa34k72KM8q6Zk8mYZ2Cm4mlH/QZSfCtYjmpgJe2xHD
cEO0kvm3FlmgvS9tHaDUWmSG6nwUvByjGLJAUVGXcrWJKNKzvlycGSyN5zGMlNrUZqlRBGbtjPou
0yEE43US4I9ONyikMrNoNpxHNFFw06RPHaBkXmucEieq4LNzSOcs2omyKcdfcpENyXFJUE5dJNOg
sV+bclvlH6LcW0BN7uceb7B1P8JEMm9X0x0dVyiT/VKuBMWk07VC9moaECCozzrA1sDWK2BtvVr8
g+8txY2MSovQP/Jq/fi+bXG0Xp9a+RrAQ4QIcCwCEevQyotZJ9zp7nWzj0kY0Ozz4L5nYTD+loRd
kaebqeMw/bHpUrJJKpQAO/StgnmMeSFXVYV5BY5Az3aVQ8rStb7PloiRNq5JYxJ1sZZUo4oH3dPV
he3Iu91Cm7TJ5o0s+qxjMeDfOF3InLcKVWSE2vgC3tk3UGFbMHaiyiFfK6YkQpTfZIELmld1Rob2
TZ4BWf8y9+ViwEF05SPfU5Tjsq37hcK6DLCuRXpIu1ac1IKtIbhx05KEMYqOlWiZwFCMN1W/ND+K
InQdOHgiYfCfILPX7rYEc/aVhJF+QbXB8V4PkUvBP2x9rQp2Pcil7uKJRCnst3UlSI0Z3BpsQHaZ
7I/7bqnALpAMwaWY9KK6TcZCH6COjsZmekCxuPA6FqYJab5J5xoeS5jHM5LNiE5zWuMtUcGUb2Pa
SDJu5yQ3tIXWBCpOu5RFfZkVoV3sLg/DlYmq+zrskXwBG7NNEyQRdAz3Xx2blx0rXxDiVj9zXqmL
yebdEBzTR5YsD81aiTFbwljjuvEZysa1SFgtvJ7WwsznpBxOF1kkUXup0mQ0d2UP/k/GfZeBxIvC
cd0DMhYFG7anvADiUcV5n/qVtIBOIZ7Mqqq/raVeXzrXwyPloeegD047X3bTW9IVhT3mgxWB2U6t
XE+R5MGCjX3yzpGnkBNzJoE7am4V4onRYHXcbuIe9awY69VIlCfrR2nd6pRNFDbY4D7u7mNwytP1
2EWG+uOS0JQV45mgc1pkJzIELns1lbIS5bYa2GOY8uFqbS3PG9TYieVjeeojFgR1nDxSZEwHOJuj
DYgOuiTIqrGTi6yDUwWez591eaT8fBWaJpBnfkwM+QDYmpH2VVh3MIB87rRTJ0s5T82bOk8qfxyA
wPcPSeZmcDiwHBA6ubYauSqY61VZlGUQ3mmaNzDB/Q1ICStvk2jmVlpJlCHCUN3Wdj6bU5rZu9by
us9PbJv3iF19wAIAmCgvVEevCkVXzbgISHAEWVgAlm8LluFgScVznH+kZYOPStZrXm+KCSTe3ExI
WRGdhuBkzsupOft+oHvEpF8iMoAJgTDHUQ5LpFB9gKQ5klRWpEX6Oq+jAmmmZ14BGSMmW5DA+yS2
NFFgzgbazOFrDRag6rdazKvKaMALHDgo2hpGErmMQ4Hf3+Eh3mEEHDymyjEqE0VCigNQDeYWYD9K
o+thUmVpQQ9OOo8rIrQ4tU1X529y4yO1S9Neyx/UGd9YGxEKKIeuZLvSB1kAzDnvy3zR1zLqx+g8
j2rTX6c+4m9Gkk7hu2YOWtAtLYlE/P1Th4cJCAgLc1poxzJEyVAcUiNgeNsQ3JW67odIBWlskm4w
MSlF9TbvZ0o2NHD4T1kjWg5Ok3viqwQcvpzG5JjWg9Tbwko40v6/WdGE84WxrGC/hrpiZGNU3nSX
rgySbjcmS5jcmtkP5elUpoM8AQ89jdt8DLxeYsEamZ2zOmDVuS3RenhoeNvIk8QRS+Kx77EHUQ34
f9bPQv8gFx9CdYZaAT8b4JgepCELxXr9C94kU3bq+0bK6yplyFFx6WedhnHGsghRP9SRbciWIzjY
X7+vg6+0T4lQGDeRDFM/GsXC04Wdm+aE8cRdp0oMUzxlnslfs3IO8ktw2PW0qZHDygsQK0P2A7f8
6sxoEwF+KCgftJE4NLw+b1yA0bEIOaVCSO72TPE+xPvcgu/HFNMKNb5/YnpYnzEaIhJgNF1JhYEM
tKqeyHpUSGR91JBr7VF4f/AcJPK443lL7LZSy4A8I6AKMm2paZYezL4CLx4HgYs6F0e0lzlNY+Zd
7cvLPDcIsUGyrEicA+f28nio+BoF8UuSYbAbVuZt4pGTmOiW0x+c5ZAjYGjSCY1emdDg+b4CGLaf
2kRWCRLaYw4gvkc8rbWa6L2hok1ezMQH/Sbr6czuM3AW9HTsuPLH0zQz/YNIQldjeRJn18Yk6E4G
BhIN4Meu3hdWjNoir8Be59fG08AEGxFGfHitysQF1SbUE0HgFAqpvIzrMXJNGM/4EUfxW9DZZCE7
DD+lZXMswn5lcdN8suWdbn2zJn7WWbzj+9I7rK0YYxrkqERqQDc7OjRAVsuqr6HF64KSfHybloNo
73sq18ouT6sieZeJiPkXyWNXqq8btLAML9Hj+IH3q0NShbFQSsUeOZVVhAde2Iwi71sZmusgKt3y
akY7YVxi9Kgkf6fz0voT6uphprHv+Yqw804uakOipEjPpknK8bReUjbEsNsiOlaPjTkUtjTayqKT
u5YNgYbIqwxdwSXNK7VlJGH1byEvwvlERyZtTaxo1Q4fUtcMRRFngDv1QzUDR6wUYR6RJh6XkJHd
1LbdFJ6mIm3nLdBCJ6/qbEKxlCPWD6/Blw3lb4opsIYepJTeIuCuaDYLArvpAr0kt0OwICCjmRmh
CYfg1u2Q/NJmM5aKkA0fmgrNUE6D6X1XJbPfNrrrxKYPkkQeVzRBPA6zPi3Pmwb4Gj8IW1NFSnKs
kotZ8dOQZPhmKobHeopUgp8ODfLPqe6MNGdJRGZ20lqFTZdiQgmIVhayRb2ICKUzK3Gn9CIozieu
6iQekhZVLrAWMEOH1lR3WS8DvqlM3Q032nlr5h8Fqa9SI4PlS4RFTGKGMNMDiyDTjFKg4/114SkW
7H2DlMdVJYDGSEYg6Mgk2G2Wr2IlIEFJFvdg/vpdxvOi2GZNlfdvvu8wX0XsUEmO1j9MNFonqQ/I
iKnkia7SYbn2QcJ5uQG+rnods2pI/bwhvO27a6Zq4d59f11Kvl5ZgwciNAQlhB/fHRJCbVCM4DaJ
vyZTUHh1Yvblvs8CxDueuRWSfWor17lYkwbofJTRy9TUKAa97BYUn7rIyu6Gg4ck22ZMA/8r2mSs
Kzcl6bOl2eSwBfo2EpqZ23YsjHspgJ0R7GsXuajZCLNM6c7MNtCbHhlKmG1SVpqjIThGq62heaEl
KuQsqo4J79JwVy9JUG+jxfTpFThOTY+zUKL9KUHhy5M0Dx+rJM0n2mxaMrn8Cjz6yg3seZh9o57V
dbW8BYxaW899UyVA8DbMV54Ca6BjPixs7fdalAioalw/hsV8hrSx7olai7Zy3vWw2HLuVxAOcqvC
lUI5RDSylBnK0OlRXuAL17Yz8G690g6lnQTfsWbkQf9KDXzNjYlFcZ9uyaLq5SIQaQKKBdmvIL8G
OSna9NJny1pbpREIqeEcCL+Vp/3cdEV/vFdKFbRNnm1JtOT5B3ihRFqtOe1tFi97OQZuXsuDcWxr
VBX7ZjnNIom2ZJBSANRNhDwz9WfG1C54B2DOtAO7JH35m8P8BoqmPS24JxPGT033/YhGNkclKjsg
abBLSqKh223GOQrb+UWiqsaqM2+LsTlOwcwX557LIX8xy7EAHkmYL0+aWkVTEyu0FoIbp4e1kJrz
SC5XaqrBZlR2aPB6Kklz8wM/+CoqcAzLE3AJCmQgGNIDmIjayY7Z6PtrzDU0yT1vbJD+FoZyGna2
jfLlWNqi8O+nNlg+JBnvzVvRBbC2RnjS3gcBsVn2g0j1FYDkQmCQSKyN2UiAMH2Kprzrpk4sbrpu
VTnBICvD0FwlHX7XZrdpGsDKhzSI+huZUdX8IIPTr/APX2ErV+hDCExuHlYQliy8bzBqcG1qRvMZ
QxgUvN1mCTG08cFaF7Z+A1Zt1jdLblYoXQ39+uFoJxk9HkcMzPwAUcuvkrngKwoCyKTAl5j5fSoR
VNYiSGruX6nQwhe2Bqk9uLCPQ0RzaJCl9jNGNVVrWa8tzKhBBU/YdmZNNZ2ACFjcsiEzCYZX4H3B
4e7pVtbNeAKZe+F3UpQj+qURWluw3z6hIM3grCvVsKDrv0YQqiF8XWVANWHZ9sGNybt26OK5KtBt
iqMi6MYXEQ2S9Fagv6aQRAtOdBMvgiF2EjkF7gzNygj9/6YEerHxsDQCwSdtHqlKjTmX6Xoe/Up0
BhOw0YsJlMLylj8ORrVJCZgXo2RDi751GcELVNHM2O8n9jAzwexPaTTrervMito8zjoh0t0iCJsv
hr3DfgpX+/EoZgaEMwnEtLz1Y7tuSpCUt/emMhXxcYHfIfMA4T8QrsE4FqCk24GsGlr64vve+JXl
K/R29PrLFo2KnRzq2bm5mtlC6Etl50acWDqm05u5DlYQNKF5dp4Rl8p3FsW8xQ9Tv9fgx7jlAdRG
AaMl6kT8Cw73K8P3c54NebosVyaMHEvPyiUAj3cOJOuDAqS658h3VV2tH58IoGliaz7wbRhCodIk
E5JmXmIgDv4wsRWchw7JLN8gtHFE8IGxlXTLBzmBP8pDGwl1ZnwiEZNtkibi3TD0PGq3YVs7O23a
vGOI4aMb11digmnEY+jzR0V5WtVqXaDJy/UlRULRszHSrxMmPV/6FnhfFCTbSkBN2G47Y2bvvg76
Sqoz1GstMokyGF1qf23KZd2jW6a8c1vClw6VVxhoh8WMq4EHwK3PnYkTTozgx7VcCpKe+rrGvPmN
zE3Z0J3xYVaaeHI0a/OTkWSuLOLe1ulwM49Vg+m6UKPt+jpPxpqTbUWLue5Ocy5coC+nxlq8mLQY
1MmOwzqwY34srEgqdhK2U4i1OTUTUHSuIzm81pOsSpDdzubTm4YGyPavI5iWPF/KKBjfeINnstdL
RC2Y3qWZx+Cyx1TXzDdLhDQ3/jqVdV2XOwP2GBqMeDVhDTcz2v6iszzRILEmjOOdKoyGVXe0Rt5E
EkeHor1PsJp8W6VJyreYR1sJ0bZf/Ggv6qGYkmOWwlbBL2PSSJ6PGJXIszM0j9bjugHcR7rRc+RV
FxdtL+t0K+wQTg9J2qjhNXqYWRSe4VfeyfjG6fIRbuzfh07/2ujAtkchYxDV2MpMy7Gqt61aFmzf
psH60Sc9wQc12MibwltaYACjqBd5XwGrTCh5jJHZR4EWSfumy0LtcvSHaqzeY4qvlJh/VElZbqay
mSHxWc6PIjIN2urxPnhG4YTZ1XgqewD7VjCPP2jOIX/aQkHnfZR0xcdJk8Kv6Dkb2MvFuQGCKMIc
u4pKDPXdL7pJbbCZ0DSsj6fFB9N1KfvV0JZQAB3ErYa3vCyLYFgPmapEnnepscVHQs26pyJpASZj
DBplazkMDJ8cV0MC0aEZvLjhWAu/QN5zFKDVFebotpKdoXmPu0lmEUpaJxp1GQbZ2JqTKWej0KcN
yXTXn6EilHr8TfVtl/DVgReBQbO2gA2nYcmwy6ZyKCF8wbBg6TzFV5oq/OFDV8LUuAxHfFdgGk2e
A/Cuf2DmZsbGUlTu4l3fNMEwXHY2g81qICGcaa/YGkJp73k2h+7NQHVF3mC8UFe3EvXrfC0GZ+Wb
tGDr6fu88OxlO9e9v7RNUkTZBvpfNaJYGYClG+hjH693WU0vB8xWCrpRPW1hZ90ASu6+CyaPFwEF
1cXHqMhQ76WPlu5ImmNLrHTwOWh/NdpadrAUlooaJ+yX1pTFu1IqKHVfRJkQM9Dv9ufzdbq6VQf6
RJ5XaNfjZVO2cH5KxhEGQPI+Ge0uW7KiOLZinO3/EHamzXEa7d7/RFSxQ7+dGe2SZTuxo9xvqDiJ
gaaBZm3g0z+/hjnPua2ccioVy4s0A033tfyXa6pTCaZIuIq6sOv0xa9gMP7okqWc/0wDN2/+OMjJ
o4oPyOvD76EaqeXnCFbg5RDYUmWL/nOxRWX/l1pCsltVx/H2aQk6vxjRe/hB8asKqd3Cy1Zmaz+z
59s0JbDrqtZ/X/dVt4S2qB9axU657kwt0e3Jk2l027c3eayW/Lc5jhZ2mYGwkN/9ei6Ib7Hy7EaO
vcZLm/tuhQOtTnOxjuxATxasOtrl0szPebVZHMZp/UZ+72ZZAIyLsczG4SZL4WPaJ884lJq6cBWy
Kq0jmQ+nfPCJfCtCYt647qOabwcPtHnBcRoyQeeEu0hvrBQFgxYllYRBwIdANJO0ZNEIFvnqhBtU
sV958BjGEZRC2yzR9x4y7JAShrwgUse2QqoaXYOwdUE5ervOk4DmcWtUlRQvA8qdS7o19nyRGwc3
/SOXYD/ytm7K0qTPbRpG4tfWJEvxoc7GqPk6k4KKOzOBC3enZAuz7feKI9m+BHFTqm+lrD3vT5e4
O5vHpI+Wfjh7ulDxi1OE7LeHa9PWTP1e/ewFiwwr1b6ipKNKG8UW6eppSHTYu8+TEu36bSuAAD6I
Ks6mb0FSd9FykyKrExfpwnYWT5NZ3K44d3MjaERlRtQYL0gUSEj3SzDVXXYaFSjGmTAgqukyZYjR
iP5mbAdYam/QGQyMChP9EhXOLL6kxSTi7wAJK9kDqME2NnPSUgqGqrMUWrqFqCEk6CY9X+6MO5df
DStFwrXFijLH6kORefNcZF7D7fmHnn1WpW3p1jC1rwSj2/fPmypX/VRKsxbPTVfG+QtIYDu95qj7
xgdvhzTXYJN0ayhc7UFDzccLZ7NLOgmS0kn/6qIyj/8YlgAwZ9gamH5hDMQhHLFFyqC+kXe6xDnn
l6uyHkbLao7bnSAWfeHq5dS1ZMbq1Ck9+nzfJDz1DGti6R8tDPtfDb6l8ZOdn+3SzLKBSd7bJfem
dKD2GHdpPP8S8ndhMVgNbQ4y5vxyFKvbhJhjIX90XNDYCg+scYcUTQo9OpzWZWnsF24XnGmWqNgu
kUzZ6+mSW6rdWSzPOyEFpzVXrbb5FWkcLfyGjhDpwlUD0fuJlWkr4Rv6MdTCthkQeiT4aEToyFmc
zPJyullwUdgSEwV93Gz5ZRo0YPb1EcXVYp9U1JYD95pFpve/Bq4/jOq+22m7nlLevMmp2262OkVd
W9VCxX/Sdub9Oa5cwlzqAhJ8BXuY2CJikWPyWMsq99UNhYrtFoYe9OLKkLqeKd3yDDXtpvNDExSN
htOfispBL98Ruz6ZamJR1nXgunmrOfxQr1qHr/Pu2QCrQ39D59cC00aj3W1zi4Turo1LIolCQcj2
90rUv82lhXOgpow72WXJpyntiIf3wqfcj5+j2SO5PKCa4kDcuZR8tu51plJ+CiapKHGvLO4gWntG
+lg0LNG4zrrdTq1cg7b7z7yB0t02U+rwNAfqgCB+DtGPEoBobnKe9LYMBpXLlVesTeM465OT9Ela
PWgRc3RCr0/Kmx5ThcyQvS3W/DH0KqGQNoEJhjdwgtrxLg0SgMV94QaRFJymNFnZaEdX5Phui8ki
yihg1Uk4ZNJvW7vZ7VuC83KyIkIof2pEZ/dJmuhdtZKVdTLhReGclmf8GqlVo0uaq7tgtgXFCcdQ
X98ModOQApIyLoNTXGbAlJer8MUkVrxycouo5bJRDcXl67LN4/oNLJaGUDqVVWTvrabyWnYntYFl
1BusP0+dq6rmbnTLfL60u48H3kIPf7uzL4ZvHFACxCF5SOaVI5BUq4X79lc7rAv1TC/z0h+vuamJ
g1Q5SEy+CaptzlEQsCnqke5a3hYK7Io8FZvW/bBBODa/bMc5JIpbKjvVc0tmijy0he1DjFwx85/0
lnVB8pri6QjHb3kmeLx35D/kEDdHs1q5kw1Cuo+J8ahsUGVUmdzXOWqtKwmJohU+XHVE/hglHIqx
2SUPGRkuucuGtC2W56axfv37akX98jAepPvSS3hznWQ2q23BYCVCXSTLrnpKy4j6ouhzq8VIDjNS
Nc42hElvc9keju6MzXhuO7IJ09qpcUwlfYo14Tab1yKnEgLPqe8CNPE6HE7JOiQLil4QD6nm9Dwn
XW5mOEokyfMynWdf904cXKpCOu6anbYBp9Panft26pBlVic5bm4Vjk9xiuNhGu7XfBViEv9Gie1c
6f+yUHTiMcQOmsE4YFIOrOo7/AVJ3pxVeZ5+jEVapx5husod5EglPfGLO3uW3ojLhCIROM/2DIRG
Jb/LIFlHTmWE6vnFSY1Y1VkPwxS/IcRaY1v5N3l779SBy88s7eqvH1vZV+WXuQYNvwciHfmHLimm
QZyVaPzOO2vt+a1+2taKXvQPlCc2aIuscejVNyjGTrzCBmG1OwW+walg9bS2pRpLbSi8dVEpCtc4
WWKp7mMUF8hYFfJTCtSscuR2F07DiGAn3drS6rQKz5bt1d5VeEcnxvC6kbIrcIecNhhvGQVx4bS2
Sw2U43jhS18kSqWndmzVmT5kWLLzFvdyHc6tV+a0QTosRR+dKsBlx95owdolGFZK+XtZD6kyD7JG
AvlZbL3rJI+ybkb/Va4dcCi5Inb5chTqaxZDCGrDAeStltlM4iaZybBfWtVw/aGuJ/eFcjkUrx77
fdjuss4gfbhpio3I1Tk1CNWFQn+lxyorBQYRWKT35Wh2G3R9ZF+cLmHff42cjudajXXPjXfwtc0l
StSQ0DRNndHxPVTYOjZf4rC0By5AUMAPjzLX8nsJJsDKa18qP3xBw0cjVQRjTofoQUDQccVx3kfe
r0Xn2Oav1IWM3xC5TNlta1wazaDsLUqgAePRYJZxCCEaeE3VBfVpyWZ6sbwXEFXsTLXSJdZ0+tyU
Yyhf51tc0PaqG9/bCNh7/3Htm8dgwdx2Vn5NLBtEWMZvTZ3pvbfKK1bnuIFYGNvNzIHKx/RyKKt6
seZckklnhEdUgJUKmlM0RrYPT9J+tU2yCTe+dKsifvii8Hie2Nd0M9wdt4VfqI7kS4+2w6HAJMEl
8tbQoixfAmxm3ORSGfvgk7Yryuq1yXKsVw81gZx3UQCgXEEAwslDTYu6WriQrvBGcem7thk/yHLy
841jWLFCB2tX93XhPaNpT69K3AUY226DdrYdR76G6OSU03f+q9X3QPbNkC7D3QAo3/hMufoZ9PYj
aWyjS+RhwMWdg1M2QDb5I7pbq9Q3i+jCjyKSwfZrgKkldS9BJJ1QQFiMJv1WInYf0kvtTCuZuoeh
cIqzV2NG+fmlMBTkBxSQi0lgRwIIAcR0IWqKd+B7arykFmOXvdLhS6dBnAAs/NJ1Kss/TGrrtT6P
QeOyrTK8EoQXfys4mtgVBQ9qMJ4NgjuUIyqatFfsDKx6smYRW/BAKDIx801GBPyccCq6ZX90awop
ZzA++1BwskEmcBCyA2e1OBwNwb7u/Lu6TW3u1FNpoawDEeEAWriJWtC210ZMFPKtaoEhah5wO6H5
2BKz3RQqt/u2RDbKkcM5ZQDNKvJI1p8MEra/EJ6iAW62Yq26SxN6G4cwbHKAHMKBDfF9mc7Wtmty
2/WQomI/P/WIC73+dooKCzrJZRHz57VubfhPxoBLbxdoPfBpkK30Wa78J8kcXgF0uNadYQljGpU6
OsWmzBLxZyXXCd1H16ROAOzil/X45JoslQ/hWIwA9FnegqbewvWSI5ZS7mBb4hcEwBEPkPyup4nj
f5rWpg4fQdRbjv2BJTtNxDMJALxp1DEnE6OUE4nozVscfuWygiog2G1K5Odkz2hB3tq11k4Ib92h
OSCmHis+5t28NjcFlu/praV3Ffe68nioWR43XExJ0vaDy+DUYRbezokPOpWgI1HtExhJkOWnbfSU
Ku463YHTENNFVtzrJFj9t3pDsH+n0xaSGrtlyLtOQ9UM4+04BHOW3wZwsi6PpFCpXM9NtlmIzMsH
C3d5oS6JLgkWIh5JPWYdV9NOYgUShR4HpKhnjF7lszPpmbUhMVmcLt16m9YkfARPGc6auzhfIYtj
4SKcO9uLOwisXw8RAFL1ckSVqAhsqJuBytmK2XEYOg+57Vt17JaCd7DBxExucNKLmpf0nGhE2q84
I2y2bvIAXP9Sp/kOM86qs1VwHUsWX84tCeQIXRPALd8HZMchWv2OfJUZw24Hhibmz8lgTyXtI4jE
2Hd8EynCQjZXMCrcUWgUkzJ57aZ2qG5onnp+JBQTOcYBXADemhZ+HF1GovKTrOn7+pvYX2z+kgdC
OWeauHAgOTAuGy+QDxV/lRWJhds0NlHg3EaChlL3O358zq1sB0Fy5Zu/Yyc2U/Y4L6E9ZVPv2XPg
Fyj3KFiQJwJuH1zH4m2sUdJoticyn5Anc2SjrBUkiGjdxuDzz4NgGP8jIiMdpNYL8UlAQYbhO6mE
UF4MZtcWr1KnrM2lStTcFOd4mH3re+9HI4Dzl0kZD9behDgDvMhtNH5n8KNgRFBeNvHLcfcFhnF7
GlzYtf7EUFtQefz7lUc1eBReOkwsIrt2nV05p8ma4UvsVVF2MhLW+nuL2HD5Kp1NL782oc+KqkXa
/eaJ2AoTRF8tnOR0bQi16dTtTWkTC0+CHLnOEp4zkZHQYDb5/tdgLhb4ls4NJMuMrluTW4fMt0XH
igs0vI/qBfLhS+nSTW6vJsfDK87TsgUbnkszKvN3xNSE+RdX11EOGAikwM+21UDoVYmwd7EuMafj
ejFVOfOq2TBb0oLameqK+qLs6tu1lCMHd4U8odbx+zJv4bkztWwPeuuVTzPZBF3lnOP9tNVFup8i
m5KbEl8DKk4pmxoMKsGh+RnBq73rtDYWa3d7UVH5hotMWn0jpFdU/5nAgbq/hczsvvPSknM1rIGt
0rIjIwxw8KxYPtUD/Ts5yrC0EwoKFnrJmBXxdhALQaKAndPcBOV6tyhdr8+64xrWu2nBSfcNL2ib
p08l/tCCkQo7OQP4b7Okh/jadcpTjbGapYI7XVvs57W2ouDGLDZDFBYO9vJzZDhnTD6A84ofHast
D2/9qvWL6tUsjc1KnQPC9BrJVlF4Duu6BJ+wrzr+7+lkID+erklGL9NsYyMOFWIjVZg9zCqNV05U
OwXrjCyZUKQhL3a4+vqNErihJxDFmEvL536bSxiLLK8XA1RPOydehxQwPboYUGRbFcyxraeRa+c8
a4GYlrrlCBNlXtvvuHJXaa593wIqqIOzk6J0pCo22VDx+kET2ARS9Tg6wrMLS0TIPuq8o80q0lSy
EFgZbSZ0pGt7Dxu3A9J9rsao+pAVxaq2ux7RSH6H8U/5b22YepXzEIPn99/N0IHXXFzpJRBw0+wN
Q//1Sh1RHe+8itCAlcMpaE2umLDhJZzr7esyzlGx/e4NhOZpOQ1NWjT1BZDTyeP7NeJQNA/wP1P2
wWOmg72BLKEVPsl5LrLlYZ5Ke9Fp04HIXDiLWfNLPlMD9/cLWnW+P21D+2BHT9pUUOrG7nOJZFwv
v5A50fCdjhQOJWb8V4AEGzYzzcWZU7LQ4nGsg8W2B2MXLNvysUfaFb0teTlIcZZ4QeiV8Lx4D2aX
o6Gjb8iDuC2iUvyO8gs85iSbKlwccL4ShrX+YLrAb/J70w0qe2tVD2Byo5YR89pDY41F/UuiJ6N7
fZaI9KjcSkYflFMAodHjY/m1Cggxyr0wnyCC3LlJTGoDTu9JIvuydQwkP3vpanj8lZd0s/9Yw5sC
qIXY1AL3kqvcyhJKjUnVu4XjQuv91Ut629Q62U7P+piT7QkKwzgECzBJpfIzALktkKqcSas9PWvD
rJOHzM9zr/y91U5dlx9H0wx6+4VzbU+nMIOtBlYKKinfho1I0N8XZGJiRJC1Fhb1gTM4bA4QFmFS
dYi9LnGxLkn62U3HkNe63t1SdTTWdK2BPRqDtMzlmrUeZw4X5TD8hehmrD/RtG6TulyLw8Eq5vSF
MxaF8ynI0rkQOKVKm/uMrEmrDMKw93Ttw+O4qTkt/k7/gegS6QGbCWxH/oH97QhyoaEHuWw4jtkk
Jf47uFnwI244HSoCyKCjNfvTS1FWDjdTrubVudUh0Tx/GWN8da9e09izD7gNWUcrMyLKUcJJcvPb
sYvQmy+0r6mj8LY8tL0ErHls/EjXfx94RhGvBZLSwGyyfZoFzYx3yiM0BJKzsWWTTNBiRX6wBoAh
rk1w8TRu0hYylc9j7y/SzLU9poQ6B13/5jm2caXfQJ40n8BwUh6SVGp019+MypNE3ysHQ/1n3Af+
GD4d8uEAgJTdu+T9Mnn+CfcdfS8VKdVLs2r7T8cWqneO2a2bMI7bO0VHxjkIGShBsOG0zxy6Boad
tc+70rbLbUIh23+9Nr5uuC7DqM+r9cJ638xUOZViTaPGbf+akjWdP8eYccyXY5dsWVvr6DbsPWbD
PAycRON9RWsY8zwwQI9L2t0YQyuL33bvLw7PYziPHG0f6IATzPCYmg75KAXRZu07P5EOJfIBl/Bi
NjwfaAFcqg3SlkIn6lyZPcYAwEwid68s9VZNeMnUWTqUI+HtFQGwmBvPrJ50lEL4OBVwYHMzikwj
nMy6CXMYaPnIQz/RjPtsMfQWavkmOjTn63lg0VnBK8SQt1HPWQo3DUU90crxBBvTwmxbYYAt4MXR
ThSKT2koHiBvPA5T5IAOVjfhWtiaU5FlUSGJxYY+jBFONZ/KiBVtL3Hq6DBEUbrm7p1WAwm8m3KS
aXol9LWwm6aEY5hryKQVGJrOkj7fOSPDhYP84OlOxe3HcHX4UIdWZFH7okPjxM3tfKTguClCwtDc
OhSTzIWid51vEWLaVbJ9Nmf12k6se0EsmQrCPbQM4eFEofGjbpJ+6zSf+ga5AUILp8VCQoEwmoWJ
TcbU2rljht3URTdozOG0HtgQsMsIZXSpfmlLl+aqdLpM+9QfVirUBxBMr50/2gQ8YCmDCe9bv3rB
ImHLsHUOmcN0gq61gU0g+YjeVD7stU+rbMRlHRl0cXagAqDFi3DikhXnLrs9ivvMjSy8NJXpxgsd
TwJoYFAPW6v0+lDuvH+IggShYC7po48W4whUVes1PM7UjmFiOkdW2JTXxl3Eul9RInVIPUJVWEFO
CEkjvwcS6vF1TJp4bG5qpsbk+Ym9GTTD56lBNJreHlKOI/YtUWpdFHk/212v+omPCTkl2bYNzAnK
1/xhWrrcT3ATG93VZ2cNh2A8SYDsQN4KHU5CMPGm0fnTNjPL6avYWWrp1OCt52sBeoBY2y6n4Hih
kz3F9HLM/pi6ApjrMfN8GyqujeDgJXZ3NFE3mX8R/b+z50e+B4YUCrTObhKlAqP+j0jSRGOcZ1sZ
fGgB6txHNxpL5+LxjvI/Qo52gQ/fecMcAeJmgH2ECzM+mq6XIiqn0JwiGHF1P6OXyW/xOCztfzoh
cv+28+KB7wWCI3H8vN96J7nksn0U2GESuhEJE/fWOwCM7BVttayzDwd8hPSiHAD2UC7iz/a17VKa
Ku24fLWDcWOOSPvtqjhBPAzk8fMr8t+jYAjlE6uHTeIAVfo/tHCULsMmc1N9SMaaeurT2DKOo7yT
1WRBozEJLHqTLXXHxk/jPiBlcHxtfX0VDV1rsmHLrNpnFtBev+J4h3Z9NIUPF3DruSMS39/zo7Bg
30Sc0wWag355mfeatE9sXo9hYknZebjamKHHTPNuP7/f9/2uB7VBTQTyh3kJkfK7B7CkMVeopXnR
VuqePDqsCooLDHq08A7ImjwduMnY1XvfGTSFD7S+ZPGvP7+Sd1Yq9kIEHBq4aPOtCDd5L8v3gOym
tJXzSxoXhg0XZHbgAH5vWxhf27Z2V3PQppExZn8W0WVLPRLP9SIHd+ipir08QShXNPzeo6wI76VU
AP7Nrt8RGxMCH49c9/M7+NGgbW8A2M1noCHDpRg5+H6aiZh63WfBqF/0rvSqRxcZzVkoQRDVBXPw
/s3o986LGvn22KP9IY1g+XHj5B07xRQCGTV+qF5MM+v+b2OaQpUnbxeiVelCY+3vhEZVOFOUnFGO
VSgrOwceiuDIZUksw+CBjPFjO/98NX5UtO7XJthWgu2FDRX/9Y8Rqe7TXk9jql+WPLJNgY+y1Kzn
vlOLKdHmt+QolTLa6C3FF/2vb/+PiOgzNSpE3E5QZV8l7/1j5G3rWE+mZ867hYfzDN+AhZA8ygZk
ZWwREpQtf47dwam3vdQ6+QgXz/MWsDBhHVMfHpb1I38jv1va6VS4bSZ+GcKIV/n5sqXvd1HsB77V
5TNtK/Ljf8zbykIxuLU7mxevCWGb7q8awCjWs72ueqZsxIPN3s5nY+HNksqd+xPzaMHEo+EOV2p1
QOEu4wi5uzxRqW6vXne498DPyxGEl7qqKLGdnwOgSQTd1/pPuplt+w0tBJ3YgT0JxwM9w5jiulvw
4Kyp9oKLoRKa/lghNYli9GhW+5Ch/IzfxrK3Dz6LdoPIFXfAmUMuLwaofFtVDpqGS21l4ncvV6w9
2rN9wuQQqhOKMJsE9DbS2I3ad3R9e8CvEskAxPBO7SwHDOVxzezmXbOnj0S3BtHOqDWxpXKOmq3f
Q/OBrDoRBBGYlaE4p7c+YMityXX1S1VMCFgOGVB2le+oMNhutB+bztyWMXaI7h4cEj0aNDWgV4H4
mD0UT5mNWUgJSAFZloXxq4uxMqNVbAq0wq+wUziwL4yNySJEnp30/ooitGblKW/AohHPLa2trJhm
ZaV02D0FhcMVf62ajLKfoYzWCFnjt6XE//ke/EcojgOmeQQJDzNMGZn6Pq4gwop9x5PyxSHmcWh0
YSyyGK9lQvUDxQww8HoEmPZQBU4F5SqqZ7HaXrWvmP443P1Pe3roAqeNEYbJiQ66bjAZHFXF5lWr
ZPiph4UzOk87tPwvN/M+EBEWCQIQWijsiUjvwzKq+6gtVDU864zCHDrGHRYGs4WMlpPD6XrhSDPH
+JKVy7Jtp35wbZHU7aVzxN7jUZittY1G0U2WhsqQlcyf63ni13mBXkB7zCjq6M1Emu398zuwUfy/
NQhxwoiTxOd/UBiXDPljJHWckJ4k1dUzOtkh6i5i9iAHUMgnuMdOwpeCHVDv6PDP3/gfocj6cDDK
ET79OMXg+uMb4zB1GH4V+k9dyryPb8BW3JufTVYAzVhYAtHP3+/dxD/Cnc1j7DgKQoAhPvHrxzes
op6ZUW0SPYdytKDc3BX29LPHRQjrubRdN55BJQNUq2EGznFVDvd9X9BOtVlpk+z1iRXreiC3Q/O3
0EmyFWdQFftXo4wshuUYN6FpopUZ69sxNmTZk5fnrvlbu01Y3yE7TTh2P7/H9w+TbUiREws+esEj
e78/WkuIhCmu++EZrYWFgLH39AHIGdi+upPKtdGqCzZrFPj5G9uH9d+7iOkICcZkF7MlRQon+8e1
dZhmksDGqOdgJAXAmuI2s5yBb5eMIRWWpd16f2GvBx1qXGQph/z955fxvuBMSMZRwoYiN/4ftk8B
4uDkY9k9H20av3d5FDgzLB6F1Kz25WOx8wRLnNlLM8i1229ZnZvh288v5X1gSMhWIUWCtd0wovq9
LTYgZJWMl3Wfqk7ZRIom0oLODOVgm5eDptM4cKBQJ1bH8PN3/8fzoDRKGWzJAAH6DfF+SkOexZPn
8smXj2tVYLi/n7aJYkIUYI/YO6z15+0aX3A5s2mPPvrn1xDYh/7fmyL1aHGsFRYRAnvy/VjAnO5Z
Lm07P7X9PETPq5+4TXnD+ETh/KmLIWhgwLqKUu4U9Gqu/iylyPgDfGxVFjfpgoCNODksMvqjzjHW
Fpjrd0ox1wu7a4wni2MPJoMUP+5p0Amyloufg4689iKhOb0MTFSafxt159f6dpkDV/85CVCn32Qj
bJLTuxlC7DVbWzOh8XeNWtIkN9vc0DRt5WolEqacZv/SpuuYmAsAJ7n356v1fusSAcklSDZQx+ES
fH90sxnMuatq+TRXUFjWR126XYeQOV5c7H+AxfV6GcIhcvzT7JRdvgJT1IxVe479euzVv2yg95Ek
pVB0XZHaqYC4Vd9TlaZdckZhhsXT0bMduvj2wLzLvQMxS2bZxZ+vwvukkLJZWQhvN4vhh3kXozWq
T8chjD/CU5eYprp8ov7ZZ2pLLJOUN/9WjpDqftymGEE5KcynCYhbaRq836ZMAO0xXHbN4zq41kzU
KqZ2ftnyBR5OAyImagHoMnk73/jAPlQgzbTZ0n4WjS2Kk2WKu/mcLwjkmxsnzTZrkWIwHwG4z1vr
OIi6PqUyw4mCo/uyDoXFeRxfDz1zUjsN0Ax7MjT+K/48ixMftWa1sVr92RFM8P6C58ziAAc9jSbb
wsPJ0cIfgBjYnmWrhqHL+KFDFjHXDNmCDm68ifIidR0AQXHoa+bMJRAdRhUsqPZGCthLvrhFbjPT
NW75TVnJ/MQsXKfIMHFbqWoaYiXwzuMQ9+XvhzbjaGB8ZyFvX+eubYO0F+QqCE/cHoWPluSMMGMe
EKEJ1GqPSUcbV3y6luHXHiIOWgtrlbsl0VOhasaTi3ajrZijteXx27SLGBsOwZaCK2VN9cd1ZwA7
J2AZvuepimFV+dh445nOxol+y9cIquIsV0Ycr6cMLVj2kLmVKNRNUUP+jjeDnNf602a2PPyLUW/U
P4yFshakdFjxcd81HTBfeXfVKk4NghLsKELvHczaoG5g2ip+++e4ZCTwlylEaKXOkaqQE1zBAYss
jJel9RgidioTB1XpSUUQs96pWTnL0NGHwE/5ubPcxzRd83yqg7Y0v5gNd4dzZbkPbeQheELBZh/X
AkXLah944brz3qtYbQTFpeor/DDdhqyoG8KFZ8wgXgtY71jG3AR1TNWp19Dv7rGmY385tQs6AtjH
g03xQZP4qWCYNrY/pFM+MImWvti9XEt0ySD9tv246QYa7n9EfOEGOOvvfrnD3wYOCiV0kM511kEI
cCSD8bd0lH38cUNwwJkZC8empKsCc9jgLs9jXFtWB3bbSgXLYLNfpD9Z1KhyfHIbeD89/9xCp/BX
hyiCWQks/hYBqSP2w2yLGuhwuM2xR805RIEl7+bDVnblvbPVjxi9vAWJaZ7VQXIcSEasg4H5Gb3b
V0TfaSJEfDkUJMMOitc+w3lfBQaZ6ZbPk1iHi8nmabjAz8XZU4UaM2KmAuzbPSSM1ZVWaWDBz2gn
Gxq6FC7z6FIO6uaq2AxTM82vPoqLCDdUEefuK8NiaVnbBrXBd78NrTLigL+RYAxUV33U2/Cj1gKO
DsrRHv8kLCAN5TxyLKAaV+bKMcgWnx4SG5+D758AgaKZKUI905VxVXneJu6vxRtzgwD/EejGKUJu
05vkNWpy27QYaF/53WTIC4abto2rCSBzDHL1gGa185g7NwAv60scLpUzUmlMIeX2mqd8yMBL3m40
o6f+UImgtbbbzFHOwgs7WLj5cnX7jX1MaCl7YUkGGQpTJreoRIq5O0PsqfGm5sMY1hCxQbwIXpG1
0Z+A1Or+Eb9uMsLt1mvHlj6ILdI4gYzq0D6Aw33IgOUKu4Do4jYMEEOgzv6cHCR1dHhlmZ0KBBA7
bpTpUwOrETJq8lAkOG1vXy/EtvKtHWGKvzJtabRWQBNbheHhnz10wA3ZhM28hU4UDX8dMNAws8W9
y9z6I707ebmDJpMVykCmEqGjEDezM+UGig1kxNZwec3zKPx2sR1xuNsU5sIG+ypOrcjhOKQp06PC
yFJqWqmPxeGvPER5V93W4S4sd1PtyIcquI9mnUYDddJQ2s6Px4Nn0McAYJNHVsVVS1y3yA+U9PVz
j49qyS4BTzUL7yc0I8t6vaCQcVnF5UgZV7g3ORy6h+j/yHKlg/XoC4Skva082HXuByezFclW3c+R
Wqs/jkcE0GhDg1cGVssC9Lkgn+BTDYr222GTJTC1LC153raRsdo4JQcPe1V/zYdrcz2iJZa9ufm1
BfxO/tTeGs53yu2ICAMNwcg45F1ydHBYztRZDOK6hFFsaBCzGTqbdxOxZeSmHTfrpsbf/kJl2Oo7
J1BKiIvTxcn2a2EnHuEh3WU1tZhtE5SnIzEEd7H1uI7Bmm1va8IwoOEU7aq5JecTW+ITvlRAGTkG
1YDfJhBldwaqtoBjtTIBmNfZba8Y82xv4drhRh4zTXhG5pDtIctbqw+h37rexAaXw7Lezq6PUfKV
1t+Er4EvW/f1EMWleLbJysfoo6TC1rZ83BSADuLhmE+7wY2bRHb9e0Z48gWPN1tx2M9nGwU7driv
lT/MwFYHV3E864BhUPEjZ9KmvGPn6V3dRbXLk9I93pHHELKJirvAmBa9aY8BDt9XLRnReGLctgXS
rtxeMczc7oG0HQRsHRRJ9QJwUXP9Kxx+NKE3YXIX13yMOyCyca2HPO4qN239yBZWR67IDrUvCpGE
TD35yHisWLIZmZxThGHPZbftap0Lk8ST8P/FdVNX7gb0QyBGcLItn2Amlfky5KGNvm5hrCz2EDNe
hefxIcNsD8VZGcEPvXgMCgHra+lMv8V9LBv/rWwlLCsTbsYwzq9V3IERdZNjH8Sy10XVOjHt9BnG
NkOrhmiTH6qXFR8orsmwJRbphe6DD5ORqahPeKsgns957aS9fz5k94OebbODF1b1KfPvzewzsH7n
W9eG7p+JTjqzMzWv3TuWax53NXghXol2nNQNVaMoog8kiBqJX7jxoQWITwUKb4T78Fng4odsVBrs
EN5T2fQU266r+NWfYyIBxk0cr7fxkHvr+IxMfURKcwDP1xQJFmHxBE9sIivPc18HXPfpqqgB/7Ag
6AiVio/lEFzwByTN446hRWj3oXs1k8jfgo0HDfe1b7umXliwqzz8GtWr1TKeVwVqnvHJASf4BWSU
eThGbJAcGTEiCX+hrna03J9Pd1X97uoXMFzmJN6XTAW3eQaXCoQdbgALPF1vg48CsiKpfFXW2tEc
swacMKTSFUkvIHni0Lc7eNDSosl8ZobFruMdSDC7t5zkbbfYoXWIZvja26un5VjysdWqbRl3oeR8
L1IJ7dA1E+3NNc5i2pv1b25GzfcQ8olVekaGjlUQMtJsniAL4IYg+17B9sAvbdhLd6Vs1wmLSmtl
pLt8REpgy9ho8yykG/BRTsuXakevt/9H2Xn11o2s6foX8YCpGIDBuVhRS8G2gtXhhrDdbrIYizn8
+nlqkT17W5qxsRsNGJZkLYaqr77whrhiWrD2MddksJt1j3hXVGlpWftJdgPa4NvpNSSew0IsQWrw
UIaRTvLvKcLF1xXo6RIpXBz9LaoETVSqPMNv5fNECGfmIGFuaKLNENH4t0ZTg3kG3+JVgdzkRN2A
cCsBPewqzffYNuE6/dtG8AxwuWtNaC7MfUfW1522O+Pk069wvbUhwjUJoNQ66GrH3M5fl6L3zTtb
dhqSsoJMicVt+vcG+YTqoGPgEuR6XkghwLHWK7bnrUhi/Z1tIaZXCYAMgikTDSYj3JdaBp3pm+sh
yMgrsKe9Ca54/irMVKNL54rm5OcyTKLm84bSbkWgqRBmUpRVfKqRO8q/oCCl32NxHdYxfGT5b2ts
azfbi54M5IXUZcSGN26vQ3LRd8SnRbLJec39bPNQr+sqMCvWFdGcHYFAtL7QFVctRM37n6WjU/xV
h2OFE1FRc0r48ZIEz6oZSyjoSO/wPKNEahY+iaVuq6arvHF/VcczAkaP8Z6IZ3qPDcKhWGYsZIPV
18BSroH0nkGWPaOezfY2ZC66eJfgYiD+WkEsKy2bLL7rbq0pUV9wCQza+rCFXTPV4CILKhyX33iD
ZkqtOduGZAkqK2PPsqv0yAK6XUZMNNzabi7glIbhFWxrxeokXawZQVnXXHIDagA4ZVGt56EpnI5/
uf0eympNR9rg6hS8xNbCyPTMY2t8bdgfqzbTqLqZEwj52VNkkqQSTq7zqTZPMkCtqa8xTWvSpNj1
7NCNtjcYV/23eg0mEIA0qG6YqoLrrBYmDzgQuTXSmLupCevwqUAZhkVQIp/sdyTepL4fZWqT5iY9
jjJ6pDeRMjH+suuKrYpaAifSxiLzENPnb00sQZBHIkTgbR+gpx00lIhdCVXzClQDNkHLJ71SejbG
lAXdGhz3VuLBFkunl9qQ4eThc7P0A3q6ZT8RB6ShgDkevRX2qTJTYyHX6CYaOhHNvsstBKWPWRvQ
rtxDxTDbhwbEmHFH0m1Ef60cxAWRA07KwmC+BvJ3JnDRtdSbfG0QTj5n2B2SMrJU51WQZq4XTd5a
pVMyHLHc9syLRxeBLtB1gbohcqCcH5BgwO8hk5aPy22+MKCdjg29rsL/iBlCGYtjFbXV0B4aLeP/
5HsGL/HnnTXrR0U2xgI05z2B3qnD0Bwd3Tcj8x66vojcOLlFrgUhy/0CXZ3mRlTpndSUtg4Fc8s7
hHq59oMwS9PZ9nb/q5RQuG7K67VthpSf1p7waqv4rVIzaHu0Kq7Gkv/z1///UhX8/1/63/zri//1
w98e5Dda1tXf3duf+uEf8Yu3D9Zukz/85Z315f9hbvn0HbxW93988wfny284bHfN/PQdtlP5j8Os
NoZ06O/+D1nvne3lP/6g/3LK1D+/WV5qV21gKlqWVmjpLD0Z+8fyUjsj/JvHJRpngautuiyWDH3N
dvW4dK3/Ry/ZgfZG55ZviP/E4vKqTPevNj7Y9QCYRYD2dRgg/Cze9kcDtZgQBMb42XfCZZm/0lQB
l3gY2nKou89FIHqyUr+exsxAUbC3VPkpjRONt8whqLYjlYYQM+eATbXQol2K3YR7cWMj9s0zwvFO
+iXvMgwdztQjWucxHNyGU4xOvRW2l7GRIi0enDjKghL6sG/kNu4BSyCfzdnSEhYiM2aw0VHZo6wB
QN6GhZKOoSavp8InknyIyUM0oXy9LCbQ1EAnN7UAMx5gFoMyf0ab37YRZ6r7usrRU25Tk1ZPqSlZ
CHRZ8OT8Y7oEi+VCsinNJvqFRpv34/50/eCKJ8GuCLAwCJ+3kJKCbaNKN4h/szy8TtCWWdpBJzi2
H/glno6c2SXWKWNEqjmJhbxQciqU0ylT8BZfB4kkgL1DbU7DTrvCiiAP9J0N0OIY83KQ2RyMLg6b
XeOguOTugq7XYSALIoeH7RVZyxtwObd9rbVSYIm0j2O/MqddHvc1zPs0GbXmDTwykCXHGMfQJDy3
cap1A8K6iEgTSaFVVh1R0jb9R2e1J8gwovT/avBcqD67PEeurkR4h1/oNQQb+2ZKQMiit7I6mAiB
NZ59Y7RZ5D8bTkbSdPDrCCO9O3hCUBbOWWRUrjgRzYGAP8SlStVfjelY+L6Aa60m/5Cuui81EHd+
f11LrQYFZ7nkIWRdF/E3fIFSJCVq4WpViFpZWky0qcFUGed8kpZR7xkvaV8F2feS206uZ96/bfot
7P27e+yPMx/9yhm6Y78UALwXLoqxTCb+TYW6yTrhUWQ1r4vTTLF/YaIYLeOtSd2FTEudVCT5RyAk
2Txeqh4tjOXZ6LKxS5GRj4SX3fz8cn4cGnI51E2ISCHqHqDsH4RvLge7mM4Opyn63JrI6uL9ghod
Xp6WN2p2sPIm/aiGMdHVNeLzyhvumXGWsfzFEOitjSIXQvSDZspBBfoseAsNWIJRpr1q/c9+haBZ
8WFgNjKk5wYJA899DHkhkbeLAVfk+YKK1lJXdAvrwWJpSYyX8EiNFkCn9DhQS0UeUCPKO9QP6fA7
xkfM7Ybga+V0aCQ94NRH9hkUcFQef/40f5yg8TTRqtC4EE5eYvE7twJEQIlNQs2fSYywcNuhWgvf
7egiaIcbReK0enCAk0MLkXf384/mTP9hpsWH+0grOJ7N0tLk77cxGy1aF0FPJ/5Mi6Gfo5d+KLSI
BxMbjTeNHPxxkClEV4UF7lZNkdp708DboH7Ao68tnQ/KvrroJjLWO3XrmvXt1epnio2E2VyDTCqY
6aovbFucvb7U4QTx/Yrf6TX17Ns7NAF8onA1LEP4R1RgeqOeVBmm7GI3aVClRh+sh45+ooGr9UAp
PyLEiBj2MLO4qdtWE3VQdrtqUThKF8jz0PRcEWIOelfiV6xjUrROVjZMfIN6SNfupR8kDR46EAfY
245N7xHBvvW3DKj08KvhD+g2+YT+LJcEIrfgi7AqYn17E0oO1B0S2+KvE1apfDiMTMtNvkUy78f5
rnWmaFSAy3GQ+koQLbVMCpAuLg80UmKrAzqLnnWwlESigUqChiV9dWyyfCXxKBktz39MEZrklTBO
iofoUWV96Rlf8CPUjz3XEK3oZaq7fFJ/DFaX80VnxmxK/IZnI2jDe3qw2hkkjewqnZrdYrAbCLDL
oLVSRpDOXDWih4r7CtNY+4ENnY5qmA7p6ySlRm6qVK0+RzFkjpN0b892U1inOR/NFrpVjzdMuEPR
sm/NI8c5VZyXdkh4nbZfBeACyKBmCurVNAH7m54wPm7HYx1n7RCfBXrnnf3Sa4x3fZKI9Kb5b90w
BgH1vj9aaXSbJaW+4RHkjNff4dPaEmNK6FQ80p/vDfEu6PoeXBo4uAgUQyd6C8xIvMhslyXoXqse
8ddsD2o/rEu0/a4xz6gbzXn1hkyrMm1aYVWJAk183H7EkbKtkRJNi854RIhJH9ZOZWuKWDf6zfg8
NJFZtIc+bzJWFSWAfi6rso4oUJmrEXh0GuE+p9aEJpiEy9GqSjx3lbC75cmcKOKfQLyJybtHSmM2
ravpB3BTCO7XA3Sl6FQmsrz+ef0LzRG9vqt1tVtk8zoLClIds8WKTBKyGFgHqGfUrfFJoWRkKgji
tFG75LfttLMmW8svGSiL9OG+NkK4unsDp0/eB8cjadUOpSdaYfvYTdGdRhco6W3/Pu7RdvxmCkMj
NK1O2JyxjrVgMHgw8g5BzluRuQgPHYvCWsoJgyvtsH3KLAxXzaNQBv51v4yCPwbBANAJhyogV2Cf
2gn+DShJFa5DTBLZs+8tbmWeCuh1ZIG2NoGy91tqSGewSBFpncK8TtGZTBNL3DFRGonKS1UDb/0P
T7fAJF8nr0dawg7t94neIpUtsKZsPouVBLwg2MQzyBnct+FDpwahngi+QUW87oATjt9AefsKNrAd
jInxbTY7k4QYF6IeL3h7rIY6QKkgR0ycfm+J9xVU8ih1fbSBUs+9NHFKcv0LXd8f4U0UBcwdrgA+
UF/QsN7uokmMRo9oq/2MHGMd40E6TGjUpLuM3JbcuoxS+j0X26B/q87NbNqu/fLzjfwmW+EK2Meg
B1nY4BfxxvgxeVqaxhLjUo/PcVVmvvhtxFpAzCcjtHSDGi+3DE/IxGu0QwdS2/rt+n7hzNPxP72O
0BYCgDxQTxdo4ZtVltU2E7y6Vs9rbLRFqwMyO1+bUXcRNgBooOU2A597h12vVe+TQue9P7+MN+kG
xSJIfbw8PfBeoGrfLnYoJF2jm6a8kBZ/PprNVmg4PYxHBlLB30yoija7S93J9+NflC7v3gQfTKYD
rlLTzd23nlDLXDVZlS3qGRqzR/VHsNDTkyECVUN1tgYfRytKVsDBh2F+ZUIh8uoXT4DU+c2GtwTm
5Owq9NoQvSGr/nFJjHmA7kQRqucq6bUUwcayT7B49IKbnME34xwIAZr2tSUxRYG6wXCfVFE6mrus
FJSjJwtlMEL22t2VV1nzBO0h4uLWfN92rkMimVCh4ufQ6sn8BMQUEK8yuulFu1306UecD7rKOJo4
nYT2JXC1yOadVgYnEI9gt0FAGIFOHBofs4bmgIZTLJsnPIf1KlZm06fzLRVSPsgdXncknac0MTXB
Xa7lGFY/hU6EPMh8SEWu4Z+GH/1Xbc7Hx7Qh8mnt/SAmR0bnzDL1oWHZEgfEHVYznghP9oDAyWfs
oBstpVcuDAi2E7AyGyBvaifqrON7WYk8Nid/JSi17pDwpEw8mVZkRNZvTLPz7EMZVZ01QZ0U195b
GnOPGOV01DT3DeZtWCN3qPSZ8hQFyMGhRORmaqgPboCayLALmILM3X5JPUN95rkAykVKVr/sE/Vk
xiUsQmgz1WrNWcamsIUBGRw5hHlPwJd8b7ERDkUsu3L1eaWGRc8NZL+4XFiO8whloBegJdbfiWnW
lhL2Wqoa7C5+cvsH4KB19oTwrhYR3eQGYYTH/Gqyfw1PQ+2JlGro0ITNofwP7lQwxPR0ZoVdqf7U
Rk0hf9jrimpLKB9U58hsc57mihMe2VoREUKPJAT6rGY4b/Bx7kTnsDmBPowirdxdooeVwW1FiXX4
fUKBeI7vmDFD1d7beepH9RFLT/IRswvFkp3aATvJvxGMvGbvVjfzjIy0wi1iF6TYLTt77LU7iikj
Lql/PEemQYsq0HVrQIfAo+emWzJHdUj+JcUQGDjJxI30MoZhc419tzTSIPm7sMIG6jX4YidsH1EM
Xib/toHZx1tIS3fx45siwO+6xY5qkMSOV8M1l6G+NVKOJWu3SV028NTM/hQxd1/uvCrOpELOdgb7
/syOYVJZHxjhRWFyNnNP6vTVdutFHoyIUra4WOt+Mv1Oj4QKNP/FcEgHp+I+SdOgxBy2wcMmhLpV
N9v7trxETxjwFdA7wxW+/i3bqWygvEPkDv3Z4JGsKfTPA/e76BnYpCiWw2kKDiZ8W6qBDrZGt6yS
p/X8oGMAhUjrMEyPQMO0j4nrjQmViGtkWiOx8gf29s+v4d3hwcSeYwOmLzNQD4rcj4ETsD/UuMYY
HlehSghIkP3nkmLi1Sgdap0Tw6ScY+3nH3u9tx9ai3wYZn6CPC1EVMZ+05NOPTTXZdihKS2jMIjP
VhGCDKTlYcOwOcKJHJP2wapBAuCwhwC+Xx3Zi9ks7kI0f5blc5gYjPRvRmZiTnUsaiRk1cmKoS6F
N60tHDZbArGbrI+oxvx2b2jrqCfQgA1Nyzo1k3Q828pt0H6IE1/1lD+UelZ+lnps5RxyrZpt/qIG
cX+EuXJM00yFU4f5tklrwH17UFlePY5oXPdPYbl4VvMlndyGPG+Tn3Uqiw/dWcC+CAilxOeJ3mXl
Mp05AByzg5duQutG7uni6ErVMnGVhdJfmPxApabRTw8QPrFrpQbuddMBcGmvFxJ252kDisua3PEY
Gg0N1h36t+yvOx9FtkIekw4ETXbxcFUlfSkGXOPFHaoI+jSyHCOT7vfaN7xJ3FmL5EpipaakObSS
Fst4O6lxznJkBbLGDXYWwqp1tFeJbWFutKsjM+zl46QcGnc3VPghxqw+py9aCXUb9lYQo+HLiaft
DuZZv2WAOdoNidmftExUCOlmlL+oEt4mshSAsE9cMhhIIeJd2xUojAxx7gofHVcOg0L0SpuPLomj
lYk3Fexk1dyebCBsv2p2vd16dEJNlgC1qE6j36WPSOcv8ZwVwSMNZnSIARbpvQ6izWcJ4Ec68Ikk
8MSEn++9/+VzHVilYej7yEObb5t9QqFyi4Ki+2i6SBy+olir+7gI5WmIajtpkWrk2Cy+9vPPtd60
pgJb0yY1eRPGi27zvYk1eSLLqRmX5XGwWPrcI+RfR+63dJUABajttiowITWOM9W4Ep/qnJpN7poU
vW+kPmuX8eYFrdnamnc2g9n8d1oMASIWv0jt/xebQFg0vBZqDfwf39Elw8kseuk6yeMUwR3ClivD
oobJQYP4wZ/kAGkcHmwY5s3ndIC4WO/RN57Sb9R/KOVdtlIkUmOIZVcigV+UB8dRRj0ecC/WD/rn
z/ZNawMKAXUQJC6ermZbv03EW8bCSPwW4pNAron97slEr6LJdbTwuboeHHKsw/Qg7N4u5jPmR3qA
n9mO9sH6+cW8W2Dg+PGboUrU/70zr9RpQlfRa3/czFNMENFkQo5otfNXi3X29NiWI8JHP/9c6/1T
gOJFNeRDBILQ9ja4hvEUUxy6RBpkU7pLiUiD3solBpTZ3u6Ebh8uVcUMWeeeSZU9bjlX3OI3Q3a2
egKPwawTa2FJcMn7rSNXqBq5a9oEE4nPnpkp/IQPVpzggnRAb0PP/N1qzIT8++c3JXTp8u8nJRIz
dCj1u7V0vvB2u4bIYCxiSIfHrSOLG1Tofeyteg6So/QXT6mbgWbmUh5wnKuz+EaWKKCrvWfmehQX
t7BKw13XQDQ3dgN1S477NJzk8WlRrh+hT5T2nqMlVRD6s3eOO4V2dqphn+TGzi+QQ+kvPgCnzDmD
0CL5/Tw4iI8YxzVZwOFDN2mlm+jJQUNT5/oHxXD7R7IEnqA36bdpPB0xy1a5c/ZQuBYg8aGKDyUm
CAnmq7d9zUT+eUHyXMtUr69jmcHl57uln/WLa1s0wClfXDA93FycW3lzGta+dONZGuOy9ZLzCeo+
GD6GRFVA7aQ4U+5zBDS4MCSyxDyeqfNAxXQ7lQG9MC64ZKsKD48M8UtUFAcL/fpfRL93pw3jWIdp
j5aBsN+vTQ9wD1Y0WfcI6F7v0KWi8/o1TyJtJUQrWD9D3C0Ry25R8/pl8H3/8XpToCSEFyvnefCm
QCbXkiltfvW4tTI3J4qsD7Rs/wrrcFcj7TxGIOlXPsr2uwtARwQwBwB6mN7Wu72ZdG6Kqnc9fIq9
qx0ftIFG90iduE/7vcD5eAoPXM5CbVbTcuAF2gskJxAVYY0M0mmrzQx71H3DnoDMFzeJsnKdCWzp
/FxB73qOWtGYPuq/8dCDaV5NALeVVYBcZWU1MYLL4mb2h7KA+ml2feodOmv2DYW5eETUwOBalklh
/CJCvgtU0AJD5CCZlzKmhyb3Y9Y95UhWtgxvP20hinJEm4Rtw2qHchWdkquMOlxnh9UyewlKsiPW
fb8qAN4mpK4HV1CznzxMjt13ZNzImnIBAnF6QRAbUQs4TQWfsboYtGHAevx5PHujzQIrEg0OlEG0
dAOZPy28H+99xHwDalQfvyQuxGlnb5lM52DIYplgkDJWSTh8WeW/uhahVYbQxLp8wv+SHgVM6VW8
7ucX9Q7pwNyMR6DzQW1e+O7IauHqzkCUkpc4jHUkmVGt5bjH5EYn4muCNjIkmh6VAdjvgpWBTpCW
6znDsQY4TyTzqE9eehQ8Rm8RVNetBD2PM/C1qipip1he/bS1U3VefN7FE0rGjJ/3LbQaxq1rAlqT
OxMLWm8mG93mWtJp9bTKKwqONTDMZB47QNCapl14DOp2ykcS8L4GuGkCpTd8JQ5QXPTWrpHMo34t
e1lQxQ1jfe1zgC4lu7TcwuLyApQ3+WNam3c/f7JvcwE2PUNlBvK4hnvhOyUewILSDJkTPG+V5UpZ
WtWlNjA52HW923/+ufSDfzg3NX/HQrXIxPeYyAMe5k3EM8cqZ7UP9qlDWxFrYT+NMf9DuBRXE+Yw
HaVPTasU/W0QUWM4RfERUE5SfQTTq48dz6HWAsDrN5bx1erpNNBZjQO6PttcZxtZDhAxRrhaiH40
GIaCkQFbnSRL1Tw0sT/OePb6SIGnnK+mnsSWY9774GVo1+Qf8rHvEmZsFE1zoVEIum2FLqEebboD
BDaEPvGDtUGdX8VptsYWalhlbWBoEy7WcFb0hFq5T9JWqIfKAjpRnI3Qbu0vTMiB/x5nUTj+a7ZE
gsPYdw2Ej4/4MYC2uavtCBOQ89JTC30YTe48Pix5Amlkh9g9+HMc6JF6fLA0CILyQGAG1xwyUMPh
/GFuWqaqpE0SSd097cwlzm7mgYn9fDFb9ghqYmMkDSB4K4ZTtG0wGb/NeBFOyLI6DdAC7ATyynhx
R9MUzN3wmZrzU0YDx/bPEsEwgv04B91CQrZgZxgf5dDiExmMHXGqSCHIoI9sGqGPqwu2V+c4j8ba
32GdxyY+NHU3TnC61kmy9Ggl8iFiMlIyQmh4uOwOU4tNxL5ztKHEnpQ+SZ1LQd+tb15iarLUuYUa
QtH7uOAuImvafZVvtrDrepV96ZNpNL+GtWEHl141FgqreIzmfbJXdqDbh9v4ubsGCRkkPS+kyaJ+
zu6HQOn+39p23Wby4TrQNnilRJ5VaWVYKr0iuwxfwXE39BxUeP4Yo+iLHY2lZvhrnQTGKdzI58T3
Rg5Rb6Zt3xxGSJXMYTDsSX+VblMu/rjHOMkBOqDyCFyNSvKdzBNbuwRwqMRlqBKJegI6jXGVvmDZ
5jPYLcokuvHBjgkvAR9W5mGjqO/tyL8ZUU6rQYJOMrur8HyzDor+3v04dopebm/FL3neAxkLXfg4
D5AQWwziJ9e7NXkG6Nj5toDyeRvUE8LsGaqRXWse+obvJecCkzaMnTIgZ7eGom177mnoSCC+cviC
HOycnhwhR8yYAdc/US7J6ljT7sz3zRKQmKrKs8eLp8wpP1VOFKpDHcUgYGU3+RgUIrw1WXdhWKoP
hk/qsDNxGfcRw06gh6Nav+zKJFCQWEQVQkAbWgTk0tK/p7gow+NI2wSaBZHgOS9766Fv3GEENe/Y
f2ImIdFhFi0Krb2ffmiKsD809D9ep2KKd1nXfIHvVL8alp19yF0D38GlcyV+ILDeo2KgX50wWb+v
Oa5slL8QXpPhHiZu0Zr39OCMv0JkWM8M6JBHjhIEZ1C02vuohN1wrxa9G4rsHZZT1YtH82XXhm5P
pzlc7rsF+OguzP35s5m7y6mrXbfaD1befhxkrT5FjmoeUGFeTtnciacuMJwzBubVsUqVHsUJUd6R
TJVnE/+9g7WoXLeg/AdQeUCpmci/mEqIP2Y7SD5HbdfA4Gmi+5j++SVvG2zeesirh0qiik2AXI7e
lLocfUs6XUyn6+80E/VjZbfWcRmb9Jilrk3ffVAxEGVr/gsYa/ZcAwv6VLhmd0uXPfkw+maR7Ywm
rY950Sx35pyHz7SN81t8c8QnFP5hFKbAEXZZnAd3Zp+6n3PRN59D5jJncBsIuYsmuhFNrzhNSq/Y
W1g6uzuwddiPDF75rFCBrfb0nRlgQMb+Etuyug8rJfd4qnfPVubZ6Ak0znn0K/vBdmLjMC7D8j1r
oupr7El6eHNkHKoBphtUKuurxQgAy4o5w7dDzB8X2+gevLhVZ4vR2gUtnQ5xs2W+y5UM0j3WHu4n
oDbBhBpzUfIpVnQ06A/cKeXC7QmCxj8FeRb9jcrRa+hV/VeL4+1czGkIGcMxdi284z3qn+aLSwA+
GlMWfBRIoN44i6zor6Pmg6asJ14C6k5S7BEPCIQSqvJLX6RCQgJJq3uWJkydUAH9F3a5RyUsZMug
uHsPhcb7MknXuAU9HwD698KLIJw8VjAydpyZ5Su9KMyqliH9kqAMke9Hu5w+1WIssRWMLJIfZhm7
EYefbl+MefmVgFo4O5s/0BCPeIIgWGxnN9tG/fts+D0kDpVesl71xIxkyR6ZsXWPI4cNnMy2PPdA
QHfB5JT4ocna3kUFcP9sb8gh6fEInFCfOOUxDl6W35UfEuaDqL0Ug49ItW+isgTQH9H/4hW1lWE3
9dVvCQOpC5DMb0PrvHp5MQFey6aT0fsZvql2fcJ4TxkXq6uzEDO3qLjhxnJnr829tVRgEp6giUfD
oa5tjmREPDr8ryJFeC1dQJ82is5fGsOY9mMogBK7yvgD7RMbfW/g6BCvTJn/5S2luEkTw72D+FX/
GRaVcZshkMHmciHius5426PjDLEVjf8DFXD9x8jZcWfNAs6YCOpHGNumeyiTrDt5mGS92lZbNIco
MppbvxM+cFOSwO9GgtAJnVPV0QewAdkeE9HKBxi0Pc2vqFUHlQnI9aGPLUPwuwvxc2+3DZ52JU/4
FqSajV/K2F2SxWufKqYQx95OE3kacPZ+ijOgJbsyKCJuqCKWgAJ4Im03Hi2GGN8rnF1OWSide/AQ
KUpwWIDcjmCFj4HTFy80+sUOFabgS+RU8ecsNut2VwF6XXY8BfVshak4pVhJLDsZNfk5rgL5J8qB
7Q1k/eSr2zrtxY06n87JmOx7b7FzxNtLnD7afCxOTKjqW2lLHOuKgvGCm0WHVCr5V6CSep9PQQBZ
pQqBTrvxTR4s0x4xhO5Inza+K5ZB3dVy/sCFf0uRJv9WL1ZJh4MxV5U5xG4YQccmQA9snwsV3mZu
F36Q/uQeZymak4MvXLETo1SHVBiIHKkJaQpl/kkPzr2bssnf+7nTnccQGfydwd49yEblvy+unQBe
E+iRF1mH1YY7NC8evUomLlkmPxixYe85hKsnZNmHGy80lotJNDuP8xzduHx2evAH13hKggHueIWU
Rn6CRSnLcxYHSfrdIAXHN7ONPAYRi8Tl+5Atlu4tyKXW/AKsca+sJhI1uZdA5Mgi7TCWcf+xTjIg
L4e1AlX1QEG8tSe2Wqgdy045T/ga6hlPRkABGbOWaAFuU9Q6mLMy4T92jK/ycD/l8bjIV1QidG8o
BcTMj4i1901ypUsl/9qHX+gr9ZCsVI9nxM7qmEG+QlGL69+gsSCkuVundeFSDoFD2o+M6CUsRel+
Y2/qfuNkQAjpYRIDy8CHYBiWB3AicXMDYdpQdLFjNasdu84rP6RF3w39Lg5xD0UjO8qSo9E2TnNY
PUeNqJyD7yaYgegWzCU+hDbGMcazAUB3PNW+q8pHd6yj9PcOClSnaHNA1n5iGh1BrFMqy23zjmp3
Et6ZnhSi0giTpSVonREE6HzsMCEKaI3VGV7YULqwio7GlINrR5GOSzU+W4wf8rXYTcO8TA69RaZz
AK3Gt8PrxKReEAQPYZDgK/MdxEzWdyg5mK34659hla2C7GEUQsW3M4p1CzRiONJRFjkFYoJutnhf
SMiwEezTsTfOdW1l5acNVloscISw6FNxubyuFXKoljqgBkl4jH4yWO3fVE0a829C6qRcmEShm2qZ
khVQkDU1lqah+7YbKqjIRjcikOoo8LiNmjYcVRi5uecdEdwUZfOBXIoljACm9mZFwUR3053eXop0
vwRGO8dnJgGKz5QQnqdHY2HUeFlJjohNYQe59gbK3NFo5LkGWJCeWOe6mgcVQz+gqDFBGmGXX7/G
xFWjljb0cjXaGlSXmKOeCppXf8C1jlBTqZHZGucx/dNRrGVJR+BCFaRwc4UNdW0pJoVek7AWbJ7i
ejWZE/DyyrX131LS8cvX8rwbLP1rmxgOba6DTzBZl8QfxGBcchcGFF0yn0dTnam+Z0hqEU4B0HZC
z2/SO+rieqDFPDKpULcLVm7TsLdNDv/i2AOkZJ+uoOsSrGELtCRBgZxnF1S+YjPSNNSXGtH8403N
kWWAZwNjUNkWkL3MAjtduEI/HmhMrLZzjTRPj9YE2JLXvnX1fMYz4bA/Zivbo7PRF0gOMSqHxNpA
Mur9DgIRh2wUm4NS+KweD4NFoKe0Veow7pLgQrHOrBwVlFIrxSEKQ4PmbFUN3kf77VnVrj1N5rHx
UQxnfEa3nTe2qgtgR78k7nejyhL82Uv4ftxfiqc2LyYc4+vywVGZV1FWCg143oirV65YX9M2A4xd
OG0zqMVqgQ0wJKF+oREJSy7uU1iBebfDWEm/UN/B+eOSerXuH1FZ6JmhNyXWlJ6LERQSuU+UNTPZ
IONjLsW1Rc4ztspg5l+PaJcjeEtiygpc7eznddKJ/U7nV3uTVRvjMzCq2kVQ3dXz5Y5hjpnsZUrl
oEVYp6BnwJvoe+rnTt+2lbqSD0EaaaBGmaDCmQrx5U5MrxPzg/ZrNWtFk7tVdTf3EAynXWX7vuQq
cNHA1C8Si+5ThUhwoX3FTG36MyUsmC8mEBRFdA6TtDghDDMMf1K1yS+lhsmg8tOEVvZkJnkPZmZy
Gk08burUfU2WOM3vpQc68dRQj3mPayzpvEbPmavrCdNBiZdfDDEs3MXQmbRcDcQS6q/rpqsHqZ95
X7t6tjbkYKfsfTFI/UTtq2X2NrzNuquL5XCVSYXJxZIsVa8hHABk6MDt6NB4NO9WMQzUTCvx5+gz
WPpWJaTSXzPR6UJ/M8ndNu2VS712gVqE0jntvDrX3tadcu3uqZirqPiibEYZPeov/TSbaM+DCJL7
NR5tLcv0CmoDg6MvJzfoqp/nIgjnfeSXrqIevPZ/V0Ph9RE1WaaKeiciBGFYC5SP0+++LHm0VlvF
PCl3BTeiakKsXHuU64mdhb62Xy4nV5/2dgAyU+6R23f44rg6Pa8+qGuM3o55dDBos4bIT3xvReWO
xd4ErT89htTr/Pty7VMPbsxjtWdfI2JzEBz2dIgbFLxe1lAGsiZlT2xd0DwwGTe2awNFj1GN7uM4
NzrQYPStfxC3RRq2EawTTANspTcSfS89I7WmWe9UNTCF6j9GkA+4fKQH9Bc3U1QaPxpfvC4T2mb6
J6pa6ZtfsTRAdvXxs4yU68Sv0kYd75IOdjEB2V8DsWcaM/tgEZYeoCGwp/ncckA7NDlAEteva10v
3epnm8oR/8+zA3uMpz7MgDEv01zClEEqCp3Igny+ymCRH3Oc5QknKHPAA7oMXq4jAa1BnfPEVxvr
WYUmd1Ny+lQ151wlifQYvOsFvs5r/8FjIFTC1Q0QTom2YyCv/KDr5vETU/eUt5e9+klXGkxc7eom
1uHGQ6+PT8aOUwMd/MrXGZ5GRE6PECOuWCOGgQZ4ygUEKclvT9h/aK5nnLtkQ9/cREgwOP0xgfSQ
57e0P4O6OVstdK3yUxl608RkG8Eo/qDLn5ngf326OcNtViQDqJIBCALwu94FpxkGu8zJpZfewJHT
YJoFJUOu0nEbvcsh3enV6pmVkyh01HDd/tbiAUwr22ncwpUHYQ6zj+y6NetRgcnMkieDoBZjvWoI
NdAcioaeeDPNcfjDQ7F7evSuR46Rt9fz+9rkjylAubjCJx35ipChhgdsAwimlvoBTnWpMwB1NYmO
skHwOrep+np4YR7tOfHOoYPLP96Ge0O1lD6e3AxrK3VDk5+h020FAohLW/KIZeN25mI4qAQVqK0d
BoOS8jCONSSiD4C6KU0PMaaZfnbYgL2M7DTFMgz80LA/p12Ard8JPTm9TbZlvG7oMhk6J3qIpTGh
j1qDi8JuurWmsT5WsBmG+VDjYsFdbJmOs75/WRi+030Fsn9dXteBSxyju1JdsnAQpCYeYg88K9Nt
dNRNAMaSmE2eO7AVkNmR06Ncs3ATHzse+vYAsybVYEwx5vpkQs1Q79A0SkB17OTEEF2gBXJFC7RB
oKfmjZEChGNi3WJr7WVNwnL5b87Oa7mKLFvXT5QR6c3tckISEq5KVHOTAdXV6b3Ppz/fyDnZpxER
sGNfEQK0VpppxvzHb9KDjDPhQBUHH9B+y10jiJWNqmcr5ROrkqMq7IDalc/IZn/lg3VjyBjgJxAW
7k9yCZz1ZRK0JqoO8EjX5OjyoSi6biBrgaIPdWeN9xifabEF83tJU+35SPJ4iX3TZYVUy0fPZpzA
8x2rVmZ/7W9JDwN/pDqiq7PaMJHPe1H6BohzvZNvdFFltG7S1z1EuvB+NpwsGC7fO1+ouXgvltJH
dRQtXFhzlMFqR5yjWTZvwwP/IVE+hMxDAvtQSXcda2qvhWu+uYXdfy0KT8gwutwFhOl5gfS20oks
n41Y9Wc9ZshnkEbvAmmZvxzJpuNthqS/8EdGPxFXnJk8jv6FqkymzWrHlG2Yrcsk088ViqDMlAgB
BxeyxlgmZWdzYTnhYQ+BP2Gg1bdLVZ3V3gaULkS6DTByuQaOSXzjJfcJsON8riadPnnAVj0OIAPd
4nu97GeqbU4qzLGLVoHJVelj0gbdZyDvvMx6+h/qRJo0sPDYqfN05JmpTV7PaQSN6t45E+e3TjXm
NiLEMAqckW/Nxa0xMx6ZXrCNchGSKjefwavW8jeC3lLGwZSDMWx3geIqhZsjq65u+bkbuhTaimpr
Uy3memxky9FLdq7W9slMJ/4yn5ejdsgJXPMuqv+cpbHb3k3L7izWPebdPBCsP3a+xGgdpD+PaWax
8l2nDjpNflMPWg053G9dnpH6K3supL7BPoIDpW1Wsnd+f5uTLVzopB/k5ZsudkMo8Y6j1D4Yspo6
E+U9lRThlN4GijcZJGDtUViAMJL5V7enhM4WMD6Qk0maqiKkqPfgjKG8dNPD7/pbHyZy6cHRVNUl
t97I8SeV81pUrLIX65+AD+QVacoBB0LZoK3BS0M4w6GbeFAV1KTohlbu/zuVMB1l7y/WWYZrva5S
xaRWL8tHD+tSKmawFr5PS0f0JY/tCrmzxwmHX3PI3N5f0hhanzCpaPJRQh0lEDRdGepqH/AVoAFG
eYjS9l3y0wenk2dvbngLikLfFW0ARzsZtKY6kgpDl+edEATOSUyrMDGmFRwFg5qWJXfvESxDwwDe
gGo0T6u8jE0JJxsQbL5IkxZJ+xOGiz707h7xT1yE4uRO2LhwBxNMeT5TjmtyLUcNo6vFOVpgQl6E
/NN4pzFeIDCd9NzirEo1jiJCFv/xqNgUaJM4IQjmGaubOMCSgO2Gd8Nh9MCG1EiuDIYth6Sjf7+s
ttgUqWJXb92Iy6ky3X49TkMpWTWUYYqJq5iSHagGA4ZQbY7P9kG9pU0gRZ6qogYXO/uXSlX6idsK
sy5XK0WRT3MLNkp5ExsPltKh2dUA/DUlSPZk8T72BVptB1qmxrp+dkbqrHyxglv0jFO15podrjqb
Iq1q4aqDsTyvVpVPcYwu9BuR3lxzwEImr1fBXSZ54Pyk91DNFzZbfPEo8IrB2AeICelEZM1Umvty
7sw1sqh65DhDqLywHFSpTU8Bg/47Tz05Zw/b7QafGhfqE0QP2QmDZZEy1rJLaRRrfM5z8mNexJZw
mI9aj418E/4XecT7ixPlsnhrCgRyLlnf1VEgVKu8ftTQrQ4IAxSLtx74g3BpgjVO7fUpBE70MdJS
EmzLppb3LmB2K3ucq07iu202jEW9AEGJlrpE4V/qAGRgIAq/w8XzF4x4Imcv1JtINdhZV9DbOo6/
P5CySVk+Jp1Jb8ikYB3lEQ1O4QYlNqZTGRF0DN1QjgMa0dRHes5isqnon4jMEnhBv9lCaX6ZppwS
1XDQECZ65A2jGejE0HerHr31Bw25tEk+BvZttVfzlvqGPFK6cAdV5RjIinSGEnHk4dVqrQKvpIql
TiRmOnOMgejj41jYr1hmP1Us380Hju3V9o70D8z+T+7qSAZ834vuCxp9wKTQu6MSNGgi9YAGlMUg
6zimWFc/HfZ+fsDoj1rlBkW7n5F0GDjlFW/0uhcsjewHa1jJrte5ppQ9vd9KhdMeNVrCfGX903hK
w6FOysp+lqmqj0qOv0jZgGuZKBn0YhXUsQj0+riUw2mtKrfGC4U1n1bgPc29DSWSnxCWOeHARoqs
raXKPNwQCrsTKZ/lhem4wsePCzAmfbUDWgYOmP5qiCKSzrLcUOJvq9nfwQEOre0CRmdy1aUVOMxL
mHH84Mvhn8fHJJFBeoDjYGO8amc3LO6KSSzc/OUADhUsoEm1xTGJcM+SdSLuXCkzehOne7AeeM4y
Baua9s5lXIyWPwgGNnme07BIkYzqRnhA4KXYGl09Uqu5M12YEG4ui+iuKilNDKdyPD7ThDoECqnK
mroKZE01kL4HdMTGHG7T2aFr032Ldx+U6c3ijQGloz5LOrSFuRRVH1jHEX+arMpOrmlnuWPxCXRZ
CnO4WTIEMNqXV2ptNEYAQ1HBhzEsD3RO0AGO0ZmWBsHnd+F4cBpdaKbctzozN7jqsQC1RMLyGZlK
/tRMKz0pgqSiyRCB6TL7XMSdPBg4qlL7DW4nR9u+TreAmUnwKHi5BiDUBqCFOtE6JNO1CskVJP1b
LVIacjYVeOzD0eQVpqrqCzEQo4mBEEIOA/WeyTkURy6BBJfJSXCZbZZ62OYXI4U2yomSxAxrfdgt
5B/UTH5VTvtTi+pl9Z5HsoqHSLDSPW7L9J+1N6mhbkFR2/nHsYBd49+ltj972DLGFoHBd2MA9Yra
vd+niRjucev+QX/TzOvFQPRYPHPUtsqL3+KRMX0eUFC44QXBXJqDBu3YJF/bGHDobp+D1r8IGmU9
DXlQd49zBykqvYtKTuLvt3SeiHTd6qZ8qRlG//EM2rovpY8n5M3Ph52+Zl4RZxsmUKcemqWb/jLb
rm+eA8uJq7t45vpgUTnDljd3hR2SHnIddtu9A/NLp/drz9i6YcG8EcfYmMv+aBNKesEG04YZ1NgB
dUHC8gvdxI2a7TSSmjBdzIUw8pMzpMtD781+A1LD+c56S+RfvVxayF3+baSth2uqTarUY5iVu9nf
3CEaRzDAEAFfdnPLxUAFSubi9GTAHi436libPNZTRgtwNU4eVsuFg1DPrB0yaiyj8eke7v1CJCO2
t8OMqg5imbueG4Kcd+zR8VzyOWqyPvgXk2ngXLqQnLu3MRW+TaGdFnMQPVh9lo3Ycs+Wue6XmZ7V
8q6UAJCvjVfDaonm1FseLSuYmtvmbnaNlLI032R5Xp0Ze/38rsULor3vQDzdp6gcGuPRa+ap/ZuU
tKH9uzV9PwfjNNxx+1Lt8J1wopvWmfjYYUIcCDJshsE3v8QFw4Co+DnlTZAjqnHs1kloEjFEjigS
Nu50BGv094xRHTjNFw/LP4Z4jycfDhsKclbAYUBSivEWZoztv4ckw5M59W60NQ48dgmDhxLMmSHb
Klz+ElovuHJXk4l7aqOWZQMSC1O1VRuFLpRViW8fS1HW4A30OQRp53CgSqQmiQVJU1lLtpJgKf4m
LnJgwKsDIf6JTqCUfceH5Kp/yeontbn6FDyzZddDe0U7QvcyUCAuITOMeRBvl/WQ1ekNR0GeqkUa
O3Z3rM0ObLMzFGqZ+BNW/9xJUGHvf2/Y++7h39r1ZvhudffaCK/FiNXmS5YFckTaLZh+/wyoyUg9
Ho9C9H/ObFIcaZfXsGmaP8Y2jOtv+JH68b8XLI6m+9WczerDWI5u8x/V3lR3u2ncaRDvj8WIOPBl
25KBMHulOeKYHQzlC+qmYrs2oItTeEMvmqzOxUmJ7fYuhep7ZUdVknCTNhwOzFWy+q035W14t614
vp5i00Yy+q6zSAne7jCsGVHNTB7HCYnKtpaBkmKqi3e+U+OTPFF44NflQ6Scz0VRgBdcnbHAEeur
Xdq5Zdw1Q0ns+/wxGPj4oHsD1ceK5scU9MqfjTMbftpEpnPJsgTV9blr5zrBStf02uvUdzhKQpqy
jXPHibN5RsbbQX7aFnLp58ULi1tGWXTzxiUt74hUgJ4EyTuIbli92J8K0+jM54FG4WX2upWWUVn+
q8Bs/YXMOmoPO5z+TpxobC/Bbm7XOPJiQqC3lC8tg3R8BETEw5VwhuWfOQODe8O5rvmYgmI+V9Ck
H8J8nq/TEjERR/Bl998t9hv1ZUBZ3d+lc7n+3btQykgPsZfsvAxT+61LWrt/u8EBugSAKZ96L+wf
FzN33yJYcQgOWFBX3Wyv6p59b82/bSiv37G6lbzl3E1vWVU5f6Ztb7wJYtZ5z222+Y2NtSIR4hyy
zS9ovljV8BQdP1OGJA+EXMwl8eGYlweXBK7nvQ36/W8w6PXBSZIU1kcfmZgjpikPr2gH+xstiMJ7
sjnmkboeLLl1Tmlod6cej2Bkjv7s3yUBld4po63l33se2QDoYcMkhwxmD9/2uoKBlNi+Y55c+nfw
KMp0OW92RlBvbnZPUKzpFtdBaReXnAMSfbuuuQ+qzLnklrO8zePE+is0m+DLtFjZ31laTA8wH513
y2oxyiI/vkWtbcJfKt0HexmK8DyC268n24z7B8uym3+xt7EzzPtQ/Muw3PqWJsw7jnp/TpWf/hVz
HsJOZcnf12ZELhRu73ckl643x1nNL3Zlpy9x5vlnLyqy22Ls8cc0h7sTkKVKJ3bC6NWo/e65JimO
tG0jnS8w7KruzqmC7N9rY1ifhnBI12sxm/3fcF8xQ4PZCADokivdntoiYWWJW4ugxn6JT2i0NjrV
RtE+hyPJAVdzsitJfagdiKZmNt8FfrB8zSPOYpc6Gcyz7cYzxJDVfcxjz3jy2OMfiTKHN5huHlHn
XXmb8hjno2qN7r26SuBEjssS38PdnJIr61LzKZy25G3TIde4tlRwHxbsQf9tt8SvntI5pCPv5CSj
XLgR55Mjsv335op8iU50HprnNlnjJ762PA2E0t5QDFV/Ez6xeX/k4YxlDb9xC6U/8J+MPfMrXnN1
/MY0Zn/6M9ogM3lP4bIGQXrl+L1H/h9eyBtaC/yvZkj0d6WbQujF6YEGqtGcsee0J1CMJrac674B
BaMoJ7z13V4kxfhkL9Dw76HntNY9OFphfcOQnWDTcxgtofeSzDA6plNgMdtYW2wgYyo7/F+qd6Zp
VwUbPxPSXKtLsRl+tBNQniK1zd9lxV7AJBql0bVnD9CV2d/LflsuVR1PwdNq5iad6Abl3dtlS2jt
1jMmKXf2lu3vm5F4hpNZeMN7IpXcpiRUD6++HoIilLRTbtJgxyOYpsa5LekVXdBEjNsd625n3jMM
Sud9PpXe/lvZ8488YTFdcj3Yf2hNoJlAOPlR82G3WwYXulnfb4YZre0/NNaGrnzBqqgqvv6G+O+I
gOT/C+Y8Gx6yzeCU7C0bCcBrmSk21jY2z33wPiWTwu5OJD6R/QQLtcXuGzTexfP2TUVuKHK4wjMh
bCRJa+UeTedJ/mjLuOE/6kafY/YrlP/DQWu2SB/g/x0/eDHWit6Zdp3EniVIePwvvj05/B3R0ALA
YA4iXZtpdOG7PbpIQ6GSjwvz3b5MNCz4nwjVdi4jBN0wPlkMa8Gc8mmaX1iF8n29zjmMRdiNhts7
8SlTF2qA0HJjAX64/HKcmEH5TEJrzICsFnx87Uu77zgynQqOFasJ780ZIr5T2XDV2Az18c3rkygq
/6zVg1jYxdftM3OXZLOzbY2T6bzDR23OtocKUpo/3Rjdnts9+uuAhdiHBPMRbqB2aVm4V78vUp5Z
NlRy0E4jtu76ZHUznLU3m5kLlDajpvWrN946tG569WjW4Jzi0psqSQbzAEftS0qMylS8Tbql44Xt
yGwz8z5FlLfH70vXz6z81sxuGe9nOk/io5KWCxYdH2LqE/9LXIZyKZlTe7gpFRz1UVvod8CkGuQj
W5eK5qOGlCKz8LEoqYtlSNsrmPXuOM+Q68N2PUecQ7EgdQqSUDa8fRO5vh3PDFwxrQjKX3wvh2Be
uYFLNTr7cFg4Fg0mliPOJR0KAWhD1IDceeM1WK2pIWSgW+TF2DUxDcY1HinOiW3HqqpPr23jdjxE
12oHRihGtU5lvClimjr1RdsJcabDP/ohM00nWN9gq4e/0iWZsEBPnszZxr+ORJUE0usdUZnzFDy3
hAWv6R80TCv6J7ZfeHx7i2kKT6MNJhqJ93h6MTLvs5aWHDz9kDOHeZqdTSyTs3a03g7KIA3/PQSM
T+uYd94bI4/W5JrY7uBn73LYelzjlHktv/qb+XwIwn6YzwECIma146I18H9Kb+TbMY1cy+Y9GdbQ
OOmQ247h0IGHd19j+NysCDmd0QfqPivPPrAEwXBDZeO5pZPlVTiHNLbYD9p+C18fn+4U24G/lpih
A6rg+EaENlv5lxQ0cPy7Dk54RfBVhCVsc0FvbNTBiU2Cwuh+bQeTpztjD0XHCkdH+T5tkwo7htbh
iuVy8QQTQDxWd2Xs6vER/L8UTYBPXg2tfau7pi783erU2jOGecliFHhq0dYUW3hUvIS/34fxJueo
ypjFXKUcB3GZ0T5vXU4aTTyeYLpFjOWc/nYcXPEyW9rxsbQsp4q+/+JmE0cIz3pkxFYUMnOwdReE
NS5/UEmOIckQFtFHn3WHI3HaWYLzHK+aUekYjHr8FlvCt7gFG7Y/1IjDMChyWposRKQRMkyPde/j
/h1pUXiaQlUuWnwM6zzqgEDhvRz2Ss2QZk31SJ2K5/d58zeRcmpFJ2EOsZGNZ6OaBAxh7aya5J3v
o65idLYSR7w+aTWn9g7MvcHdu/d0ojyre4NwRryM7G4TLBLJsdPHF8KN6KLdIdjf+HVtgUj0kFx3
V0MUsp61z5NWddkt4kXaZbSRg5buS4yHK3VR5+f/Giw5d17twePIdV8XyAlh2Ca9IGIRQ25zcPA1
sLf7Tar9jwpaHBtMB0dovgdzu8CyHRG8/bdnrOg0iyTanxM0XQCK7aHqV6xA3RTQrhWaivHrifij
ZpWvtwF4GK6ALiRI/7SHz3R9m8oN12fd3dY0KC1dVb33JKsEo0MVJJNKA4L/G6n/6+g+mwmJCZxn
kRuPKP6n8FqMUQJpA+a8NnfaYACNDFIqxYzVwCRLqxqcfLnOWJczV6JFtGJpRqsXvyzFYdCjFUOm
OMjfp5QTFTl4/B7TNaJnwrxTgAAaPtGMTTRusq9TEybV/LEoatnStBFXxgbsV9eEhZua+tdPHTuS
1+UM4DK7oBNgboZ5zGu9rEvLGPnrmLyrkwaHsSvlSFg3N0oRhv1V8weBIGSngQ3qIypUS3jUpG0V
wstlB6vu7bArvBzCAQFFbwkVMupb7Hs5c4rpsmJw7cxpfVJtRo3Sq57MVMJj8C6aLaUYp4EKq/Mj
gpLojyougxXngv9yDKT1QdoRQt7tCqQkTyqcevkQf2rxCTgVQ2rRXrBHkJLKrQqZhGweAK61ah3m
WA9gJ4fhsMWkghwkHc5uyaXlaCymsDY04RLKDqhQbrLEv2N5tL3hVGNVsL21oaiANYeG0bOBl6RK
giHHa+JsULM5SGTTiY7sVKY3zfZSTWFzSfFb+OBASyo+oeuEGKqUuGsF4k/nQswrZWgXTr/fJpiy
TXWNlG15MR60v20yhoWii9fQPirpsIajkB1KQyCsej9rHuaF/a650PMAY2qMIiQ49mTuWEpMj8le
Ca1iyCPhkyievGu2B4uqhFELPUI1+TXjsO/oyRRvBqtMoIpqPui4khxXXVWbPW/cMnpTR3SQt4dc
dZ/1BQedJSSUsQ/FonvYQlnGOZ5Jx6q0hzhwT1Vdlr20h5otds8ep2PCSJuc0/z0zjNrfLzvQiCF
0r7ZXerSTVsKVxopqBQSrmtTD2+qATeCD0VWrMl0hpOxZcbNzgBLMDtqAiHJjshjmIF5AsaRfMjm
pU36eyKq/PQ+xbWcwq4FrOYLNLnGNNyc32bH76gHt4gOwLe5ZS5zxMnMxKAnprtFuooJnbmmZbcF
pEfCOW7YVO03+mHaBr44/TWcLMK5byzpIQt8vxtSAupft81poK/p8I9udkYhkDTv4qDH9i9S9EQn
8KXBohtW4yo2P1jjwqX6uGXVCqqrqAi6/cQmyRDTP+jOD44D8tZHd4XOpGnp2suqsAxI628sO9zH
Fb6t1ULZR4cQmp9a/EwKamjP7nELj31b3A0bg9O28+glFp29s+ZF68loZnUwB6e2SyyjvWhObqJe
GI1YGWSqrxK1WHPRkZtKMILtNKixNsGSvV+I/qtCVAnS4Nk4pydHNaKrhFJ13hWWOJcmC9INr53M
684DItv4E2JIQnoeOrsG/7/SmVoW0AZ0MAwdb+lbAkDXacUZ+bkh1Y8xih6/GEFc/Wmqv5XHMrIw
LVkP2PvbFXFYthNHXcJBTvY4RApH1bLeBWmCyz/JolVaPLQ2eS3tpWzMZI6eRw6hjMmR8zrLUB76
HXynRXl0GBsUAqa3x1jEGUF1jRVka45EzIN6abuseTYPqhMWHJQSmhXAxiU1gcWCgtNXHXWCeW/L
JN09zXsr+kmYpkZBzAL9ce6Ri9BPbx+NgVtO2s6c7vd2CN/j0kgO5KzVCIplvRx1ZhW38psQZCaL
6owejG1eGzJUiSuchniGG1gRUFKj6nTtMG8/oWTd+YWCOoNGdDFNSTA90MgX4oYYtHDdMY0WZmQR
90L/0P5QutXt1KW1gQySuPjVRZ9ePLl2ASn0NPpbl8wkPw5ogD+QsDP7c37W02wxlljohhnJkaja
TmveZ1b5HlAqDcYZFswxl+cQUmb1lDWFjGDHH4S1mimpANbaJobYvc3Rzfxuyxzs+OvZBZh0KsxW
ksyEGtXkJjvRLcj6gPCDkyJRdd4ExxLBo/B6CvQYLAUJd8sSovoPfYZcoXj0qcPhysQRTNTgQ2e1
sJ4hu0fyb7ocdxXVxgD9nqtzM9t5Gb5sQUBKpqZU6OvRdBhFGFljw22dj/p9TYpDbqEu5VwMDGDI
gp1iCieRCjlW9uONfhvWHE/aSJbOJeHY9/o4OLepDNClptXnfGwi1JUezXWMrf9JhAr6Lc7EPwz2
HOIUEoakClLMb1iessYMioXJ8nw8ZJZ+2sxhDni+vK0qGlX5m3blnEu8T+Cjojh7Ayyg5c5XeoVW
MeITSeP4Rg4Y3RxidptQdGaH+EvfoGYJOorqBVIv7W5F5tFLjCJcacqH3i5jRXXz7Mjl6esVu5oW
IciY9gQNBYmPFCCdEj7AdzSl9+9jPl2/nxUBfFbdVBpmcmApVUNCy2cmtUFqqgHCZ6lfNFEp62Ox
hKLXLKwtjRh0RSvAjlfPwhlIvPHg2fiwyZjm8OK5Ky1Io78kLd1CrYD7Yd/SH2xfzdXZXUTNjLog
2HBv7yZaP+HNNkLp3HtKBaSr+dxOhOYP8gp92F4OY8hKsci0sqTEsIFtP/BLITlrkYxiYGdkdcfe
vUTSmeuDjQMonpb6vvUg0g/jO4kFDrC8HEVD1g1qfft6EY4CpqFzGinE/PySLFgpUcZYGJoH59TG
ZPbenmE/xmSXH8VfPXk7G/fm2XnVPK5jawTlW69HhEVz1evi5R8McVgsL2UMH8blZNUF/heXv6SW
VRhaN8eOM1yLnm5PcKpHT9At4hUF/gBrFigtDC3BLxgXIb8WT/Jq7CQEGBqckAbbaa96uAinOQwW
voRR3QNWuE1cj9ETat9c8Cu4dHxi75XyR+RmGNyeuKR4/erMNAG+LNhOc2OaPAe2yyViFsbljpKF
VsIbptK0T35uF+2fCC8Ep3P6UHC6YV9l5CrYiAJi4AcNFCUKBmz7VibllNFhMiCvxMLQ//V54vVp
ArYHdihY/nBo4jR3nDb+6xCZln2PgKJxnpeMbaZhQgRrTgfqaGu6atwN9rI3UD7yOXfyRzXufn0V
P50lMV0k7d32wb94K6+9WQIzNXzXGOyn8NAv6alTpIwGaKPHuTZfZ6lANImwUhqJVFVGv76YV0Yx
toVlHs4/8F0ssjrwhPnxXE2e2tgNXjw/pd4qcq11pspihTlIolqxAScAzf/dr7/4p3fh0UW3HKp8
YHELjOvHL7bHkCSTyJ2ePLXhBoimcerWhmqT2+EuqGuBOSOj2P0nUXX7ry/j9f0DLMjqHlg8BA7S
r70D6XfNQ4J8/omQCoVapsK+B8IWbhvHfpFp6LP8r7/5dTKZDaiAx6LtYoxGVyB4fbZFUJVg/Rwb
b1OlCSmDmHPPNcy7tkdEeuinNDlpVWqdKexkPdYcGRe2Z/yH1UJr+J1f2+shalsBz8IDqIgsLIxe
tyx8CCYYqsXm2+8KPcX1Hg+toBqiSurwnb2n1DKeUsH85jnJSPhvCNTGuA3rSBvVD+ofrunHkdL7
yOs9ly4ufSN3x8JZEbbgs83mxy0ZO3dCmDsG5tey8AWOtpy+tr52Ewb5yTnqyEsAhk6CCLWLN5cw
SX7jl/nKCIY0DdfxnMCBvhRYmPK/Mlvq/G6zPKT6bxwL691vmgE4QmH4nV/Zq4ggD/QLuoVNuI4P
15luxKtnYcYmx4Nud98uVRju6WfH68e2uMdfxMUViJ2DpTMgYaz6y+ZdgP6scx5RTpG3DIPheQ3w
HVhIW8W2YfruuLSUyL5ILROXsC9UhYj9tRqIO4+N8fbr9/l64uPv4Xqh7dv4sHjuT+airM8zLvhR
8KRpnfo43uJ6woKvxBZh5gmrhY7FcLNIuOSl/voivB/tWHmQtsOwCgMWPtxcf7JjZQ+dBfveiEtt
Sja1uRuasH+K5qiMX5J1NXDtGY0NIteHnZ2EEVSoxLBMuSgVuJe5z2PgEUd9hyTbhDsSj0nxNTUs
IkKckz9YMzaR4URtm925Gw1sDiWJWGgtlp2AxQEE0/eCEivbni57uwocj7AbMxAnd40tN8k6w1Zj
54dZ/y3yvQjMtVfUfo3rMSQaPnJaiD+ChRgikiooCnAXaqBQdTZ0gMIUwwdmTxhSvuml1UcsaXxK
wsjL8GxyCMycryDyzhDWUP3yFBB6Ljao+Xfm3Bltwh2k01TdFUolkoSDcIBKO01T8xp4FIHtxUQH
QMBo35GZ6F6BD1Lz5ddvz/ppDDmMfTM0PdhqqPle71pByH4ALz970ph6q26fmomT5AOAJMoiwpWW
MqLnqZjZnvI31+Blp3KeYKYLQGfuhdjh77SD+UmRk/RtVzTxmj/NFZehBeJo6Me/a9m+7tj6tGux
iJMOj4XB6WszcIccN+Bys3/LKar16r/R3qVOfVMsZB1spL3RYD4dFmmHVk5tEOkMO8b83ex4teIG
OFT65Iz4kW8FQM2vFrQZmngf0NR7G+wGTXVQ1LhykouxArZAVvi/1CEBsc8sovStA8kPOwzt/qs0
ozsDASr3qre6danLxk4VhQTbZVSorLRYu/0GZH7dWWAJQOQfhazNgPw/FYXF3Ilh49K+zdI8YKGp
OPH5X75/fxlgEP0+iAbp8cUWfne/y+/46fsdACu4eALnu2wkr5b0utzScQut9FF79S8sCHKQ+yFG
pLI80Ul0NlFVv3Mn/ekCeM2Qgn08djlosDz/uL/6YJY+GXvDAw66x+rhHic7vc0msGFlXfaAC7I7
D25v8PnXs1lu8L/39xAmJhWQ+IFymP1pQyjWxSUbKdkecxaX/Y8wnHANSwc/BlngontjuPk26VW/
GeT2j8mTnk3NyToa4UBKDcqYe3XfhefMzl41/SNRF2k3PQdu22wvUdXn+71u29eF1TifR6uX/jl9
ITlj6e09i+1cQNcunzgtDQEGvfuZ7AZwpltvVwKxaF4AnRRZ4emCVowhFEgiNpodthY4ZJCBmz/p
3wr34teP9XUNhy02A9tlMwAjkL3ux9caw3dacY/IH8doxmrkBKk7K4ITOXV90WFJUcweei4VRuJt
YPPfJlJdZqwdoMhN/m9esvf6JfOsec2hXBVNtNeHnqWEoA3zLH9UdNTsELWpGlJhT7+++Z+/jpWL
lhHku8Bke371bvMMv5WI4OuHRHw9v33XIpczpfKoCO2/+cKfSjM2XY5RLGJkSZqEx776ymGICYSm
Gn3QYiblNbAmyFMx6FikwSPBbnP5mG5QIi0Y9T7mS8/2BOGzvJHaFZv9I44aBfidhsh0woeXmCKn
UerR9RAvK/ERtgeQd4kyJGrkvbdPY4lel0+le+JtMECIaok36Zu0SqLLLh8whLXrRBrTMBgvivOq
pGRaauZNsygGgqySlv2YJj3ATDgpwm+9COyU4xQMHtjE+Hp9yNTRDKEVfkHDXEmuSDUjeHoJrEzK
uu/VSj9nuwkHtaOvdEY/Cv8oU92euTZE3beTLM7/J9FCtDo9YS18iRbTNEntgYXN7SS3xPzhm9Vz
GHJfQGrYmQLfaP8MuM4iuNKUY3V2KeWw+W3DuG24hb3hJuNp6Y1+8++GiiSO6D7vdhLQFCJgmgtu
LghjF0SfNy8h8+29elj6WKSX4xzncM6MGq3RCHWDkdr+orvVgGmH3P8AGhQgCaIj4OQRr2rWnrnl
dzFxNZt1Vla5+swZ2pE8zKCbRXCjG3D4QkjoZHYgm+oJqF/SJbVbu5n7oUQVOuNzAqzmUtWAnbX/
oboMCSbfkUh9VURp2ARlNpLVnXgEilS4gOYActkxXGtL5FeGUqXCROjrW8u0ivyHym6X6BGnxmH6
Iye0kGwaQG1vjy6qLInEurm+4cw4VDThyKtLHPxJXBd0Cv/E6isUqyw4j6D8fnedzVZUX9rMRvmo
oCozEkz0MWSeT76F3ahzbcqCKI4TfwVsNha56d1pJXoNeBFBjbSI6PhrV1A60u/ReZcU/lJuF438
aqoAEmpBOzX2GU/YEX/DBQCR/YlkjsJ97k0ce9Du71Ox/6kkR06HDOmfClEf+Y1pvqfei5Ji09Cd
pr+BTSz3hU7sPL0jr7Vq7RuGV8b2Erg7qtF3mBuJPNlDeE3rrfCWfcDGON+tobwMqvmoYWni7kQv
jSuuaOW1zUQASMpg5VTuW5zc2ryhhRDQ7NpvugPNaihE/r3C03f+EITFaNDwULCuFkX2ahXQBVy0
+W72GXa6lX9Qw3ryV6ZscUzcGQ+rDjvcObSH5or6XYah6pDHBiD7m9awMVU4z4pDpECBgpQiBqZS
Dua2nXsmHswELe6XFksCgGntxaTNsfwc08D+ig7Xm8ANS4QU8Ez7eH4OCidZoJRpH+d6Tdls9Z2q
IRZuPjpJrSxSEjxtIKWmehFGofEZn8rZuUZq6dINJ629UhNnPKxpzQNR14/puxI5x0wXXbKSDCuo
HnxR3JKU5FH5qmghlYtrOGsP+aqJ+bKOVBcIH2E2MoFQdXTjp7ayYd82jjdX4MYKWVdtET9cZTQi
LUcYeaeNdvaVfAVa4jyZKLmo1o0Wa7oKXtfmWRGoOcuhEBK7bzp5VgvdehhVLPCYzqKVUK41ZmoJ
st9ZqZc+eVnj72ju1EKZ1XHIIlqtjce4K5rULODXRgZZkKfIcFFgd8r2YVGfR4YRCm1n28I/Ca3m
7Z5iVPTIlsnwsuB76yOmejXfx/ax6g08BRZ5rfxTKyUBDWKqE/ZCfGKTlV1Ae8qpnvF33eOhldXq
1QQH3P1lnnz533qX0A1e5UWilwcFZ2qHAC1v0wLFHu4M47LGqa8sE2zjMu4q6gwcs6HXcQCezrXR
i++LpYT7SgSDMZ5LlU70nhy/UnUO/p65dIhl/mewoVVML8sGNR4LcoT7/H9HHfp1L6gG8uf6lY5a
vyBTSWdt7Kj37GOO+guCit7m3GCkplnCXfowGjcpmvHo3yh7pk2Jj1Dp0XV4cigz6JBo/eyo1pUW
1RSb1iRtT+MK+9EzG1rrozTYqNPpIv3VKv0yisZNygT1k6XsPVb17ap2g8QiBwdNgCpIKmQcFSyo
shlPNYOPLCphsQQqlYMTZ2U95Ua4mW87JFf0d1p0OV96UlXSzwkdTSy/gRiMf8ocPZiK/iqVSFV3
wloIb2yIGjxXZgDKTafOcSslsNueGbGOil2JaAsZxL8QwAMkGCdRXTg3w4dt2CAROPTAg0smNUBN
u0irDHTaLcMzERxxUl98oMZpuE6mSTrsdVSG9WrYRs4RjKcrAb3dk+DLCnCfdfYE55Dg8r2OzkmH
CCA9I412jP1WIglgICgdpV6QdeGoB7pSHFnFJrWFbgpicIS2WZ8QtbORpm9EBil7eJwpRzZd406q
qNLEIpu0FV4kriYiICZrSEaM8sfyatuj0CJUXtZZqP4TA2Yf/HT9NNL0HHHNVGEdvaLDxjanueaU
W1jSkdd4KN404UF7eLv6E6kP+USc0QSFrZTCWhOSlOUVmkGReplsBVzVQGOUuaD2I6VAMw4XslSt
Tqp46lV5qL2LdLsxUc1d5c6o2o16eCppqbJM8FVBqkCeQVW2MJx94tznFAEuvE5oMDxJFnkwo/sc
WxsmemaEElOrRrN2LcjVnMuFSi0WYbMDi7QfICwF9+FYd02GLCr23W+VetnN4WA05sT0Ea2XQmz7
4Pim9JedOUmG+Y84mWuvIYtAEujKMBAOEkcA6XIrGomRH1plT/VBQWiqEvYaDhs2Tm8u1fRZN363
wcMI9pbF5L6guVT+gHTSpajOFVPLorzg/XcDDhXNe3PJHAuqk3LW85WLl3pIeo5B0N/76RKG2V76
9xqsMJJlLKxzgvIt9U9dPh9gM7tkgRBvZjFChmTSPaQ1rJh0TukJgY3vwbzhFGxJiZ+fvujvOv/V
kLFosSUzcvRD1tFD7NBN556F45Suz4Pirfw/9s5jSW4kS9ev0lZ79ECLa1O9CJ2RWjEzuYFRQsPh
cDjU098PEezuYtZMcWY/Zm1tRTIyIwJwuJ/zn1/gWo/tz5YmZBTNxkXgrPK3v27v3mMUUWgHJDIw
H/NCAlbfg3Sz548iS+ryWJUNNPAfBq0/XGmm88zsh9fM/+qNHUiPiEeY0THjYEz2HoorC6eToZjT
Y16mMvw80SkEyAkaIkGJRpTGWNXbGpcFtvm/fuMT7PMHWAZ4nIY2dJnQMV8hROJdVIlhhE7Lb08P
9TA1oXsBKNn5yTEi9BSyOHN1HYR7hMitBXlj1qkq67WbTQ7xqj5namtfFSe3vc6sQuSLmBboobn7
6w/5ngkL/RVHKov2Ae8T888ZvBMUiyBoemf/g6F25sCNBN6CeIg2X+BSMxyb0tghqGrSIMe1LgzC
x7Hrm6bZi3KEQbeysTwwHluRGSJZw9SC1byqWAZOtXXPwfEyrcoSeVRWGjV8WK/F1niVUqk66bbC
sBrQ/vy0eCdE/fQ1/+PL+P+Sb+LufNXVP/6TP38RDX4vSdq9++M/nkTF//5z+Zl/vebnn/jHdfal
FQrH0b981f6buPlUfVPvX/TTb+bdf3y6zafu009/2NZLsP29/tZOD9/QYXSnT8H3WF75P/3Hv307
/Zanqfn2+2+fvlZ4Q2cKY4Av3W8//uni6++/2fAFeRL/44/v8OOfl6/w+283ou1SnL27vz19Qw3Z
iTb7pv6L3/Dtk+p+/w2vN0CZ5eXLfzv+34nfBBtzAWuYqAEP1suv+/23IPx7AOWZGajPXBFwFOhM
CbJIfv/Ni/7O2M2HlEz9TqsFaPjPD/fTbfz3bf1bras7kdWd4qd/AsWWiTOjC5MIVDxnlzCJd5CR
LCTwo5FEr83c0lSfuaojbOb+QRhuFa/+cG1+vP0f3842370h8VOWw6e3bHaSZQD3DthvjSZ1dR0k
L1al+wzzSlAGCN1ZwXuZXo+W2OtcxOs4cJn+3pGlaW0G5czWBtfPIrsXKXp9HFwGp3mDYm4QatyA
hVxUhq/j3SyxrtkhT9H2bZE6/J5a5ka7rVy/LnZ+G/KazJ1LskQQ5lVfIwvvnBuzBjLc1zZEQcZS
fiXfPF0iQGX6N5m7URu8i/QSR6/bZFE7y1OxIeKWv8FhzrWyDdkEMwq/0cXAaTcM+fIN4B+/xd6Y
+K9lA/UIQSpK99Xcuhhx55YK40uNmBBoAWkWpGjd8CWzcGrHj36Hz/R1Gwm0yIKZqnvgJOICTVPO
Kw0SPGJocyNflcKI14xTaKqbRJBqdLDGZFEwD1i9YjsMDHoISw+r4KiGfbnJ8NK5mIATipeM2krd
4JYg568pAyCE1QaGvc/nuzAPDVfeqiSronA0v6zMUcQBqk2uy2cIA2nfzqffP+J7YDxSuuIJQOIK
E8XCJRPnOkuhSq9yvxkni5hsNRYvcqii/mh6okth5fa2IlFK0DvyRUw0+rvzOsitmv+uM5MvAh1s
Ht2NOXu1tOjMUxsdcZOh+dvmLnZiF4qWpH/oPM17yaHMi2nd2JqL6DVBk3tbK5EICM9XriKCmsCC
2vX6h8lWSRdujJYDZuNjqQ4IAIe02Lk6iuJLcyBV8rMpp37qdkZt9tbWJj5vSUCup5x1qBtuLCRz
VpoukyCdV9KK+dYoyvrlIxIkgABnMspCXCm/zPn0yNK5cWmAMfNzpTARz1cO3U/xgm/f6XO3lGoX
o05xQm0CwVpNw4Ibi4heFy8jDpN5vg46RjnpGooR3ffW9vqOA2Nx2vbidcYgd/yEOtPjSBiduP+Y
C1JbJnzJ40h+8jBXMK4mPM3jy96Ou+LFQJnp70OsI9ptgFs7ssTTUwYZPouaNX7eQ/cUBZnIrkSE
g/u1AaqAL2M/+/ElhvGsxmRMuJpN1ZBrtBYmFPyXzo+Vfdt4BHt8iRLD7O9CrzOGZ6MigQvb+ZC7
keMW7rCkgVd59jB24Zt7IuD2ALqxkJaxm3vwdMdUoKlJrfdXrjJsVl5ssaabmrHhkTFGaZRrCN/8
AztDyc3v0DRDfRO4qXxmFjxyL87P648fPFUSOKyyiFM2CtiotcVd73K7eYPONrO52FJh4bXyEoCs
I/JSjTs+aoH241CYfr1jntOrFUYnPCxEQ3Lp4lws2xS2r/5eeJgX3CJAdPsHshhYJL/YQpct+d9V
EVwll7kzPI4TZYpAw3c7qBaGarwi6T6MSYq966oIMiMjPRlTTRahjc9ydq+hWxdypclCB7LDDRv3
6tUZZ5oIW8OXE5tyvmmdub0i8LtkL3SnIOQWsmf005J8i+ckqjM1qRaHoUDnb0kG8IC8eSraSoP2
TKF/JBlz2RT++iv+6YxgDrporND0hdRU7xXEqN7GEtKM+KCrqs+PXTP307FQPQ+P1QeZtf/rt/u5
suaCMvRdKk1OYqa/9vu3k1HWV/h2NB9M3SXJthcM4A5GkrXEg4Sw7SFBZDL4+tdvai236afb6IGU
RlDQoTnR1/jvilu2pczEhCB6bl1JpOY6I74sQeEf4aACOR7TmVXDiZF/n03CraYNAAfxu8wFdBUT
l+JnbQp/OOX6fyeDbrKGrWHNaWLuusRif/rFp/2ZIrBcIyZL0MVckwHTf0FWEcKhAnfC56SUAc6/
unfdZ6RAVb46n9Tt3BVUoNNcjDM7ZRfrQ3B66G1HwHD7xQp5HzXL5yHCG0wc5qtNEfy+brGgPBsW
WaTPDrKU+JJYizES2LQNnAhDWyf0kWYeVJeZrybWeZz4NRsF6QjN+BErkdg/osFmy0lmH+CIhJqW
s8ar7Cr/PuUjCztglmXfEunLtUSu27IfWLXNxv3XF/ZPSx2BPNo+tPk0OO6fyH8xXhASNpX9DIvF
Ec9ePUbetIKrk6o9PgjZ9O2v3+9Pq843sc1gTowcFZOd90w26pJKe+5oPms9K7wK+ky41a3Th3Af
f3WPTszFn5Z4AFEMRgND/dC3vWh58P7AqHAZOeKE4cZPzTB5g72VgzmG7vepqBexkESZWn7tTM0J
J11MNK8lMJW6GSDSUUhk7dD6CLVnrfSx73F/Ndbt6VBg1CiGQzw7XfQJOxD2WRfrpsldk0Xh1NCM
hrxQj6mDcuU27BRH+CrnzjKXnPtqvrdmNyZT5XR4IcZzSOPoGQ0X5k66XR7s8dvzs1VvWvKOQ6EP
9okxOQQHEQIyHGTXypKRg2cu5ZiD81O2Idvh5O7AZLFWC3hOHXeuRxxqkPgyyGthPXd0rzniCMNH
cd752hDes9vjX1jtkjqgNEsjotR2oSp8Y7pFiE8hybofOHqHYHKN4NhMiGEDjIlGKtqs9Sm6FPkv
BD31c51/h0g5WZvz3yR8Wtkzn7ORypOUg0Uf5Oa1KzGkWuGJhZ3PPonCJVteVoMOh5kqFMOT+2Hx
Ak0vNI229zqZHqqVLzLg9ojt7BUcrH4Pk2BbRjh6b5pSNG95TS4VBTCAbWhe4m3Z84RNHsWLEzRN
/t0dRqoEi/hQis3SyKuvHhk9KZdgKRJizud52E6VmHl+OWcGTjRjqKnKz48bRlIz34DT1qFQQR3r
77Fb4NHEapdqy9UG9O+Di6Segz6dhKanKFsVD8/arZc3LrE31KusKGPv9Yd0ROmZmoMjmqPbLtww
upWydz0K9L7ndhgYHMVkpGDThE4NL2hjDQphlF/HJB+Kl9nxltttSYNz1EeJB6DZnQu8ki4TheS5
QsnjNhk31Dq8S+VlfPzzOzbw1fw9trnOhcx0HgHuD+pTKOhiDmdjrXND0J6eCXLr4djuB6M0vHsX
uLi+hA1XNphR2Ojw8N5tuNlf8dGgInM9hrnYkqlKTMPBi9C5H70w5kbfOALh3bg//2qyZ8xGrNqi
bmS6Q7URFIpw6aXvmsbIjKd1jfmfMXAaleWoF/OyKv0VZ5W+7/0RSG9NNQNL3ySXFpHtz/sDJEQ8
stA3fWhCS46PA/rFDlsWoyYf3HTq9nt3areMCiVRuImYnOLPjnEsd3r0dTd+xBgOmdLK8ubJR6ll
JEg5NwEM5fEj8lMqToAjLgHWAsX43IiaZdP7iVVWG0OyPC6Ug53hbWBEqllBGumaCxe7zWzVUENy
HcF1WAKUQ1RHHXmIJVMoAEZayKgvqq+54BZvLcpxiKKmw02lkZMcgmUr3eSmwrDHutc6tHLjiqjt
PvXR1unlrO81EWv2vqzyjPzOqJZLFPMIeRGsqHbxuFBoC4kJw60LzU5XP9dMIriJJe75nrsbyyGO
res+Ne2IzITYobeNSxhqOwMCKJ+S7GTOQSs22X3OpS5pGTw5BDSwSriMjMnWLcIo/ygIAQYWN+n8
ebvWKdtc30ASIEPpoAQWoy6thttWz2avegJhsIjECgDPfnSH/k1KfStKeo2uWwLr6iwDwc09awkI
A0Fd0jCVxUXySV+0b9MZsgzlHDzWy2hOOIrHxijUJiasVRytKR/oS/Ju6chTkz2uR82PuzRwl5nt
zhubV6UljmFM9vG1z2NQy0PV43rirvOBIdl2TqMi/37uPG0ejLbCY6bT4pAmHme7OTjwU4h/0PXd
7HqILpnyQDO/nDg58u9qiCiex7Sg9rQysN9iLSwGB09+7Mr02bEcT249J+Ibea1raTQaBbcdO9m5
eCpxpbMusBnxojuuok9GUZgIz97EOIJl2yojc2CFOJUPYJCZAxcHK6niJTI0XwJyLS1eyM4HTEFW
Eobx8VR1e2gQmu3PygqD2ryPDAf/BA+bb/TTJRs+1ACjCgaMfhkIvxoUW8UGA0lJXubYQTGtSFOH
UYGhpIUD5C/4XfgIvXuC4XQBIQFNoy2EB3vKdf7DCT+pOq81XOMnC/jbCy5H5ir6yvRqw9X9V0Jf
5JiV7KseksfM7luV7CaJWTfzvTIfnxeHMhd5sfL5cuMJ5VEzmvDN+UXo+ZeY8Nk0CWuZl7adHLmK
GTNuELn3kA/2WNzgo0GjSIgkpfKQJywt2L+cZN3scMObOIyMb/TFZMo2aAuHZzOfef1oxml2bwpI
Rs8I1DkoUqcp/Ndz+5ujfy5e4P1yoILkG/5RhgHd3vlviBHjppeZvQAkZSDHj2oyl3uoFSqyVY2d
oSVXiHkC92Hqujn4hALLHei2vKEPd9JY5qTYOdLzHid3IB55xeOxTFLtmH5vH7cR7y5bn/8mCGip
bKqyEgAIRKXYFBzkc2m2Jy9JloddAXZwKp2qVs1BzcvjKWvezjgOkmHOlal36azjxeb2/ryr8SSy
M0KopDYXo8Xh3DB/+CecAkpDY4EjqFyqZyPuC3am2AHIQZXFHRBY54RshP2cByg4A0aywQorJY7n
tYsr5Wyu0Bbb6SPZEZTjGHD5mZ5WXkY7RR5sqrAA2ECVWfAfMlXrusF4TUwJOBHy7naFcMLuv5L6
EYiNkcFWO57HcUG2+Bzn0GvcgyjZNtekG+ekHOGxqqzLgDxPC+qWqGqQH4HYc3i2WsGdi/2SJysq
ErYhH7Pg7D6uraUDPiN6UN1ZFJNtsRAMm5ihvWUYynjsGjlhIshYvnk+g13CCjkg0mhYVmYKM4Oy
1XSX5oKCYam1cObjnWQS8i/nD80YadnYE+4MduOmvVR5nFf0FaNFRXU+wLFLZVcZhG0U7kpOerng
UCQYnx/SIaWOalXL3uQLc0kHWUyd6QxpEv19owM9ftSCeeOwQgK5FAWtWoLoriqMFRfIrh0stvOy
NrhlVVQAlgxx01vZ2msNTfJgrWiF8OWIubEtZTsj5jFQaGFfkF1xYcI0xcVr1+eUg8SFjUUrttUZ
QbBR4LMy8d7zc/cztU1K1ChRw6VZbWZnQnUEirTAjTgJBlP+iKEIqDeu1siDSTtKaqYes6UXDJXt
dTmd7KGxb12kVtOrKT3M7ApQOw7+E64zI7/BgA44C8fqNmTclqyZTy7P3USMTORcgHabmNDhuNkx
YHkuqgIrmS3nX55vEK+w1zc2/i27Do+/djuFOG/eKidT1V3PoNi4RtmZyl+5KLk/iz3c0Izg+gSW
RQy7ZzJJe1fqYDocD23qDM9EkhE/uSrsOvURYRo0P+RFsJMEnd+xijIRGgUWvXLG+whQrbVQgktV
xKQUY3dg7kOkSvqJTN1svjXkYHl7ggcdoiHrbu7R69eSarzJrbyZ1yH3ssBPCPkmza2eH2ZoqPZd
U3uGeNFBWYXf7L4OvmhZQddYo7Rp8gedWbwh0b2dlt1OmaK1N049ZfEuEHXnUrykSj/gldLKA3Uk
CBoeNFRW5dzjuyROeDsUtDj64lQFgWU6LJcKHqPhEJhK4BpL4uVfd7Xeny8vMxTL9Vzfc7gA78EU
lK/QQ92yew57fyEYFOwNVP3IBZaijbAdm5rvjLmPaReMH9Mq1sV1tdgIbGqzAOeDNgaO7HQVOPKU
mRQhZ2ghCHoWfSWwoLw0GkI4CSgpBvaJHwKOPCkpN3UcNty9cnTsqUTO2Ublt7b0vb5+cuKaR0hi
gsojlOclgKZ0YzDCvLH5nbAO2G4I3oFbC75Nzf4B7ciAh0Jlpcvue4Y6+8KkXorK0cVSRuJSsrcY
njMw8IvG2gAykDHr0YT3D/gY0ms4QrPIk7Yx1S22rf58cW5LslLSv50t9M7Vy2KgBBCSds4Do2Al
419UCT+T+1GaMl5Ct+WFyMXQ7L1XF0wEshKOFtlPKeE5bYb1ZWbXAO/pMr/gTOe418vk4gKUvfaD
XywNUMOfaxRUOgB7JgTsRfLlQxz6ucsgogcjA7Czu8wtqccOljm2fmFfqFLr0u0uiy4Mm6y6F2xM
k51vTYWgeZIUbxEWsTH+DR3+U09Z4ZG4gutfnBpD8tZSoTb23RDIZOgdIFbCDu2nHFeT1v8E6SN3
wocssfmmb4FLQeaqFZyjAfx0OE8LAt+QxeeA+G3jNa04jB6IAW2ldbSqGpR8i/Ud+301Ii6/GlM5
d+sBJ3HnkamJIa+JEuH4zghVZB2dxjPMvakXmsSBrLLSEf5LBNAVMyc2CDbz81WUshZu9Ck/tMh6
qgLtxKAuS6o6DDPVLlsFkUzVV7jNS4W7TCf3wp6XQzozO5DsBpFX6q31kI8CBbceu+usNl0Sgbhx
7oVUMwfuAFxCgVXH3nKSnZrdAfWDe4H3BIWKan1eNM546F7UfU71lKBGXshtc9oxSyGy0T8SurQc
rDMF3ouZ+3wJJ514TOZTaRelGTNDXP2XZn+usNj72FcWW5BMA3a6H8dCnsQcdFZU8UihecBP74L0
v5oRQTLNHAMkrXPBvIa9FrrfrNvM3HGeLkOhUqYc/pRXVA59kbfzhZMOXrS1KmtsX/KCB21PgtLi
UFamcqELIiSX1WOEYUSDz6uIBvORxMpGZ+TQEah4k3lpnh8SaU06WcVRbPoXXZbk3v58JMU2k6dn
jvNgjLfukJFAdWBxWjz+Vi0UO8uc4Ub+quDoWKspHHrKU2woFdyucp7Fgw65hFt/JPiAe9kkXIzE
0h42zsjHykerCvyEiwCD++6M4BRBw9KZLAvDlbXPiBuq+HlDEn7ZcceV7pdypilwYnoZRchyI3/E
LC6shDzzte4Gdp8qVDzEbl0sEwgQFjMcPmaZWjr0YeTugldj0pZ/T5ylpsIahg0vTTSrDiXfciqk
WOuqbDsp4UYvJsHy+fdCGssADeoR7WM+dCNoWsaevz9/LUhd7NOVdDwW3NxRd4tgnKfPUTgyYic5
YHFDSWIexN35B4oKj5lmRWQlmyOyXKpuT/ZskYnWIw9E7hveKyofcMRqSJfvbNagOo/0azWFkGdn
rIUzgEPdztr18G5mThKlnAvTaViHLQwHQuiVsVp3ZCWmFy0EFADCijDLBxzlqToXHmC570QTmFd2
p1iNJtSl+KCTBr9o38E372bqRh7RHPII1V9UWVVGuPayy4duxliVvJVi/tx2cOQW+WTrtp8Llyi+
SzpfwznojlCm3XklSFBnjbXf4mYdarnMaOi3+cMkWNocVB007mNz1iBW5ycpDPFY44tZ0/JDgiNy
heXVqURHWQI8BwV3KbScmESCnen3XL0zwolOkuhWH7jPuy/CMfVffZGZCxJ1empbjGYYap/GaZ7N
cPu2jqLxrj1NbjWSFQrICMNGUM0a04UjcCiXZ4oIVXk+l9MIovBOOQ9upenQtNkmEYIghoPPHJpZ
SsLCI5mvrTCdTi2bksVkmj+Q5iGwp6x8Ovun3sTwZt14nvs57obqkpCE5qpsKn+XDLUdrioa+H0v
m+BR1+58rHrLfiOh0xA7aAh49xDOTYSuE3bDGhTd+ghL7HXxQSMctsjygnyxCokmOoBpP/lLAQz+
PvdrgCgifeokWXC1Glr/KsPHj4bAwPth09hDp50PWaRlY34Koeoui7u0YWv7iXPwk1xsCyIXSvq3
mqHYBT2uU24Bt8UalXxVMRddkAWzDRpYbRyFww3R56QuSAva8iUilXTrqrrdYVIizWuntBjagKC2
1kZSUd2MA7YbuIhl1hMs2lDubORib5VF6EE9J+1T3wp5VQzjeD/ByZzXSvoLYpd0w1dsalW1jQGq
MCWjlL90zN7+ZpLzWW5NNgFn7Qxsf7iGR/mLFUgL421TpQBUvVFjr4ayD5+tCk/IrWa5O7veHucr
pX3nVsKtv3NtZTwFJJeH2KqCLpf0Zrg5w8jyDzESlMei1VP6ungzaC7D7D+E85yqqzTzjGvR+3Vw
D2ncrtatcJgidLj4XiYYShMM0bpNhJUpKwLZuRhuiRJKiX9g3tmTsTF47d4ddPFm+pX4qIzBKTb4
6k/lx8ZvImfb8ezFN4NoYAImTpNNb7Uxe68W5EB3rzpR2RdglnGyrjyzPJqWTuWDw/ZrrobIec7h
0D4GwojDjSUG5rTkogTppR4GJNP13I2Phle2RD1g7xRtVTTKTz7y+a10mw580JjWkyafFOme3dD3
TE54C9WCtE0gPYX1Tz6ax0l7xgXeaoE6VKrL4r1NcMRHWWTOBTs6/qV4sfjrvvBo19C6+82qpbN/
oEhvpgqYis5swyS+SdeMY4PnMXWhU5ZdA6FUGRZMlzmLr0Y8i6e1N1nw860gji/ctuvFg0MD1G8T
jHPWS8j9DbzgMNx3XjE2x3HAAe+ZRRBwdBHIeZuk7hhclKXuJ64WINBqxjxrI7DieI27oAg4Cer0
ssQ7W8E6xIneszSOFRjjRfs2UgBsrWdGfDivP1g4vjSfCtMabqMkDcqVgzj+ENlkvX/wZjguqx5B
UrG1Sj+Nj4aWADWOgGrFU0thHUHpzvbB2Jvprd0nBUBEW+cZ/lnN8J1QNznuGEkO65rFjqN1YnVv
jRlaR5qk8jWeos+iyt0VM/c+3eVEXiYbT0vzM75v2WVJIkO8GmJCFdYlCYvVvR156WvBgr1uPVKW
1jNpgGsPucmDjHRbrjBnGQvkF1X9tSzI5NmWlS0OMqrVm6isYA1Hzr+mFvMYTiEfz7agEM647gNZ
guTmc3KpSicVaxp1HAFgQZTtE0dRvDeNEmmBF2FXjD4Kc1kClqxtZYft9Qyd5h7gupvh0lvmlY8J
WQAnynB3XPBirZLBu6JVmXatrskcn8Mpe400tpfclrz6Zhq6og7x/cL6YmEstvLGKUW3gFkmeo4M
h3hhSfuuKHUzrJXrjJs864sb4gfazVhFKZkgNGLNqkpMAUMJF9CeRyS8T1O8kNHE+l638eBMp9sY
/3Z+Nd6FdraN5yzakifVA+7ixO2ufJQhIUZRyM6GvqsP+Oi7FYmjFYM4z1P7lpMJOMgoP1LzP4QD
1OULFaAIW7meMj6QU9Q8D7lvHU2BC9Fd0WHosbIopep9RpQTuq0+fNGi6uURW0Q0Q4IBGOkzTcBU
fiaMKsO13zdfqsYIiQty7Gob1q54SExrDA9QuuRjlBkeU2gTNeYYt1dmmsTfCBZIZhrVoWWvg4ax
I6VTLKCktfYx3GIRReO4iqG8I8hJIv9R2W18r7N6FGsHIUyEnFZnb5R+A2WMo+Kr2Zoq61iBCN8s
sx9WoFHUx14Y5vemII+AHdpKb9sUZORQB0H5pbLi8ruhB6WuvMytr2AnjKSyu/mHyR94dPoK0m1W
sd5WtlLc5UwAJA14rl+OAcS7J7uVrbVqwKsIUWJOoje4nbKeurbtW9y+s9C+9iLq4FeNFIdCjwmx
/zhDwHiUhZU4ZPBE06ulMvE5RAZIuVyWtb6TKadCixmyPNTJSC6QVdhNwExXDC4e75CJNvhj2zb9
Fd3bioSI6CZE0i9ffAoChixtNW5E0g+HoprMYj0INzZgsxmkWnjBmH6oUA0DsYdJHRKXjjhZ7owB
bvoKU2FAdZsch7UKHLl1xjBrtkHYet43raRexXYf+owecC9c0fAV+ia2hpq4D86eK+pSe1erYE4I
+BU8nwAz6ffe18peWbQq1qGjVv3i2gPZqKxdXDBU2JICDdNDUR369bjF8jeH2kNlQQhCJ9MDYLsk
oUBNTNUDp8eSkXlRtGVriMdbBV/bO46zSJGgROpJe7D9oYAxUL/xfM5gERQFepuQkDNKVt7PHokK
qzrHx4ofwsQGwksvrgay5ZN1i/lkd4gY4RP35Uzd5WQkU3t0GjiH1wgP5/zJHlR41cd6SA4OEPlc
sgeNVbNOgSaHS3c04CBFOPjdzHkjuwcmR1301FVlSpXROg9dRKYUPv1jMoeXKsLWdNU6YWO/BH2o
m3XUmPO8VTIN2yOZqs5OhTZAF9q/4Davmk4e+oAJBaEm8PLwPhY2vhtF+Ng7eriTlELjHg4xiWGM
FyWEpaF4BKy0xmPqL8tl1g42xSsAbxiG5oamlan312JCLA7hbkWOLe6a9rWbI7ujdzsBV/9Hq/4V
rdq0Fpzmv6dVX3+q4VJ/xsnkTNM+cbHPP/SDSR2G8KCX/HK0/CH/t1Ck/0msNu2/U+7YtIC8gEkG
xJMfxGrf5F/4JwCpZTCLt/O/iNXu8gvBaEGJcP8IA+9/w6u2zfeQZBREHNWYV0WYd2CvscBifxiN
OYObFUnj+FdBPiTJ9Y+sI3DopLyp8aKz7r2ADJy1KvqEuB3KUnUIktCL72sz7Yt9j1WOszWQ1qgD
ScxGBFoJrcXJic2lh2FizAMW2g5RRow+I/3aKRx33po5jtz0qifpIyhWhIwAQWTDTK+25BSEJIKv
EuqrdpcQXzN0By8G2iy3k0jU5xAPlCnZMqBqKERw1o8r9s1+COpPxqjYiFZZl/f9sJXtYF41aDDT
clNbzjDdYr4nibhIFJLouwJOoF+tqzmxRLb3CnKBMeExjbC4GnLdV+qKRO+O7SByVXSFU3UYXfbI
GfX3oCqjbteUSdi8VbkX9IQ4mKPf5iuvQ9fZ4gPTm91lxYDev5x8abh7jo/ZP5SlK70PFXI/82Oo
cAHD/igKM8e7LIzEsR+KqU0pa/Ucz89Vb9jDfUagXHjrxIZX32RQUvt9DF3e2ztJ2Sef8kxoHOks
Ky/uSR6Ig11h5B77QdlllB/rHJi3IsQu7iAwd3Zs7yR5j6SYl2WI0W1u1/KurMc2gG48qsWycNQh
ESB2r+YL/MOLfBe0Uut9H8oqOHrewouWzBHgjcMjTR5G+ICcLiJPwfSavL90YemMF5jXFMN169Og
tnCqaTv3TuHrYY9ZQdlcFTGTjI1jdH20KXKMe7FIVsK7ah0Yc5sOjKPcZaA73pViCJJcoohBUtIw
wzXJkC6qzyksv3pLuEe4d0q4u/scRrU+2IQBKQLVbWXtwPJy84ixVrMVCvgHA/O4JL5nSEy1jwJh
ehtDtDTiCTM8+xDw/vnGD6rwE+dwLchQLNAaXJWDrRJ/3nJ3ZZk3a0TyZvJlQhBcZwdX6CBN1/iG
tHOzISl5Mowbn3s/5F+bgELmUteZvWiAHOWvOc8jEpjjOSreIF0aco1GRczXtZ12SOx9bdcPfihw
Hudaax+zpaZtifuYrYbhJtolZxtDEMPJeaiwcUZ/zPDWvMDyVRhyb/dzzNoJ27AbL7oxJYQ5KN0k
XNG5M+UnTrDrKFJsEzkPU+Q++KIkuthoxYyvMlkRhAmU68SMCdwhZ6Sr4dZOgu6XTkJD48FN8zu8
48JiFzCz4vvgQdpu1jgp2w+x61QVo0UYiW9VyKimXodVHt/SighV8ZVj+YyA31PWhRpj5+i7c5QQ
vy6G5jGacRBL1ghak0cwsAblVtFX4NpgsXcwpyHTka9gJW+95ICVmIGI9qbXYzR2a5too3yl+9LK
n8bFrPfQzvp+km23KAFUOESYVawRcuOVqZBZ9wZ36/+Oxv+J4sgJTgZQ//3R+KYLUf9LbTT98YT8
8bP/1BrZLoed45AY5CEl+umEdP+tNfKjvzN5wKUGMREWORA5/nUkMkf7X2iL3tlLslvaEEN49xC6
+jL/fDf0DO3UZds1nbcut+BInemdZhsBP5AEGolqZQ1khF1FrYw/kv8hIaERwdrsSe5j50+n0DF+
oSmEJP/zOAgpIQVBYGO3BHMF5d67czkm/iixC2d4yaVHbpiTb7NTHdiYOC3txtytn/2lRiyWarE7
FY54FWLzLo3U+pzymL1EdeMfLNwcH3uBjG5TnKrQWMfWbrByAF8ZmB8aKFRYaC5Vq56i1F/NY9wz
n1xKWki62bBhOqRN2IKJctcU/xGW2/gpM7EwGN0G0nHHb9k4Rps8VnpjY+LzxPUwDt2pfK6yNG3W
rfTklxID/HJNIAdxjZ2MiMaLmIYOl80A62y1jILvlZH5ya3R4s7zyjC+Tw62m4VXub9kgkL119Gt
eyroidQY2mO21PnxqeRXp/J/PLUCjE47cZW4QTttqqT3LySWOatg8IFOFvA7JayHpoLgvWyrCLFH
jjXq9oaGm/4jqEf1VFppug8bxrjH+NSrIG+PgArb7IFnx4IQYPW9vW2CjPZmjrL04JybnlMDVM/U
bliOBPWTD2gOFQGx73W3dEul4dI4eacmakSG84VRTKxWAuT/pkw7JPzDueOyTHeZZshrTDkUmMtk
TKA0DA3o0Rr7CoMVGjdYbPpmDqY03pRMchFSnXo7B8GKWmNhMtz0S9/nBSj36dYkrg0uHKcJ/740
TlZwbiRtz9IlQp6SW4gw9I447BWbuUa3CcxYRJeYFOQGAJkTFOsOJ4L0K0M0OlB/aUbrU1/6/9k7
s+22jbXbvsp5AWSg0OMWBBuRFCWrs+UbDFly0AOFvoCn/yfojH0cZ5/k5P6/3dkySRBEVX1rrbnU
9YxKdSLnVbkeXdGlpjZkoGxt2zazq+fZpV+sX8+6lN+ux97rEXi8Hofd69HYuB6TAThyZAbE43SH
RGvSOz+nqXB19ozPxMQHMvnXszZiTP0tWw/g7fUsnijtM8N46+xdT+lcM07ssp2GeeNzV5cnzbCK
jnJoVF2GZesJX7ue9mfBqh4wwdfem+sowLyOBbD1N59NxPSvntTthYlb6VQbKgPyW+M6SOBLEe+p
scR01a6Thj7Vh3xrmGMdSss3D9PiqxvnOpjw8T0DsB7N56pk/AJ6eih/r9cZRt55gwogB1JzkeVx
etdcRx3TOvVQ6/zD8bg9AqZqGJlwdm1xI7rRTdRQ8yfWqQmWbTccxr550NZ5inUdrWDvZsyCQUme
gP6rb9p1DIN9iZFMiiHjRH8AHq11YuM6vdraTpd0KxPEA4Zut6fsOtzJSQzxu2biw46xOEXrFMhf
50Eehpsta7bn7Gg4lA/6dWpUrQOkeh0lNZF+anAzMVRP8CsH8ZD2tw1p7GTj0yAIpoc1uPJaF2ad
xrcVdmm/Fg6skyrAmVWQqKas9sV1lJWoyabRECfUNmlFaYV1aVc71RL6X0dfjMgYghGB4+mgwc0g
O2R6WVgZ1kO0Ds0wus07aim/tLZlb8zU0Z8ZwhbPKWiPPajQ6uCsozf3OoWrrxO5eGlamvaiXGyT
xu+3k4UyGkhndEs2GmyhNwvtZe+xxB53S59o4WyMXHSo3hrDCkb5xiblwQES/joKnK5jQX8YtdAy
J/00xZX2QFrOlpTYMEyMGxxmvF8ij0sKy9BY6LDOmGOd5053ejKCVvyaF+zZg3qJ1caY83re0aij
Z1sSc4z4iJvVrwi55RjA7xwPA7/iS1LbqHhUhWVMPTWZYahGpIv9ztpNRCV3NJrOX8rIbk5JXVjf
jYFOmXzosxPlat1qsm+s7+zmxwPVK8O+mDN3CyR0iEISjeO7tJrm6AMheqmZKTXkGfNCbCIMFP1N
XmhxvWFU7WRbBBcGSQ31nqySKP2f8MwZ7zj4vZOcjU+ZlaVf8GoZGS6eGvfgdXpMBWH50YqxZ5S4
5M9zGTPbwk/jPOjr4Nlry+44ZfhX6T3zk1uCy8kXDxvcZx7aU3ZS18k1hC2bH8460BaNzWj7OuWm
dp2J9zRQCzdEzjcUaXLquEIuwlkEsks6vCK8MjIfShvt7DpI50Kxq6YhscUvc521u0UXu2HvxrIM
ZzuBNpP4C6PseR3NCz/xn5tm9SozZdSpptWdudvUQG3vIkPr31uTY82a0ujueVEm/fhgrOrFWgUA
u5/RAogST3dCYMAKqAz3zYCSQOnvKNwcDxWAxI2YJoNDUpu7oUBJ96ktsrTztGoO3BbID96qRGDD
8pcAcGPybvj9tCuhmuGxuwoYxKxTEWQ5I+sNI351J65Cx3wVPVqvLuywTRzJjJOMZ7xRWS6wlg7N
o77qJGb+5vv5EgigVGobi8Y8JuyuaJeOOQgF+kiZViisBo2hrovhlFRDEfbFuHyaVzXGqSe+8ckb
5oUwiROF8yrauJnhPgs3y5D7iJGgLhsVonaX3yyqjOONZlvDd7SoYbi1UShuUaaRgTrURDpdOsRK
0kQoRcUqGsE0NG64HfOvrYw5qiJsll9dgrqgKcusTDeWmzRbRrHFieYkRChSYycfIe0mvepTyypV
jXHbEJbtGXgE9SpmpXnfM1sX3lnw2LwbsJd6B2l2JvhltLC1AzzfDLqmLiM9h+1+zIcF50KXH0wv
0ryw6qbsUaGruUYJ8E1XxkWH/3vgJm3avTPFlA9axJ8JJ0uRByW/fFZPdwgdvfeLsCzc9htzFJQ7
1nPnC0Zg9Dw4Hmh7BUlmks+jXciDhvnipZRcGfxh+dJsi6F16ODOpK1v2N1Aq/Gl+0pUPduJVTac
ei9/Na9aYpqNauSNrhqjrP2Yn2l50a/qI5m72g8tUaFKJt7YwjNshviG4C1HstZ3i02pbMSqrmRr
FKSrskkMiKEwzhs6iOJWcx7GqwAaZTbwEZ1MRElrZ418j6PNdQ4qKpmiU2Gun0yQSNCM0lh7SmGG
3DP2MO+YdSzn8aq/wkvW1ba/6rL5oDilwuUc3/W4TG6Nq37LEyz/7BIap4go6RtzoydFg9pbOcuh
GTAAAhkdTlSb0UFWLH3HiTmDxGWyPQTtDxK0CzuLEuFQylHedjzhT0Pqrybb2KdQhPafS4a69Wnx
OpPd9EBsFS/tK1x1lOkCSf4Jqcs5SeV0DaOSHlcxwft2m9NUcIcxvsNJGRUQBJOKYys6d2KK3VLM
4tFZWrUrGmgxN3Uf77pxian1MaoPfvZFHDjz6OYHClgaVoTRRlFfnK797IB02OdXyd1V04T+yhMO
LKRuFDsS8ibEkYHy9B0eVeHcuKtaz2AtNQ/R6FXGY1piLgK7NO6yHwI/cyr8Ly/JVfvPrj6A+uoJ
MNsuebZnizskU7LmMXc1D8xjKpjCIWPvkzwXUwhQ0qTmOuszB3llNR+I3vsSWZXxlV8X1gR3dSm0
V8MCpqGYBkmVpl+hI9T7Mk7047QaHCJPiT2mH1wP9E84O7laIbQeU0Sz2iPoEsMp4ch6yHFIa6k6
T2Sz+8D6YapYflgssh+GCyhXHG88DAX6rUg6XR5rZEcctuWQymCOgCoy0NcztWvKvlA7PPeYOYze
wqGi57jevpvAX0h3uRV/+8NLD5AOClhM2mHN4iIi4eCBm09qIpeA0vZi1ovLNOjZYzfPqdrNVpuM
uzIZZwBObtJ/cDxQ1X0LY8wi5SyidyH6xNsTPfTsb5gBcDobqugwFhhKVk+gLur4INJmqrYyqnPF
96Ut9c2P1Il0oinGEJfLV1XV+qe+nlLvw1cSg4q8hhYj5lvmkxs7xMRkZRXuc+tkA4SHtqRcJCBf
SHcaSzll7iCMHg0SJuv5ZHRYuK2wy3UjO5aGUzqXnj1MQSLewKflhTrocpEdONJmr3bHEIYNrUO0
/Ucs9H91iH/SIaCME8n9fw9b7qr+rU3rn4csxo+/+WPI4lq/mYbh+zobOMaz1+nJHzKEb//GOJb9
uuUYQKVha/9HhrCd3zyIoWRxxbX5w+M/dZyy4LtY4jfXMNEnyKSTyaJ28t/MYP4c0IEwDUQGiWTl
a1s0vZjGn1WIledoRyjDp77wYudCzVnhXKwrhPiny/JfyC5/DtGvL4TBl4w4EopAVvmVStDPmtlb
UFBOzRWOotWR/s2VMe0JzCxg3MXXBO6/fE0LNwQkL32tovBIUP/5w7mUC1W02MCXvs6XBkm04bMf
jfT9IOzS7Ha4ZuMQmf5zA/z/fFKmZYLP6VjcCaCpfrmkvqV5fm8KGi3YC+QXzSznJUhHrUjvJ5Jg
yaOtzC5++vsX/XNOnMvrMMPzsHhSOGAAU/vloxoCZw3n6v7o4BRdkPal/YZg2tKCXWT/QJj4yz2z
mug9VDIH+If/l1YY3fIZkKXQ2P22julELnElIKdkg939oX/+iSr1Mw/orx/LXh3hfDTAC+ZfIAgD
Vk9InH5zLOfRcTaVkRcviEv4D6durLObf3sRuTN17hXao4Rl6b9cRLyzROZsqzuSd9Y/5BgZC/Kv
27BN0GUqw79/NWs1lv/f+Pv6nVGR6/BIWC+l4/5qfE98DrURm6+jShKWDZzAbdO9ujjF26CqXL+/
McuBAOfo0iO2MYkTc7IrdArsjNQVIqhjiQNAH+GPbQ29tLtd3Q6Yz9JMt/Q9prexSqnhNuOvQJur
5mjS+46jgTJxN2Qgww6N2d9S7odpMNKDWxWSbSAiIfnzmcQGBkEvLaKNtDDin7whGxY0+LzsXtHr
KA3sRJMU58TszW5XjRZvGidvvBxb7OzxjXLEmD1YYIa8IzCGrA7HwS5czgEA3Y9MNZSxkVNlO/f+
RJn2htCnPXpBNrpjawaNv0jggDxJmt5H4lsq1fyD8f+vtxZXH6QCEDmHyM2vpIOkVz1edb08Li6C
5o1ncLYOy2Yy2xdmEIzK/v7b/uXlEL0My6QemOc1dAX9V0peNsNDiskL3yiD4vc78LMTjx9GPPrG
i/BX/cPNRU7qz3cXL0jQhxfCX7beY792JrQWG1GgP/YNzmpH25Rm5VsPsBMRiIEX9ANeiAbLs3Ww
ktVLn3EKiygvt9Fv0jnHzQ0AVYGDLShxS7Y/3MytazngQgmeRob/MitcybftRIvlvJ0rs9RfeuDb
7fc8n00N28uUZFpP57tyvDD3zDUVry8GU+ZdPhpcbQyA0b4lVzy9SL1wzmyfJaj4QcRP+P0yvNLc
J+mO5cF+XXphPhhuyUw2URbByEQjqhLY3UDUD182uLBwShTuFSL55AuAh5GqxDwEhOAJfI3rV5ur
D4cjM6KpTVKb0cCH0oZ2EEHPDWItJzk2vZXtNZ1asSCDLlgc6VttOY//uDx12TTOJYNSiTUep2a3
A2zsUbKnGj2e2AprdB6FqawSAlJZNy12HPh+H0uAEPXIquNAz1yzDy3O4KIx9fmE6Vm8ZXKaXFhk
vsavCOehMT7BNpm6p6aWJhrrsFqGB2rN07BT9MLeDEldqt1Q1sRiU3vmzNu2cb4BYJfuSdC5YduL
8k7WjjFhu9YVGVvXbbszLtoeM0vSg496qWsoyCcjlvVFc2eUaN2OG5cZTDKFkxczfa0ST4Zwz2v/
CMSJzgtJ2/CJ2HcttsT6/HLbl777mGSOfjvwuyeDtpjGV1bH9Fgou3MC+OvZpeWZwztKxYsqVRzk
ffvmMBZ90YTB+ljOKtnaiy6XvQFmHtXRtBpkh8R3uwzLPYoxTrykzMsNy1G8791sECG+c/m2WKUG
PRE7AkwUTTARc3N9ZHZoVINDCabuZnfg3aLLgmXT3DpG2ptnp4yibDf3XvxqWjUwHTFZEc6euTPx
30Vj8iYSMIwHbRD2gfT0zKdYouloLNRT30BYy6fdkFfeDQe2RN3PuSlv52nMUAjSyCJpkuNQz2fX
Z++YJ+KcLyT0MesKU5Mclzt36yS1DEg4M8Fqa1G9lWa9/M6UkaMI9WDNZhka9ZR49fjZ5rOBkqpt
OP3ZzKih1D0EndozltCQqTGsg6dqDoDV5WRdR5h2wTLDHuXlYpTqesy0MQSQVKRvYhDp/M0dh/St
m8po79XR+IqPstmvxLwJGlTT68yNMf1Hc4Be524b158DNbg44LPMcptdrPejdy59PU12vN3e/cAp
OH+nEWKoj/CLqQXnPM6uchNjSP6d0WO1zeLUxf8MaME6okZK/4DKZOdBXoxDAWCnN5xnBeq13vIp
pk4EXo+L4yWxaNjaMw+ogfAXzqITeBs5r241Vv74c5wTg3LDlVJFge9W9Z1juhdVz9USdIVRtd88
jTwh5LBc9YEtmiHZOsOMSO11hN1krffdM9Fjmd9SJuLqr2Qb5uS0DH1d37bziNN0mcv5jocXx36C
ghPWUwnM5OgQeij0wGe4kDx5kWGIBzvVGvyUCOjDqx3Zk7bhcVB86otuoayEJO1ysnqjHTGQ9/qq
79gD7vqelVi/MPzVtK3TJkMc6kP5rLLG124TREdzi2bnNHvesT9+XjTTo2ZmbhzzCNpmiYptO5LZ
u3WVP6W35Yhw+rUuY0NSDRirakeuLi6prvYZclGSNqrbOBt0tRGGZsgj9ADCUdwplfquscOyv+g8
m4HgykYrj3HJO3/SF2Thx1qKKn6jecfC+O0WdLM/1JTHRKe1RRT8e6VHcgtJxKOMAMp6/CkWFjYC
5mNzAqankjLs7dJD4RK9X6KEIVIZzyTUveR2RgrTR1Q9kfu7GZOOefaaRQO460YdP82E3H70SgJh
/FhA1OtfFchA8zzbc50dVAlt7qIIOswFBilXWE99P/n1jn1wYd42dVGRHp8RHoIEyog840nM+DfB
Vmt4fdoKMDsVzjHfrMkTo3sit6KLIjTYRvEUMlgoGP9Ky0foIF+FreR3Avqae1vEWeZdaD3X5lDN
+PZPhsvyeTSItpgX5Me+xj6Jh+vIQ8obyyCtzWoIll4m2mdwEvPwVSet2XwhzkPEDCuK5XwtaqfX
w46JXsokJ+uRdKUyv4157Oe0X/g+Q5VtNCegQfb5jNvQ2pZZXWCqamdu7Dv8ZlFchFqM6yK5TSBE
YcsSjJ4xaZHvqR06Yyf60LdQFtrC205NhI37UNe0Vu8sMZWr9cthoosTLNGMHrnuD4+YUDqOMRD8
tjW+F6vJrB7NSsPAdTWisXkt9TTkjsGzBu0W/xoADJkErNV6tR3Q9ZogA3qnUVaBZnKRym8wxETj
0jLybCzyLobd7ux+Soq93889SRqH/c0u1RPjMde1Rr+ARuzCEd1/0+vGGgud/ENOR81L7zG/98RY
vHdtFjehSyZzO7n2eBYY0OfAnJNV/mXkczLNNe3Uckm+j6kip9sPfv3At+xcymw0jz3bi5D9if/m
YEXf5ipTzoccPCqRuh5Kzz4ZC/VOsoM8lrcYE67mbpDfmljS/DhjNw+jwaPHmbXqfimIx1B4Z1aA
KbLVSz7Z3sXFgP42o2vdKSctEIgzK6GluzSfbXgmN3U9jv2RqBTeGSzyxYUDcm3crzvYZFPIuv8c
iTw+dkk0Fm0QrXSMMJ6lfSMI0HxQXK2OJplED6urD58+xhTPY1Z2xrcZA719q5mmttWgTEADrMRw
lKbUKKRnJYcTbCV4/twYtzMDdodRZdIaDR6lJXZCRxndNwsqyeekBW3FtNy33rOuoLNvNnDTG5ne
3Hbo0DQAuoWRhxnj8hcL++INgpeJYd2czlkUiy8zc4avnTKT95QV61h0dXKvssSDWVG1e18aRP8T
kio9Ci4uI1zam55uWRUYetQeqaerXytYAmxh6Ix/7ReyV9gJElKQ5XOtlcWXnCztRpNTds98lziR
0fv7Eggk6FBP/7Z0jQ+6z81ZE7sOgLrdbWuCuw/LylXGqmAURUjkUG3YHDaXygLBghqfjGHE1LbZ
m6WbfqhaE4+1CciRNczwn3PcjOxsXU/2IU2KmgawXxtZ6+WYhCp1VLfhzBoF3dzM/U2h5fJisRdA
wamljUjiAF9gB5qOe4wp09tQGWJvdUQDQYV0+sYgbgEfS1mnDKM8IkxTn3K/EtuMt/9oafwcaBUq
wxFf/HeietnbgPAX3fDzGxAyQPo/IvnE5yEhGYaEIPTPUtfzTxPAhA9D9nGy7lEl0ASNKqrQ6xLz
0cTPZ91raC5IcMsiPmFI9HQ8Biq65fWpsYmjZdeWxmycciWacZvhtdg0/N3Og64w/J5CGHorbCeP
DrgFK/9ErZSxHCZL18sDaeim5da0lqy7xzOy0B+Qa8uVDFvPnEILyJUo/j0K0w5IjuB/Ehgxu1fp
pTO01gbDxd5qaV57RH5i6kt8Yx74Ekg1A/3HUicMwCEKfj0xQfnagc/o7oHZces7g8cf6zMAtW1e
6yyzRFLS4rzA8GO8HYmov1lTe3zzSaHW2o4xytfqcMb5E2/kj2qVgfyj+85vVdZ3U01+ZZcq7QoG
6XROKqrjH6uqwaSw5/oWFEzyOkOszGZx1isvqlyee66Qx6SEMbfvXNcxtwYZmGwP045/rzABb7x6
JCXo4Ix0jgtB5JqaiDYAFda+NvxLEx/6j3bqGcQOb1bBfxyXEOQbn8/3OkKyYJBYSzMyTcj30tPL
UwlAfPg+iqHNnh0ijGNYLpAQvv2Y/FV+yolQY9Go7+qpibnU14ngj6vl4IfPtxmFgEjM3BbF5cfn
YxrW7TqDe/Y+A24KymHAKngLZ8PNtn1W6VrIhTTKU4HfpTgz0eb7HhONT4q30zVvp95lk65KzIV3
qJ9eeUwBT4qDMTHwuimtsSxPZDOc9DUpNTWDT/Inz35xHSLET9OPHnl22nVFGCPLx9/7uuLMEyYD
lE4DtgyBmyB2ipLdRatXZpTuhvQ644mnMi/OMdec/qo4KeJjy336QYx8sctAdjHQwL6ofe1QyJgA
WormWm4g05KLTJdML/eEJ7piI1KF0SpJnN7bETHNSh4wunjMmNng8AY/0sZ7HQvnuC/o7oDP0scT
kORKJwTK79tZniLD5cwtSak7x2XqGQEV5LeAmxTRPIQqGlK1j6lR+gbBECsoZME42kYyqcqGEKhK
G8YLPbiPwGtk8cJ2px8fbX/gzAkozLXesrG1zdXlyjkb70FiHzyP08+pJUcynmtr9pIzS3vSa1uc
WIX7ydd5Gt5lY88pu4uW9QybN6ssuvKWErb5BqH+jZM4NKgI2CLjIzoSPCTZxDzKcYbztk1l89cu
bHu1F1MsMSSV2C/ukVFzoCKLH2FyAGzvbjGHz3MYYQKgjMSjsU2GHTOqKYT1C/Qtds3KPC3V0o6P
SEQaMBZyjuviRfUGXiI2H591EtTt2UbwVs9J42YKPpkNcfld44FkHfwSlxU9Gp3GVU3pZDP1MLcy
wv8YYTJFjC1up9k9uWnGJK2qlvRI4pufU9Hi/en0Aj3axD14hto2+ERNM73adDWZgjOWWO5JclHR
wsc07XsSRRo1tI1tfIBrJUFzzcof2GbzQxm7HNjSRkuwarxSIebqR1WtE5IMJ4F9oGUtqkKjNViK
mrnwktDzpcrf4foyTShbb2XT+C6JmIC45aAu/3ZahfGRbAQcVZ1aa/0XZ6aBRs6WStk3OVIwDDt2
xkBjlqwsAUBDA/4xrfpfeemf5CWT7/2nb2btJ/ilPWB8+z+P73Wf/jnp8uPv/pCYIP4zyuRhz1rl
/mHQ/UNicmgQ0KnuZT2gSXol3/xHYrLc30jAMI90vGsG5WeJyfzNEtSd+hBz0KA8Zof/wub7Z4oj
AowOGcdgBom+xBv5tQkZOwMr62yJfSHUOszwK/ReSwl2MRR6nxtSvlHAsNj8tr6p/U+X67+IMb9M
QZHeSMlSwYxLQlDq9CtitsCi1ipNqX0P4+qJri3/zHbdOxf0Otxaml/e6JPjHv/+Rfk2/jx85WVR
YfgqjBU55F+d1T+He8AnzVECHmJv4TCNGYEwl4tbqz6tFp0vKp3lk+kl0QvmQYJ7rCH8Zzvxz1iI
5atmtComcWDVHZRRE8otXa/2myWH9pCUfX1CbxcXIj+u4ggYsdORve2d2Se1Bz9K5ocsxbywb5GL
OMJX9clpClLL/eDxEFH2G00+4kJiY2Xs8HLdGKmHQvO914GBuHnmeWU90KCJ3aZrVYDHPypCWq7S
JZBjPzo4khmEBLGy/RenzEnmjcQhyt3IqXtZjQU5ZhKwKuWmmPM8HHTMY7SPwXuOqoxiGL/PDpa/
Wlgk2r0wmLNuG0yTXeCKYpy3xpgbL55bRy9LbblPwuhc89MMRPBkMwqE/+47/kuHAVSSuVD1CcOn
fO1VA8CO3X33URudfPVSrQBvY5TnzPNqsLPcbrJQ/GEv1EMWNYy4Il3vuntKw/hkns7FrSe9PmE4
mzM+b6nftUbnbx0ovtate4XA66UbYfeRHMoDIaVMjuZQN+9UpluA5vCOhMzn4Ky49JamwZIMHNX1
TtswbBcXqnCK5DgBUN2OFG2YjCykumcBysoQzdBWW6I1AFuKMZKvckz9M1wD/SKvNRtFXqmHtkm5
Spqb+WfmkuLCstWYew6kDgSLnIF4kNhV/9HWM/+6cvNMBH7KDqMdwNxvkoht0GaOIYZsDOxsn4yo
bZ/mBYRmuEZM27CvMig9bs+NCIbYvKFXAGzJuLi9/d5nAzSPfn2DTb7M2MB8h7o3vrZLbs31fogG
DEmc3bhpe+HxZQygOQzc2B3LHE4I8dStlxN0ltYEEbPMca+hJiVhS/5H7eqm7KhzpW0sCvI2LtqQ
kkn+rdJp+KA+596g9pzW29Q+aBC9VrODkUY6ThDhRNZXJ3FyR9BGWPD3GW9uZwWw8GBhmWhuabAW
9APYmnTOugbra4thVnZ7DL5cNGhG+mUaR5CIwN2MQI8af5uVDf+pXGz1QC7beEpNbrVRIz4aVphl
z72l+iiw8443NhtdQSCvjsspACBqv/FhuBe6JeFqQg8go1qNw01mJPWJBrCSEdz1pifuxI/E7PjZ
LLXLy0WzGO75P6RHAlLq9z5rxs/wUWmCg6DKrSnpnKaTMDJvlM37hwuRGk/eXIhLx+uEMxBgbq5M
4+qDG1P3mQ1zaoBxecb9bjzFbgMr5vpbSJ2Wr8swJG9f+Xn0RTK/yC4SeuAh02iIoCOYC9/hvxxh
9Mwc0CM8bTtzVuohwu9J3JhxDDszbVYPbHoSiV1yHKtHY5SMP8eJJw72v3yHYZlfajOXvJJj1nzh
Bbn86M7oDEEUzfL4y8w1zZvFtmNqmuANpBQ6WfmyGS3qqzatzq3O9FPdu3ljPDEGERc+o/+irFQw
YMB88ZLK2WZzq8bPk6fyIdCJLBenOUrnl6JW1ad4GbPD4EwciC2qQXne5Ka5sX2afk09wpLv2lXK
cT4v+Z/Z4JA6dPImnDonI4jFOnVsxtELr5fH0XLM1oCemCE2OqJP1KMyIBztK8KS+7XTNpyEk3xG
cx05BDnZQ5M0GPSZ9240M5bbUkKQDkpvlvS1o+EGud+1B2Jd0Xsxp81mYOIRpOaERRvkJIrQEjWH
YvR9fgP2Mn+qijbhDJPbQyD10b74ypNT6AE5v1UMJHY4i4n3NyxMVYAweG8zd/tKA6x8TYXoPkAu
cK/RJskjetRavVmP2O2hRxhxQo5aa8sHMAew4BX1yyHCKBu+3jattxgaGSzcpmoPlGuxMBUN2b4g
dbP2oPfobSEyXPOV0i7vTCk6r4InlV8Uj4n6NEFp7TDCWziIQRJrGwMfMc07U6uFrclhfsPgiSOh
Gjt1T/kM0pVdzv7LqBe80aExvXNXXh8J62+BaCjbhjShPpDhv2+Yu1ksPNkryXNyvWPSauQXkkQw
HrZFX9svfu11HwPb2nKb5JDET1lWk+FHZ+CXgAlWPTS5hYXa6UmGb7rIE5cCyPIpA+PV7d1pVUbh
jvLSqdt0G7DgxT4zDb5yHwUXcAK28sOUeFyQHBB3esCVy48HR1n/UTWLfDWmAhQTcfWRE0tZfBVC
qTC6co1wQPtbchf8bbZuiv5+P/KL94bND1Qf0ls4b7y1hWzdrfwcNYZmZ/pAJPZDLcfftWkabgE+
MNMujGncFlYevfz9C/6y5eMFsRQZrrk2RgnqzX6xwJC87FLmgOY+rjp/byzS3/PQRNt0UyO7iSgf
1HF9nhdnbv/BwvFfXhm9e6WG68CTbGv97z99VAsXfDJic2JtSQ1MxKV1UzNq2RcIRfCcGndT9ea8
r/Ol/gfFXehXk81Phg4+9mqish022+joxq9FIQ5GwbgxK2uPJa/UiD1ky94bF/YQQubvyVDecgpU
3obdmYcO0+ryFS74uvCOmN238KncXe8l7s5eNP93cyQQ3DidOgx6Yp2zoR9Ds5t4+MH5C1tMzZuZ
0fvWKTvu9pQg6EYRNz6k5kCGqtXb+zS2q4ekRWDpCIMcSJ5gbW9rZbNhTIqDUjQmuM2nsVFL6DXo
thSdBIRe01MJ7mM/tEb6e90zQA4k6e7vlVEZO/Lj9XEdwt1E6Zgc2AU221Zo/ZcWL1WAvbZ87kSd
3DK5UffSZqMq3Izpq1MfFXh9K4gWjek//nrxRKy4+1jDHx+AI6zQV7F1Y6oUc2aDjEuTXcNjjXi5
uLc4Ozwz4Hq1IOXuRjK2tDk0jb4v06wDx6exODpO89aXJkBZpygIjeCaaQ/U6rGPAQB/quIJ0yZV
KEEO/rgMQS7FnwcPnlHgTBjMDZlEtxX83DpAZKExFIXgVTla9GYzGNgp5lfU/ZJXRBeJpt2yeDFb
pbn6FJXNZ83PwNXkHtXoeacwyjq8obqTp4yt3kYZ4EdJBKxDSSQY8VL7idg13njw3Lg7CMy5bWDV
phWoGdJuSOuSeXM9D7QAqENnUe0DfRxqnxRDjq7paiedZno24srZ5l1kAbQgApFbIvmaVvh6dACI
21bX+n3TKTQe2r7PsV/OD3Zlvru1Sr+mWSHvEWwclo2qPNNwX27QcKOQGIq7nZIc7LaXZ8e5iiBe
jvgKArDW2XvmiWFnRgUuaqHsnRj8tmcQrbzj9RsdEx7p3tQMN7lNDFnw8z8XVd1vknLOXrJ11BsQ
k59WrTR9tTWTCFgj5k3ONC4oXRIlWNHLNmxxLN5NXhOfpqog5KcB1mTJHbZtr8D2mXSFSPSkuWvO
BLYh3nj1DPEraWPka8/a4EZJwRnWJZaLeva3C5G/OKg6y3mgb4266aq46aHs31RZoQ59ZQada2tn
RZSEzx27pwJXoRkUVlpueGKz2nLf2a9OD11IiOg1NogLSH3iEINt8jz1hXHrI7y/plXun9EqxNOY
UMLEgGhi94N9VyAVJ6Q79Cx66qqY9YIWCvrfTLP7iOEKc1oBt9Td+y5Un9Sx0eHNebxrVKUdpsht
zhTBiK9RZpY7i03YnW7G9fe5MSqmgo18JYzn7Cdw7lHLlA1MRP/dkhYW+9mUPHa15XOGMz8kneM8
ED45uTIXYV12803PXqLZuBCcZsqhNOcltyzvqZ/t+MNQcYkxqKtehsRXW9dI5cOIYXUbibHaQlyh
VpCqnH3XaSZLvQcVwknL6JPd59Gxtck+phYELPb6DzrDwts4HsihOvbO9ipyM4U7vCU5m9+KJP3F
BCRwpzuNd2yMXJ1gGGIFYuWqA8xg1f+wd2bLbSNp2r6VuQFMJJZEAqfctYukLNk+QdhlG/u+4+r/
B6qe+UukWgz18UR1VFREtSsJIPPLb3mXu6LwjDvqWNp5Qd4hcme1G20arRvfLfwvDnpRay8ep6eu
DLJvddtAM/Um/6dvdKK+MeyErxAKEoBeWAmCXUDor2n3Ot1KH0hWqMW53V/TICLncADLOj4U0zgd
4T4mX/uyB13jplQe3StcHV4zVzsX33d6CM3zGEfjYzgnsZ7dDYdJFu4tDNXxMHsYbnurrkx8x377
1A9HVyTxXYK7+LqZ7P7m9f+GKZp+7w0QQhjz1e6zQNcB5U94KXiMdTd6Yw+P+KSnnBEvtPYoE+TL
0EN6ZoHCQ38EcmZv0KLIt9lEWFWRXR3NEq4SI+HiaoTsiFVU0h/QSRU3xDnexUSL/kfBeMYnj6Ty
0RqTF+DHsypk0rp4EJiF7+2NyTJv8HcvvvnoIQOJaGgGLIze56slTqO+gz1SK4mry6pNWiyGtclw
toDEzO/JhAQcqNChodjiDNvm5N1FuREjXNn5XwaG20vuFhiEiRd6zz7ebFikzeKTC6hVsLqqiE6G
KBpt0bTxocQWGN1t5lFOWcuNaYfVX6Tz4i8yPILlxPSLwNwOj1rV8iQkdRPKcxke8ivboG7G1YZV
GgAPmCtqyn3Oajk8WiGBuulUfoNuAzerQKR5AeCf1khous/AxoxmA5DTbyFt+e4uaJX5zQIcck+/
gEl2ZzmPIzYG96lbhltPY8ahgcD9KWs3uhZF1d2ppp5r9lHSaAGd8K3h6EBS6FOT2XSRU9TMPYys
lA1mHnkIfTF3nduWN5gvi9oZjrIpDRzYYpT+BH1z3GGZZnqLwhqHx9KZbYsmUTkrWbRsoaij8v87
6s4Jnq3ZlK8pahpIYrLKXMim+tiTasw6syRSfMYqy56jimETurM1DegydnNAPJMxgjCN0xeMqYpv
iZZO83xa/1YWo32LNjOVU0mSgNT7KDGsmLfM6z5lmOSssM6yb2I0jo8hGJuInxSKYtFVgbVFV9Gk
IGoAIiA/+gxVHrmxphyfEHQNf2P4BvG9qq0VtQA0FjbcPfgYND6cIHliqAYdR7rie6jqbqeGsb1i
EEaDpbeGnfC9Zp2KhB4P/2H2hnnFzKj8ltt4gXSNaK5QJqnyhQWL8bYB7br1QpftnI/E7DYPym9x
TZkKzEgNjwaUrqtk9ounTzSNaysw5QazH/+3Zxr5ddKS2dSCs4qvJ9e61ZbomA3jcDTR67yCZVzd
1UPrbnNHoO0Hpe9XS4Z+j3pV8D3XTGOHkikUO6XBQ54MdwXn2thgaqUtYLOwCZVTe38hwKweocSy
oV9L/WmuvGaaIoVjPVlLHV0FVNK0Ye2F5SH3GyCznhVfeaYz/Uot2c8E7iuEm7N7P0SrA1ogThHr
QkbN1eQo6t6kbt0lTqriujEHse+NUa7H0Q9vAUu47AgrKn6ocOho+njhtGnq2nh+3W9GApxk5UJ8
unItZAg11HVtbAO0eAWetrhthVAHQrUnkY/Uuh0NGO/WMYcCupln/mlwrgJ2EzkwadwSAeY2GL0f
BURWNqDsgSZ5ja7/1hjaQXTM4pcZgHFVTEPJLMjRbtPMwP88bgGPTHpc7jBm6xm4R+ZOjTPzMW6R
NjCnbNsH0Gp0K5l+lZJYjNEh3y2cmw753EhIOwkx3dBsiSci5SNCw19CCZdxYWcyYrIZDku7jPeN
Yt4N61tbQeFiyFMSUGK4QLFPov8a5dMRhigoKEXG7ZSgjEy6kCK0rrBwJcZEBmSduhweW0V9N+g0
KgNImc9UvPUve0jKLyas9NuhChBhs9wJ5Hlnuc8m4mYds7Y8+42BtWa+jF2KEHA5H7IJXcXH15dX
m8SyxKUOYOo4HhrixiEIIWKDNPPmjh12cTTKBH/22vIcehrMYKsvTt3Qq9JrZkmiKbVp07pReSUg
cX3vZDschr7S7xmTg/akocXv6IN8Vg0O+/qXMxJ2J6ZkDM4alb1Yeew+94VJm5U+EYx/j54RahP1
L4DW3Byi57y5fWUb+HqY/nLEOapaqcYdDhbSHj+sboK6p5C0XIyRxOijkS01AGx8vA9aZfEUEiv2
cBlEsxCeyOZ/jkSMEwpuYkQ9P6LOvM4NN1C3RF60h18bmfbQkN7Qm+TvGIL15fPIPPmpn28XR7W8
IhA/wY05tuaTBqsXQpqaqopLKs7YUNNEtyug2w4Y67E203CLtWG4DdGM+AX1E8nwOVefSD9qwjk7
ZwlVudjHeure6orXV40T9VYzJhkiufaIMrGLPEi/SsI8TddA0+f0ryeCxAQs/wrijPs8ZYn8Gvpl
cYd/6fwFHJock6po/7emBbCpaXdp1fG145jH8kwQIcEwt+NB2D0PyTwyiJEHv5J6h/gh6s/uzKo2
6l+jmeFP2mTTnYWq0j6v1By2ETkk+ZnznmawyGEcazjQSqRbYyC5ffAnCbuNMQ4d6bDmtdeyCbw1
8GEs10GyyKUV9SPIAx2ppuX4unxpNfxx/iSZAyxD1Ajmqcvr0KEl5nKmFP7Mtenei9FK71vXZ9vG
PLsISIitgV+Ap0iOhFHX0C/CNI+0eiSVWY4xaoLL16uzYBryC7XB5tsEYGQLfTdazerPsO6pALMl
ffpE3GSVY4Fsa/RmbUov26vXJuRrIDDg0u5G03dv/y4QTDKk+250owef8YIFSmqykycK9/jPZJbx
LrG0JPuiYx8392mGZtp2fU7ybfcBFnKZr/003WhuHlldmRB65l6QSmZPYeQKqHBAOnvPPVC2X+4w
QQqP6K96W5XxligggX+0tYHc7gRlcNHTVWdu0dM99zO/uYtcr7zq9XkCwKQL9KVs5KEz5z5mzPgl
hUI7DY/mkCXpFcjg+C6bd0g196A7OQ9vICLRbpYF0AqGzK51lPRJmk2mcflvx0HAyEzHgMQuoBN5
4w4aMRJraH582LjADEDjQUy1OrQrrwrSRXf9OmFSopq5j27KEn0GZg6MTwQOBnC0kDfgXMZ4q/K4
eES1piuOYujKH1x7NOykbPlP+aHnPr/mYWlL22SF+yPbF1kZ8+r1fjWFYHeCmeRnuyRYqHHaA4/b
Z21+4yGSf2ePjbZlOioekKmkYaxlZFB1jU7/a3L9uqfjlgYbGjS8vQ6QPe1Lm2A75smdF4jkoUZN
4MFP5PjVFeRRdgmh4IAKnH9flQYXRtGO9L7pxTx6WKGUmwztlHgzdb6gGjZaGXCdx0m0clrJZ/ay
UP4wMjKBq0LjdlyHjJOCR19qDHlU0gyPeBGLu86X1fgY2DEdIFMQOem0wgsIuG7rpewYpF1HOO5W
2xac/nSbWbp51c5xGdUMGuvuQNM4LyEmLV4/Nc4C8gepNpE+S7zZk2Tu4DvcFAjha5y+sStnRq0Z
ApaoA484KZOcHcqlDElecV9ZVuc+VxnZkzVvJlUaHlFR4sYRYJKof3uNqJlHFkbQ750n1QpjwVeT
uIoIymw0STv5R3M886fWObN9e4utTLQEF+11aw9RkEe6XrWLGhpMiquU2RhjMmxs6/VrOq7VEx/I
mN/F6BCJIqyrHoF60YUGjM0G04XoFyj9xcGjG/LvTCuldqm9IlsSRsx2kXWzrv5gcgHqcxWOHAwu
21qtx+q+m0+UJ6f8BjE8dlMWthwIii42OlQVm95XqPftrDCcQoRCryhftExE3TkZw1A0JQDm9Apa
DBzUfBs2yBSupqYLnu0Q2OECWK64QpFxRB9BtVsnqotnHXOofGGPydwbpqvyGsYpYbwnYZQRYGMW
uOrGBF52EfR3Jg4U+7wN4i32v+MTGSUjy9eiZYQA+NSBQlrjWBnjVjMRm5d4WQfrlj71vdBB0jK7
QLcG0vdwM4//7lvB2OS1K4hYDF0XwskvbaRzupBm5eKCrSHkE1RsGYio2p8ACh+6ivGw7RLHCRYa
fpXctVOCOjNwILGEUVYcNUL2F1+fuk3tzplzl9l3WRO0N1lKM9y0xuC5qqrmtjCT4pvqRuvrqCcR
CFghnz7uM5+QqiQjdgHd0LCotwEaGCcwlUnrtFa4vbG1zUb/Tp7oXEuaSvrfud3Ha51YCkup09EH
E4Gqq2NItBdOFgPFS8O+DeMtZ27CLqUDB7ok4jhyYSGRhfyzkp7aq6hW1Y2HEv3NUHo2sIcgNo1F
HuUq3eO6lO4AQpXiyYLitM3DIFJX3PyevmZPFtsaasAEbKzoNq8///8gNhcgNnwwxh3/y989Q9gs
KuQO6uC/EOBu059vYTZ//9n/UcvTUctjjsJoXtdBxsxQmv/RkzXd/xYWUAxboghs4+7yvyibv/Vk
TQsR2r9V9vhX9b+I3M5/z+Rr4AqG4QimJdZnUDZvZzyWY9km+BaT9rapEKk9dVrsI2sQPpJbaMCl
ioZo7dLTNu2hzLbwDiZ0SCbT/KQzOouincvBAJcMSgwi+dtpi1lOuTN7qz35RAoTwXnbQHKHH2Iz
feyHCJLFWH75x+d5B9Fz/qAKaiN6uQ7SQzh4n8yW0MqYfZCH4am3cyyGlszX5AGKas7sves1fy86
Pe1+fbzoWxjR/HZng2rGZ/SdAfacjpWcoaoRaPX7p6i3SndZ6ObE+Bjierprhtj86SS+pr+YFsIi
Lx+vrJ/qBLM035SxHQAvl4/Mbv7nRAtefF07Vt09DaVpxNs6U/KFBprDpZIW447Zp3VPC2Sa7jod
h1uii2slG6PwtN8IFwBiRudwkLBZ9N7efPzbzj8Fuv+gnMCd8U7O+PWjKAdDhHn9FNn9PNyDkZ1i
0AvIyL9yPJH3W/SLNFtbfH5Z6I+vmDbC/pmUQIAGpDubFTQYTfwlLbOOVhOm3t+p7KAiD53/H6xI
csUZlfD6mWme7DlYCXaNhFrx5Lelc4uBZ6KtVa5XGm4LjevStkQx68JTGvN/9P9PE+c95xKAuD6U
jSyUq58crtiOJ7SC0+IJNLCDjlNJC2iVdgxRcJCCQvGlL6Q37mIp1fBL5vB8DgBaewxHWqedfjRq
8hoO45hnGdOLSI1gY3vDvJ+QldOWuor1+LaeOE1rLAUD64b0UKDgUiJYAjm2CdVOD+SkPr9n+CJc
oC5uoQKphLfbOUsbxrGyyJ9MLImOud4bT0RmCrSelg79CisGMP/xfnmbJby+SMlcg7m3Yxm64558
PYALQaeFIn8C0l8Fa701y5T6u9J/trZuXpi1n9nJ8dmIFboA7DjTrs9CRYzvk9Dz5ElPXFUtfX2c
xPWUama/i0DyoiGHJ0q5xc4hdJcdxJn02UTvOftNA6bMwwvPrp89POZ8lo4Aum1aFqfmZCAu6yrt
3EwGT1Fh9+JLPtauBNHSR4yFJuFMqIzZWEn0jBq8JkgfKrurhyuSkAL93gbKyoKCjWHQEjcmPYtW
qZk4L+NkcOZk4DTtBfGMt5oIfCBYDqA0TSUME3L+K7DyH/N7fOoBhdHhPfYUtdUypSNjAdyKqcxR
AdRrhL+aRFTPQeJ0MHOa0SmuMvixxurjPXMW8CHUE9kcF2EAbtXTr4jwhVEV46iOmpMFxw6UHF41
cTbXGQMl8EJEqNfiDBTl+oWVTz2TeQXAYyyDpRklIhlwul0t5ns+kfwpx7lHLQxaxF9L5PIzZJMg
HCOq3Tnek0FWnK68RoPiZVTOgJNd7KV/UGfMhiuIG1V1bEpsihcOIgslIJ5iZB6A+bS6iwapCmdh
eei7MUD3ivzP5I4QBEGwxMbaNepS7fzQQLyLrq0GLsdHcWOVFzGSWtAtW3WokWJSTw2SgV86RJLG
H7TXigx5wBQjvEVfI+q1BT2ZxBsYExMFn051Nm1QzqmbFzzltfrb0BQuypkgRcXaGv20RSOt1Pu7
qBCqe0RfGxsxHI40E3G50G6ZfSxsDFaQ2I4KK6QJ0gOFhYLnG2H6GNdqQLjMDaBfPYALiN2FTP2m
eSCEZd2SAW6UPDTwsax90zCepIjEc7Lc+VXqlDvl+kCpKqhD3qbu4c3cOAM98mPah9S3vclQ5ceI
IwAM/RFoL1KalqA5uzCsKEUjMXTahPHgaPh5veKbTe4NX6tOdm1YptF3SO6RxDt1npx1Sex31xUz
uHiD0QAyHY1XIZQXCcNlCu8iMrkoyzYDxWgjixHkW6vFlJB6mcQD15t8MIe7NKM/uFBumZt7VfsI
zWZ1WOpXoUwH42ZEGrbYf3wazpMQ3DFNIC0gFBBttk4LLYUIIMIPmXf029Sxt24bz550kYHpF2p/
zcheVVm3TkMAmdgn6nVOi7TDjBmKU1P+hfp/JG+UZ4vpBbi1p1+Icm9RP0QNfh57B3g7aYgL/Oft
pVKGXij9pnOPuWF3zY8p00M6GlNXVb+N0GvxPHL1BocuiC05rWNP9y/IRp9FWX4AL8gRtI1s3MVO
fkAahCIt4t47dhPamuuopy5d0vgOd6TkWLVe+BwnGtXz8wLe42mpRHjwU+0S2vlugTyuc2TObXcP
Dgp7NXr8sQlRRYSa8Vgx45/T1Lb11rDgM7nUB1NmOwehg+TCjX4WKucfowzCFn+TZ966IOCAIQMu
P1Zm4VTcJuBVVjmYcwQkLB+LmFUTjB1Ccb0OdOLp06/CNEFcsTHlrLUkT6LlqBoY38oxjqlm++5D
BAkiWYOWdgof2HUcan/yKk3HjRX3job/9Vi6L/k8rX1GVLTS1hd+DuyNt0nb3B+Ab0C+bkFSPv0y
rSZ9oXXZdKwNo2qOiF15Jp5gEfKaixxoTr2aBILA6wAGtf1QtrRr1yOCFj7adJqwEBdQenD8+Eed
3akuZAZklOAlGSQ0pzLrZjhYRmYX4zERYdUePHv02ltw8HZ3g1wLHF14usCiNLpB6Yrkmr5EkE90
UT7+GednRCrSIhSq2CuwSk7OyGQ3mIHJoTtmujcYu9Jqp29ZKnX7vgN9kv1tD/BvlaOMs+LERTmN
xNlgW1KanG4MDIoyNALH9ogFuMBYsbNtqGUi0TumQfTsVgXzJffR8xAgvBuyscb/EWRVt1YIrmZf
sBXFkwuJgDG+br0p6XeDVnXF2sWsZboOIQLMPvKBiQRmkKCD/FjUXSmXgfIc4zf3WYb1cqT1zc5F
86R/xu49M5eebYvx6BWa+S8G1b993PM8z5WAD2HrSJPe1BnLZqxyxth2Xx9bJ23Evd679m9+TP8V
UacezdioKTttCeesc75HA2PFhaMPgBQqtAgVIhSZxaDT7CuMGu1xKK+iAMDTMhohJ15KcM6OiM2R
NSilFMUNSenbYI0d9pjlnlaQn7Tdi1+YeDPWrjCOkae+wS43H0tQpesw177O7gUXAKKv/YE3ZZUL
Nxa/JxugJjY/p2DYpih1ILh9cRwDvQV0ZYUwxfPvYKKTB3+gAkKKq9gZFc1VGq3dlVXamDWGCFdE
lRdcqhbODwXGxyaOGhCk6GSe8pOQ/R5GTBDqows9ERsbJ8g6+iYDciElg1KtKDEsRS08/k2yPYUg
SUvSPiu2GrEd2FJJsCwb+AoI5FrwFh8qdHjVopDTJO9ai01/Idif37S8N8nVQ9tHAC+YT90/8vM+
bKgJqrg4RmOk/w7JmPy7uHFlmSHVjMvfV5tZWLNMXDxdf/teljoX+iHnx1oREtg2Skn3nE1Gpdhn
9BeSI92ObsOV41nLUublSjDbua9TyOufDVvgMvgwSpKVg3o4eWI0TopOdAULZp3ewUzvo98R1J38
EHL51BcSiXcej0J17m+RS0C+PGky214pC5m58TEkP4aEgn9MTdq7SYtw2nmRm+w+/3SSvYf0Iybs
3KRvv6ehyFQCeMLHrjamlzazY3c/2bkrrguXcvT3p1dTtJt4QkKUedZH6TPYCKE7hEcPQO9NZAdF
/IDyzVQv4U+0l2LiO++S0I/DCEhtuminNwBYFSSVtDA8hlEfqFWCA2nzMJlDakPe4smXXTtG+QXu
3zupsgM0nCbxbD52ritn9rxneCDuofZlivqahz1nYYeO3CDeUgmmjI7df0myKXgu2wqzUNOfoD6X
JYLwtzH+GMU9INsUAT8Tb9ALvN53fx3IdNoSzvy/03dia6nrcM2pg+1jwxwvWmSRrVWRSqtftWVm
jg/I/3TTBl0OnZTAsgrUdlLb73dIapWPrZc28W0uSSmTDdpH2oUNcv7JIKOyE10Ec4DSnzY7SwBY
mGL5zmGWaDbXSTQF6VWX5tL/GpqASbbo0jQ/P7cpkeOjwtcdMJ36nMOf3EeJDYAqxIrhmOrhbKor
jI561em8Bj6WFj9+djWekKa/5dBegDh6slruM/sOesM5VCk63Ddo7+XO9z4Gowa+Nk5p2X283ml2
Lg3Wo4MooCRAgj2t3LQgayCVsV5hl+1zC2hpoxHI1Eq1egqK1NS9epGkuXFJgfD0U84L80oFj0nL
1DjNhGu4nFEz6erAXVS8QAK02hskyqet6+v2T4G052UGxklmMS9JR1FQgxA9edq3waxAnloJhJoO
Isch5sZmBG0v2lg5iHDnQfxtBKhV3qdj6T+LFkOdLTNN+QebAZFfeOun1yS/xCD9R5baZCR99tal
MwZGLaQ6OEWHvLjmDptZn2yJjIO+twqFKmKvhqU5Ttb24+991n98XdqZr2h283kiGKARn47joA45
6hubsjGqh1THW3RADxx/V//KG6MS5S+ExUDsWatkGPoLmf47T0/FNTcM2HQcqpNLReUqmQBxy0Md
yfqHITKQ21P8FQNoflCqPegEEHZe/NlKVAJ3JOAzvkZoU1INvv3+aPUw284L+wDf0/U3Ze8hsiOr
LsAsaoL8eec15VAsdGlo2eqzr5215wmcDeGJRz9tGJJAU2sUJpAcytQAMZ2srZ+TGkDpVge7Umw4
b5aNPJVvfmcSE9TRDKYuxn3LrNG6NDw4TSt59zOznzCKjQKR/uQkpInvIqMZ6QdEy0DugE57qvLA
v+5qq/r18ZO/sxTTH7y8KC1p2562K/0oBQFML/zg21VtrIbEV8YmscD2fkc/viyfP17uLKzMbShI
1HNwoUl6Gs8ipSaraFJxmHIJaBgKat9ummECdpMFPTTRBeaGgXfhPJ9FUeZuc6+FT8TJosn0dmeV
NK1IEiHQkN4Y/j7lSfslo4Y8P2q4ft8NpPH9euyF116oV87OEivzvLR8KJeUK+Z//4+EG6XRMdNV
Ohxcn+K9WcSOM8ldN2vW3sVaRqsF9/lyWg5pkmW7eJJmeWlrv/PK51hCj4WH41Y+Oc4eUrw9+O4W
3BEpip6E7cOY4Orwgmacmu41KC6/a60dwru+0K1nqOVh8UirOQg3MS4EoN+zePoDkSUAnhc0Tr3X
ykyXNxX52c3Hu+OdzYhPHRLYvDT6cKfFHRx0bCazUhxsb0Rnyo2jrFz44CGhQSgnsdefXc405yyK
9VxJxnfyZpwyVPPgvz2Q8QX6okb7zoJPoUdiBeHFsC7swvOn4xzpbHuThhd9ppPlaBXDrwfZfCgx
o2h2Vk+RsKqtQli7KizN+MLLnIPEPytl8H/gXCiXCWdqbtu83Xq65ZaDpsn2UMtMs9ejwftrkGe6
NBI83+IkRCRgOvubv077U0y+cxmPFvurdoJ6G7VOjZCryKrbFGMrJB91M8L6FtjMjrYSjtYff8TX
kHH6nBb4C4FYx1yJnxwxHDf9HMOW+uCQj5s3MaJ+qFu3CJLh5oqvyKpyB08tTPDV+nIUIlIbFYSo
v0UcdxdpoF7D2SYr3W4dTHGpIfQ2VsNDXrpZ+QIqPGu2zJJwRmXOGRjXuNUUOcm2lcoL3YT39gdv
Enyc45pUWScPMgrbRxPOaA596sjvEk7zr6zo/D+VcpAe/fitnecZc991rlAN6lTGdSeLtZMd2qHh
N4cBEN90pwJd0tIBg9Xv9MrwaIs5XoMLvTvzP3KAT4wEggpiWAPv/ZKW+nl85sfMVpI2gt7n2Kx2
qlHudPX6EOFIssEWpPpqZToKEVOJRV9fYa6GZsqF43geF/E04DzOrSwC5OmlQEPRs8Fy1wdrip1m
ATU+gWQ2KYwUw0Hd6bHpehfe+ntHklkubVRaEoJb/u2RtFKc2PMAOigMYYiXcZBk0K1KBD8uLPTO
VrLnR5vZ4q+N/bcL+SM4Y0fPORNTOjyHNPOXkVPS7ExFe6lSOF8LFM9Mnhagq4gDJzvJRi/bSmu3
OLiZZ9Op5LaAFGYqGByW2cjjxxv3ndVISylKuB5maMX8iv9xoUYNQtbS1rNDkSHSswgrMwV8MKHm
ces6SSw3/8FymArjtC0cOo8nMXsc9ClCUCA7oGY2ocqAcw8i/KYepMYyAHZsXZr4nx8FqnrdZnou
5jQJi9Y3zzfiulQHbpAcjNSgEQx2OLe2VecgvLnAuKEAMdUxKdholkRP7+OH1U/HH9wU0iHtNCh8
3gnldB64NPoqPmQqTeO1Z2EXuW2NovDRfIlwEmJWOfp1vOj6sV2HVWMeG8szLdSPWitKlhrUxaC7
cE7f+eJMZByKGZORwFlqjkKFaHM8DA6WUVDrjDps7WzhxhozqVFDsOVS/XMeGJj9cJvQxDDfOaWN
XYtQWlF0MFBD3YDV86IlGtr1RsevCr8/H0u0C9vsna/uGBbPRnuWM3s6gIyY6ZsBJm0H4ODFhii8
g7keb1rVF7eIdpabnqn7pWbSO89J8sO+npMRTvDJ3gZHjl2MZTcHH7rbdYxkztoaQ33rozu7CyC1
PmhalWizJmyAhHY+XHf5gM9eN3yDvtbdmO1g3nV2XVGd1riZwX6rLsSx934i4Rn7HQtg5NkthXY1
koEkSwe36cYVMAZ3KeCoXvd20aMvPNkX2juvPYa3yQTQptcawZx7+qdJk0ULFZ+Hvj54EBS+iqjc
cXUMeKoFnb2XPfRXhPoNqG9lmK0KzL62QWvE36XTSLXNp7h6Tr0I8WRbzIxMF1X8axCdYbhy4Wyu
+fMj6qax9YLEFKw8/IWjO9uv4kejF8jDQPcbP51UwJ6ygKAx46XyOY0nk9VnVBy0uzFKsHB9r9q6
h7gXYz419Jp2+DiCnJ9VJkMUvLRsTcdkzv02eoH0aUa0kLIDv4ReWIG0LtFyQFOHaa4QF4qrd1Z7
rVxJZUj7aD6frIYdwoAmVEYxieQ24THObwPBX6saVvS/HMv/7YzuvdUUKRM9RgcxvtPVfCMCXw5E
/hCknUcLxnOzdlYFDxDS8utMjy7hBM6yBXe+u2nCIYZCdXLah0nBO6CLJLR9ghySuwJMq1rwRDHp
7cdf7eyUsRDNWpqMc/gB8v72PQ6u0ivLS7V9NzXjYx7rCYWCHz2kaYH4Tuz0l7LPdxeU+DfRQyV1
P00Z/EirJmTPvH2IY5UOubfum7U3hWG41giv4zJycSq+8JRn34+mrW7zdGCz8H09nc3ossJvFHUr
/FNtsXEabzrijan9mri11IW4dRbPWYtPZmGdzI165g00BWiByizR9u5ouOVqKspS341Oa3vruMLu
ed2S82VoCiI1cmHpd97tjPEBAMdvAD148jENTzQ2QdnbgxBoVzg5ehstxAkFS8/gqtN7sfl488z/
vTcRE8AO1yU1LWMT+jonh9AUFdAHZ9T2qnTRzkuHQMOet7BlvE2Vpo6p4WDXMplWFOyh35Sf/qo2
x2OGa8xyl2f5YNExiWgnz91HCO2qJ7/XyNJspMw2jI3K5OfHD3u+h8jeGV9KMJlzCn/yclWSIkTp
C3cfkGHrGy0ODI9Ynw7HJoERcumGnt/dybsF/sDRZ1DO4Tx9t3YXwXA3S7Uv9UYkS3homAxLxRWz
joRZ239hy6GMdQhCLQbA3eMSeeUNeZ0tK4N+4arwDS1aoi9QfLpTg+4o5RrlIz019yzpr0LkK0MU
/Zg2VsN6TBQSW9IPtoiCqPWn3znlkmETC613KlWj1XyUhke1b5G0EcuRpgKeLpESWr+hSx8CPfz8
gqTgdBSAGJxvKVPvO8uLKrXPjVLH7j3PsEFy1dhdA39xv3y82PlxRaSYYYPDOJWOzWn3BGHwcUas
2/sUv8xtM8uwh+RVeCI15m70bXEhxz+PTKzHCJPSkCk8w423sR4lBy1HJ8re+2B1lwEONzvdENGv
oNDzXdg17rIK8vQ/eEjAVGSZXJ3vEE0QE2NWm9n7Pu717t5HpuFnZWr5lyAQ2r2Dua59YRD/3mMC
aqTJTDuBdspJVGr6Lo/5jHKfBvAWF5wVLb4bZJ0inG3plXrAV90Si0hrRH5hv773RSlUXpV3yUtO
R4RZlZUxPF+5133wwSsfe5dxp4OHDlcCVarbPMDI47OZEMMCm6qNRh/FmzrlVJhR30krJEVNcF9d
d30/bQhfw30+heZ/sIFYhYt7FuY9C4FJpIwpqaTcSycMt8iRMPzGDwtzOUyOV1rWM4lFTvzCLSPP
IyHNRZJYLPegR522qxJ75tDISu4rIcOjLPxRXTlJLrE2q3L75fNnknKMxAuCDACfkxoc+QhjhByK
pkSH0JdCbH8zDXJ4KZrMWxrpcOnh+FBnj8eDzQGeIcw70nMo4U90JBu5N2SVwP43+/orjcLGuGYu
UETrtJ5VDqQf1eV93WgZnvSeiscViR0KOXErePXoS6f9JspSbVzj/hUHL2icB8UujUvH34eY0GJB
EWEitLEBHc882QKJEIm+nI1yFERUCO1JbU07rWkNHGtqW6GjUEzYeUAmRdIncmuOUlhVdoRgHaPo
dZQEjlxTJWXGdlRtFXyNJ6OyFq0B3jpY1nbr4qPteU7lbP1xjNx0kTkt4IRFpFuDsUe1sZMrdD6s
apOqNJK/Mn3SsgH0N7IpVy3TQGNj17Wl/VJl0j2Zvl3a1SJX2D6/MDZDw35lOZSGP9MyG3xn7QWW
mnCqHsCuAxvPmIqAturD2cC9p2sS9SBbFgneetaD3miiRVwkrdL6SVQ2TJtF0Dn2gW5Hgv6tKLJi
yx1nUvLDLl7WTp491Z5dw8dpAdSLNsse9Erqm1qzm1sbjeRvXJUoIIcVVOdwItwlZv+nqqT7mPXg
BXBnzIts1Y2azoXSNI3xBUOpvl4B5iiPVRg5v1G+kMayx05lOvhD6sDLsr3M2EVxFbcL/E3yfiN1
bdR2lYznKsu+mqBBh19Tcp7hRXTt1DyDkE+/oxaE9+LQKIxqigKbgAWNa93nsBZ1sPTN2QM5qvTv
mTGEclkhlYZnXoth36IcpESV3wlNTJjAkRzSVAdwGhrq0UBDa9fZfUVOa/RFwSY1vXLVTFa4x8gM
j3NV+WLZtmHa7ZCIks4y9bRhV3VuNd5V2CwPy0xDQGeRVpDykZ2xC4TM7DIicZGpVl2PlOXxaogy
vPF0v+3w22Zhh3+2MbNE/ia7Khi2hQ8larjmQ2uFnEvdV8EtRtqwus148qKFLlK58FWd3/SmUT5h
nRaLXe6pUfzqgPSGP622wKvHyF2ZrvtKxydN+AyHb+rW8+Q1426IVprq5HKooyn5f+ydyXLkyLml
X6VNe8gAx7y4i445gsF5yGRuYJnMLMyAY3SHP31/YEmtUt1Wy7S/G5mVpEoyyQDc//Ofc74XejYS
lyawwizNRsPXkNfFDu2M2r/a77djVkzldZx8mGyU2VF3cWq5FII5rQsKYJvU9op9l7fjcC3w5/C7
E8ULHcDWl5jOUncTV6aSHMYF5clxCuQ7p+SILg44aGoPHUFXW+b2qtpWlC5AJ88kKYbVYEdvdVaI
mr10T/lr1GbJcxjmJUU+QUM7kHGeeI9P+bZJy8nZiLmoPwajpgxzu57Nvgii5C4k3n0bQwih8MOO
Zgg9tdPpzQjfAHRe2hoqquI5+zLTpvoyB1OdX1ld0aJQW2FZbfreTGan07lwjkkX1Muj7tG5tn3a
zS3tig1nMHUhV9blMIEiUfBu0W2RPKsCnf9cDbEut4mUYp/M7pLcVJ3TN/ugJ3pdZ9k0HBMXdMe+
9Ij+b8s8sb94o9c1B/6IpTlYcZIke8FLr6OUZFQ36/sST3Yn62tFngG0EI2x+aGY0+A8g9IoNuXs
WYd5nsfHwY7z5oZqUWvcpMLQdCA82Uyn2M9vyCHqc1IT0N8HNCp9q8YVPBLOcdQ+goVx+lPXpf1z
qAf5Sw5D7D0yB9XJbhpA0zy7ErF4R7W1h42/DwxljSqd+ezTQDU8OV4qoEdR0VzvSI01wzYsp0Cc
4oGtx6+4qiVlYoH2+i04DMPFPjSWvc/aYGpftRJsqTb9CP1rQ5OZM5OlARVFh5UXZ+poB6Wb7tqc
IQEWE+Il7miWtmSKQaNE0UmEOZ71wtXjAp7Pbo3+meDFgAZWtHkFnkhN6kARCDB1kPeJ2JEBaH7+
p+fruumJbUw+GOL+Wwa4sRXbAZV6j5EU8trHZBnhAzX2IfVdIk26bf7N9Qgn5J8OWC7ypC1wLQq+
IC+l9dL2h7UBoaA61bFTPJjIkvuuMu2jNKkGE2esJDknU/Ab7WAWPYVda59npavvmT3m7c4vU3nX
DEWw40/uX8keNDZpjDw6ZGVsdc+uQJ9ZIic7ZgXTC0co4I85c6d3i/bDlyyNsEtWXn1biwbx2Ckx
VnQ520TMQ85PvGvyqqbFCzdAWWmmgHFUb6WV1ZK9d7mW9Tvmiy3L4OhQHYjQVJVAVUY5XBzjCjKA
momQdYL5LR7XIvh2FJy7xRx/Uw558g3EBD3QIENcEsvY7AIVLQxkqGl+9cbMjdDzVWqdqHEOJIBF
R72Gso/NduhY9VBQa40MQOw9+YiOTncqtVtR99kl+YvGiLkL2x7yztT1cbrNPoFjEQcanSBreUgn
ABzx8uucXWAT9dvYZSCKvUdr0cUauJjqYbHlXmI8+V5adPcdcf0bYKhWEy2bxrMNnXVSBZdYI2OT
eiRisRFizu4qQvygZ7Kgg+ajIqyOYrK9ax+2nrMh0/cjnay4I1KHheXUWhM3kt7RFNKEOSEzVxSb
ZqoqfnCp4x9D8Bb3c9b0D2nc9w9YOewrp2hBb6MNPwhRmrlWe7wEtmauC+ztWfg6m+FXnFJMsirB
/k2b6vkwowXFWxHU867t8uAcN1F8J03sdvtZyO4Fg0i4IfQ2Psi6sM5cWXpxO/ll880yfvs4MEo8
OU0w7MsGfjRIoXryCCwsPg1ldNXc9o1ptqPkF7ulV6adDxN5nu/YFYnrI7I8zbqBPCZQp2lhj1dv
4hQAxwqcJx8k6jFQZjhXZi1HgzuYUsfT9lS76qCPfpZq+F6gQbxaanilNH66HT32dzan4U8nG2xe
QUV/rJJAHECLZU8Z3T/WUY2Wumq/qurtWo5Np7wfUUVPfSiJuKghe8dXA1mns8bbWvXQ3KYQaD9I
LEZ7HUcK7qqG/JpP031ldz8CpdJT5yZJTE+mdJYNF3QtLgCgus1YpYrPFb6Q7qRDWu4o+OqQNio/
PthWeS8jf4k3U6CsGzI8znDyjOW8jQydZxFAit641A+f3cj3T0tCqnDP6MiDDD032htJ1QttjQFn
NMUfb9Qf2Yeya0h8eE5a7bUuShCTQVtSVpdnzwNQ80fR6fnc2qm/t8JOVVsjPOPcjn5L30+sA56U
ZrrPuyIEPr7cD+UsLqgJxaFpujyl17yzD45b94fAp0BeZ1CvEqdVtz5OnSNWJnM7UCDLV1XNNqxa
r94a8iOvFpaODTGUtRWiAwHtLkH6mgTTrXCc6FDHbfNeR2lhc5vxOUUV+eGWgGPanGkrIgAJdNm+
KH4p1hbl0D+0hjY6Ovfb/Mb0cfdMf4L5adcDRXU1TTQym/vkXNDpfPZp3SQBY4pX+vTphvSKL25T
iXOk8/LBb5s7y+lo8nWBoQfkWmv/K1ValJ2FRAtUmMUoViKNPnj3U7/bLe6NJClxU6zYBFOXlPg1
qG5HqBf+c26i+oXK1/Fbkag7bUfqKpQqbwJKBl9wgYNXCL0BR4eQlPvUJDxex7mxBPQ1i5iHhhvA
zqoNr66nFF2YTMyHIecmJVpV7pJojh6XKhh3oTfTuNQFNk3EzWSuHqybaVNbObcaOruttywZlpAq
DBdHsbCGr2TD4x3wTVI2w+CzAIWDu+1p4DvOgzdHB3LaOU1tuaBZ2VXmAyxHeLCroAO5W1vDhiwo
1d8ydwp1Q4t1eFGmNIfct8Inr/N9buVRNx0moZenIIsoJjR8a+M0cr3SGcwWWtHo8e3zuTkHOf8V
yAbWn5tS9PHLkOrvaUNUbjN6aT/u6qY1kuStF50bOvzvuU90w9Vb3PyJ7tj4i3KSdIWBFf5C0Vpf
vBQAXV9DNx3kLphMdBumXfRzookK4GL9xfJbr90HOdjPHYwa607zi+VbqS26NM0wZv0X6pmj0aoo
7ZRZgTdym3kQaZW+mIVq32lnjQyld8AFYbQGsi6d6QtoGMbwnVB1VgADN8YN95JbU3k0cygBV4Iu
cG4p+2+6G7iFWmZHjGx6obR1ntxzQxKpegMoaf3mW94AHY+Bcz4EqKTVJitW9LPMepWdeAromfLo
9rVlR/Fr2riju7U6R98GOignbys9/ljW+zYTVrodBxq/5HbACEtEmZiae4DpAyFiSbPpQfcIBIea
4KR9BESszI0wxbyDUSj6bdKKkIKHlHD1TuPBavmFoKNMO1vpjqmKMFB4sXJYInsPDJ55QeK1xG7G
AC4PDG68eBM+hbGgNPImyivaOg/e2gZDmRWQmSA/eBiWhrMiYDXdcgPXHMhRJRYsO3nnlbwf/CZR
Jf0mEuM92zcaNQWvRtMr/oKKV91cci2YexJjbR5DnQDqQBkVbElD/HdnO97o7ogzQUBNCg7LdmNl
5RzGF6fPqYjZtK6vZEMPG1iGmyW2gClT/lipexC4df+99Runf2Jg8NUNDsMFxmhhlc4pL4p6myVB
P9/LNArluaN702PwGFrrxm/nSX742J3KA7zZvLvEc5jZAEwtbqh3tkv/4nfkCum1W3+Muua2jv2h
q3ZNQXh609uGIkuZlIAdnDkp8jvaNsPZ3dIRXhc/8RoGgEhbStk4G2nzn/rNIpN0JuMnwvk8gCYc
L33TQ/TgekTCeYOsDguQZIFMtg2jIYtfLkO9IOFpB8OLcfws3FiyzR+yiVXP9wqvPHT3XjT06fND
A5vnuCOTMSEufy/buXI3Nmaj5SRHR2WHugi1/RYOStQnVwGh3hsesaHbIPSF1n6M53VYmktbHZea
Gjl0LyOSWw7ESb5FokyY3ntPvrRKxPe6kfZ0y0tcOU9tjpfK3iw9I+UezxUwYZCaKBVLa+cDoEJq
8p68kvJpHo4+Rq/buso38YXaZdFs8nLwxM5BJKhP1RRC3vKKwc7e7BhvGHrPkGO96OKKbgcTF6Gk
pn9q32MzlbS3DUxj6tYJB5rzfZda8TcdS9FtfZ6YhYDZzGHr95Mf71VOSfSOAVbSUuzVYfi6lF3s
8PJ1Bn9faSSTjT8XE1iFYsjCrtgrb7AgQhSDxyKEq4xp92OQ5QXVn3ZW7UVXe80O72Fv7tyiba2f
lPab6qYbIru/mzG7Td/HSanoWnjNKA8gpMhcV5RN8lknYku2MmpV924nQ5PcssdP/QfZC8rSY8dZ
5HlgkBmuLmbaEhUH+DxdbnoIfpS+6rJrFg9RdzOVihK6qlSe+vB706YXHOVVc9CTZbyvbVe4b6hA
Yb6tJRTms6KAIzj2XTmXT2WZ5/qKMOR654gHECwEKGCqs4O133+jwE7xheOo8ygm0SZ6I1vnmYOI
0967QOOyctbfOEic75FSwxeisXW/LWa+2/3kZBzWG05Xyte1VG77gMnPlfsxixbzvUrTqnkOZp63
9yQqjX6ruqR7DVNrUrh92lTCLgySqrzLq56IxqbrDYWCzD7e9DWP7Sl4V+Sjy0uCtXU6JxmokuNI
irqmYxMAo7cPaZlTO5+fHR2MxDbgJ0xTmXUb0QUTS3O/Y5B54PyzY8Bdw6A+CETW5LvsCMDjuzNP
oniYFn+Y5Vajf2ELzNNgPBV9RqEEbeaudPcybKLsnNuNno69cbP0a50tvbcfaNY3ewt+iAV6LOpC
60dAAjLYjqGamVk8RvSPpslFvlHA1rwT4YtpfOHCXSyA7u1q/iX6nu7bilsfPXBdUHID7SmEGZ6F
wtB3NgmP762xw+ZXb3KuThvVS80EX9Z1x9sqlquxoxkHThmztpszt9BBfXQk8ZWNBQCu8w/IUCb/
giyUx5dODlOzh1cxma8BBvnio/YGPz0VNewTsNEUYzwDX1qc70nbrYToYCyo3QURgs7REY5+44XP
K0AsXomkky99fV4WWUTwqrm1OghHUvxIoMHC/7DmLtrNU4CJCkdHJO+LSeTvLC74ZPKapP6595eR
67OWZhKHhcKP9KAybdpNMk+RuhEEu5yvpgrncO95lVs9WHU7S173VgTJmuVlfbCDxtZnDf8YTp7b
Nng6R2WP22hMR/+gkjRCqGxcKfJzznx8jRo4PZdh1obPvsymAuDgYM38Jb1sUYxtBTVi12QUZM02
cvZneV8VKpgukKkaeqn7KBq4fpiFr+rSjQSWZAFZ8BBP+WidrZoh4o3F4TieMHuoYZ9FzfhLxHls
NrbkXb2jXt+mkTVuqf9hd+S16nUKF1Xd5rzQrL0b1EF/VGmACrfmRohf0uzYb0ZbqmE7Foksjgvk
dqZNGhqBsWL2HIKzqP1MnNqojIB16N5SOz3T7nI/SRXrY5GU/fidfe4S3OkE7e02EcYPtyT2huE3
hrNc7P2lzaZzVeTVtA3iZXmZx6b0DgBgogpsFHu1XbREPRiQ0vLKZ14trn0vhFo7CaGNOlcCi0VH
TDnvZPzBgw5HmnfRON71cz27hyanpONUj1n6YdDUgu2Upd14ddwqp9fZJeX26odjSHe8ZmsC2oQq
GLm3R+lxeV1Y/783lNY4b/iqPUadCebYsQAFqO66xs6yU5kvNNdQ2p24cFT7LtyPfqq8gKmYlxSH
yVTLh2miVbnfMi2t/xxSqeK3DJo7LJ5SHBv0PjAZlFoP+5nodHBCE3YzyFE97d7QFAfvaKXcjrgO
hAsKWp5G5C4EOzlamjVQ43kjIAmNt4Hs3sKAJcZivOExnxZs7BtZsec9FxTajC8iT4tHLm3wxcvE
Ybba1ES6k29BXcTpkUVGujDGoqQd7druZgPgoC3QHnNYKkfKQ7rxUIPDpjYmLpL4DltU0u3bUYHj
onAsK/cDSRitaYx3VynHLj3M113IW3yfj3TE/NbWQTyUT8hjsfzKpXsJ6t1o+YoH6eIgL6fhVtl5
VeXPTRly36LZxuHI/9ty8X+6J/9N9ySBBmTCf909+b+rH794JP/yN+Tr+ed//eX3f+X/Vk6y5vt7
x+QaW2jafsz+6y///1JJgkL4ophJcc+tvor/AN2Ki+tPsidmc9DDOPGIDGOf/bPRKpsigUqWinv0
K1/MZwhllbLfhnmyrYrmU67dIrykifbKC0folL7JYOyLmzxp5+GVSreoORFZgH8iqVFK9zrl5KWs
wFQepzxMeS7/dpK64cPQ2bHZxdS5uht6O/zkgyd7Si7Q34LhYru9kx0sTe/uPnNVmR3ilLspV/qq
Ly5uno3EdfMU6ti7Yh6fb3hdJ5O8KNqV5GjvsGfP/HCfUViBwGfbvPPrgZmzWwdQtY6i8TqUch8Z
ufvG4OBXfNztHC8ZEz/zK6CNEH3EBNyE1ul26Wqb5zlbHA+FT87Hcexsdpt+e+YFyUzM6HrIOotX
hzv28Rd/HZxxFYIJdGu3WZA4dXHPy2W4AEhi0pYglsSQDS2tYot/Rsgentf7FSO5fpY6mjkpunSv
HO1d/M/h3WU3st4ePM5uv22/qc8Zf1jHfaY+a8v8XW6xGO4455YnVCa6qj9VgsDtoyeuk/0xSL6y
BQkvntXagvtwmD1kKgFN8yk0VJ+ig1n1B12AJbNXTaJa1QkOIoSK6VO06Fb9AgpLiU/ImpDGV3kD
NkK8oyvqSx1n/U0NwPZL+imGjKsuQiofiQQ7IoOqWZWT1nIca+tnPRvjisbL245isx1R9eixlk65
6z/Vl6WWh4GzvQMVhTpjat/i3h6oO2fVbYZPCada1Zx6RTpWGvVdgxX95mV08nJNFPllSWz94qxi
EGAdi3zI2G9yjhd/VYuyVTeKsVI/k4f3mZtWWSlfFSaa8fSNyqR7g41f0/8VFfeEX6IPlfGG5ooT
Ove+ytTFXuUqHaT+dWps/yvLmeHkJrF9EfXU/uCqhsSF3GjvukFm92CoxJkMcsWvaRxvxjS/bxb3
GRLmeD/ZefSL8rPhjHUYES3gKsyaPRup2EBjW1a1LZ+n7Ee6YAvY1k0XXJtVjUOx8Q+UVSDRJata
R+l5hmAYTlEBhxclLwev8abagMvyrKtz7spZ7OBYofpVqwBIDhB+va6XHQ3o84Oa8/A41pHH6Nux
oBXsAk/hEqpd8KkrFt6KQA8p6JMureZxUdZHa5UiVeYOzNdsIuxVqExXybKbkx6jR/qVpyu5n9yw
OPjUYF9ko1+yVewsVtkTKkRwEmxsN5YIuLvRHCZugWAhkyIR+JxuCOGUfza7fpVSl1VUFZ/6KqWz
5aaNg3LPFa5GokmMzaVzEW/ktIs9pXsC3krKJFhQr0epdf6zoB3yKzoDs2szZzcxWrO7X1JZnHt/
Hs8wAlB/cwubz1BHLlARdOHkUyJWTW0DogwquHcsX5j563uA6ckh+tSW48xH3C07uzv5oUF9Tlch
WqBo7to6mf1T9btILZo52ixeok7j6NzwZiTRU0z3etW2aZNQt/Gqd4NjSD7KJJy2Xrz0+8bXNuWA
Tu0D6F1FcuhWCOaOn8Q7kUw810tNed1g0RZaeJ5+l71hrRc46mqJwT1ahQ7q43qNeHJkVxxKiAcn
7cy8w+jH/9kOLR/UNJ5u83IpX0oGla+jDKOfuizluG0+9X8kp+U6xgVDee1VF29dEiRycoBHzHGy
11FcwgL26j0vB677saD9Xmdm32JteBrX3UP4uYaAJMNKolu3EwM1IHeV6Xv0sT6qj9of/W1p9/Yl
dASoGiZCNhv2uuQIGTQOa1PNLlm3H8ki6m+4w9Qps9XykK7TPrpLdvKcScb8xNmYNFmyXP1hWnbT
uk8pprH/1luIH0hXKcyxdenirOuXHDkNI1vgAfrLfI//pRTPXEGjcx+yrl0XONYc5g9AGtatzu8b
nqxmeh/XxU/qEetJOC0OztSoh1T7/naSlTp4oXTviDn6xzLuspekxRESfe6T+nW1VNuxPjfrugm+
H5sna1y3UDn7qO5zMxW4nXe1Wlffl6HX74mbsr+CNQgIjHTWcMr0WIOgLtn2f+66xqp1L2KBOgZy
JLjMeTQ+lQBHXUZ7L3ufPvdko7JayuOEQKroy/oQdFP+i48y3oVITP33crH8u2kynJrJunTL1DIf
OxHiD3awU2JBj29YTJgIK/vs7LoZ2ghnlcUCb+xdwBjIRw98WO+dKrP3EvcOK0FbW4O3n4Osuqp1
D8ijPbxSarzM8FfZE6LcDOh+PvPZWNcWK+h1kQj/1z6T8g+XTfC5ZWSLpF4FHiCgup97SPdzJ5ms
60lMFsvDjBHjvqhKVogW1hM2mZ9bTVuk8Te+EXadmuAQQlJjfoNrzvz2uRXt1wVpmlFRkbGxhHaA
enNEUDV0x1n+rv3cr3qfu9YpzMlhfG5gh3qq8VNITR1xaV3bxk4Q61nVdliLvgk8GRqnBqtcCldZ
6q7rXXxI03u+rnzTz+3vzDUpP7Cf6W8C5c0ObI9UnrOGlsg9nTUh77Jufimq2nmn0aR/LeI2wKCU
yrv0c9tsLKv6PhYqh6mehC72gnwfpnZ77YJM4cypm3Tez6E7yW3nNe0jhii5Z8s6DuVzBtIskMwi
jAvz76a//xkB/s0IAHx6bab71zPA8/eh/D5+ZL/U9+aPg8Df/sW/TwK289fPWkEMmlQAsoP9x2Cw
JnP/aTBwuP3j+I3oK+dL/6NtnlYp/PUu2wbS4xgg/4PB4L+5IRgucK+TbkPFJwG22hH/4IbIHWNX
saODBwhebopGVHiEgjCePMd5VLibP/xEHn73q/+vZoIWmSNjMQSFf84I0HzurT35ODcddLzPWqM/
fD2KHFEL0ji9S8qUwowXOLdu8eKqBR4ezqVsGbcDP6O7Qieu6baj7aTveLIQ3rbYabwHeCmQ4La4
7+WPPEmzZyxwScaeBjfEc+gZZFAcTYl7KRHmB+fM2rp7zZDfhhrsIyTTWrk9RCFI28F7EkZdzSs2
N+JJw8rBBJLbefkbMXlJQrxoRv83ODTsvtkhLWRm+3RAZ9lmdlK9dRUHGdveoKgpCYjwQcWgvufw
wxL2LCWHORB7FHLqIWvWMl4aIVBBaz7EfTTq81SLLK8BNQaz1R1p8ygrUexGyRrFujPSeDVGuKCU
XuOf8FG3wbyNQtVOCaYqXy2RC2neCRiMehwbgLW6pvW3be2uUwtYlX08kF7brau+9Cq4/3onYfGG
3E8Nt68d3KEo2rCaHF+BVSXRJtXU1u/HQfslcM6FD0ExgpDfeLYjAiLgiCZ3Wevrp9FkiHBNVuQL
a1O+3MTbLTvFTZkS31ENGCsfB1lPOFLzpzgD963XAkrz2YWIIXcT336Sbunm4x/477vsArg9L3YN
mR8bW2YcLx+m5lXsz3ZH8ahTFMHe5w+ztkWWtGiOQVDkB73YQJHKZgoPLT/PhB2embHKaCA2JzuP
w0faMvketeYhY7BLQDQXC+s70ZBc2fi25D8jnlG99R3pyItIivHViHbmmlX2cbQJGzcWkCRH2dz4
zqLvYATb7sYr44ChkBVLgWPChrUzhfxFg3LGNab43b7KUBrKB/CDrT++AauPZA15MtxC819lpIMV
7hMhWEdOJF8loyXs1zSR2Ucpiuat7jidb6y0bYYrvYDyvZZB+xix+gAWyOILIZ/WDbEJU7B3huM1
eXAYK909ZNDxVVOD2R8hBbbdwYxWieFN1cDRUlmPr4Ru+JTw2/HNiy0KGO2MvXZ4zvyV/t71IPGO
reSM3JR+FydfgGo6/HyUzJyf8agrrmn0SAQcuCv21FSajxiz5Phatq0Jz8LP1AfWXmAKg5S198XS
cJC3heyq4oOHu1p+suEeyWn7aNLJ6IV7myoGbpNQ27IBsxGFhPMU3jidXFKQEJHUfGfm97fQ/xxh
/+4IIx7F+/hfH2GP068fvz7+6fD6/V/52+Hlh3+llJl8ig1Q1OZQ+sfhFcZ/xRESrFVotJOtsbp/
nGXirysYhUAYPQTc4j2y5n8/y7y/xlhTffqGV+oKZ+J/cpb9KbK7lkatKAIiMgzGJD3+HGOWrcXj
kcn0lPscM3dBIPXwtVly7w1HZsiYTOUQijAey6otfou63ra3EVnR4KeEjxq5hzptgCewvcDcKr/O
kegXhwtqze1721GOPBQnO24NGysGo9G6TZi1YauBCGLZYwttsdiR89LuyYV3kB9F5bpD+jKQhE1/
/OE38/86Sv85E8o6AubCmt/hfrE6KP+cg6gT1/FTIgvHOZJGP0VQbaNzCVZi2cklCbi0y4RXyNF2
pZX6aF2F077iTnPcpywkmdLhtqco+NtEpWT74DZqNqdWqFD9mxCMwBbwT9qjj8eX3qOQqBy5QCSM
P1c9EZWlyclti3MzzG430w9vC2LmmHAB9jk9r3IiyL5n4CiMfVRJ+zqXob+PKH++iefURepfeXJS
PbZLBUG2mqedcchiSFs7e9vKlnrTDqZ9CRIMsThwp5tpis11NAlaB+H07j2RlX0Adiu7regT5z7y
LP1g8BcfGtOxTlHG/RE30OTbPKDlZa0f2lhWnF8XKy0OaEUvxIcgQxksxYbAxe0qJJ2kicYX1izR
kzKcp/5Yz3fJMPaPi9UnxPXjGFdzz2Zu6gDhtsx/7K2V2c8UQ77r1DBGCHIb94vTlRcrC9N9PNs9
npEoBwbgqIgppY2fmQvbx15WwdmywuwOGwpwW6svur1RS3Gb1Cp9ImIbgTrVHebpJjoksGTfl3FY
+HhAvtWV9m9GJq3Xyp/617ifimNJxf6WJE1ysvrIfaZmiVf6elnREnUFVnPknXgQmudMUZK6DXQ4
HJI+9H/0SZdD20Nh6Cu/ffbI5u+U7HHFhy0FcSQROacG9xdNxv0Pp+FYzJfE2mG3hQMwWahnKEKf
afqzbbFXBjzXmWuA3+iYat2c/QSJhcdnuAHti9ZFZjF9nGHmgEyY6ubIjQ+pwGrFNSP1QJ1J1CNp
1lP0i9asp97S7o9lauYH/MYYk3ran8NxKF7YnrF0IXxxDyI6Obom56kmDiZ2aR34LyIrqo+gDHJA
cAqzNu6fANWmzu7GiQB/EI/D0atHshHWVA83a0vBJmaLxWPGD9j1m3wPGbX8IeNwxrIn4K+RKbh0
oo9Wf2p8XsvPH9s2x8Jo6uRcj559cio7/jaifRS4KJr4PnCylpvM4G2I/mWQ6dTsjttaVc2PQZoS
7TNZUKl4AUKG0hkXdGId7Vegg4pWUh2e3LQqvkVDHD8EnQ13w42x3C5CnMYhrOkzCqa3euhIwSx1
Z/fllgKiQIXPanTCtD3EEFyOfbjIL5PlyDtbRkRK7a4Nd4XSPu6aMsOGQQtkS4fZrsE+wRXOwrhZ
p7jraueD8qw37C8a74NZDvDVxNbEVXipWa/RUIgm5CE+0BzG6mBKI25v+Jgttuqb0Fnm9hL3bRpy
3TSzP+xdFc4iw95fWv0WZTCMbuow1dWDjIxz0l3be7tB9fNtlUL9pMQbSoEvK9cca56T9pgpsr8y
yfkAtFHhjHeG3MuHRbVcf4SCrgCuDjHkDNGgON2ybAsm5BL8Izdx4bv1Ae69zevF6ZGV3IW32w9R
ZgvWDRw/0S4I57lvNtKzVh+4RxMAP98W5eTSUZCig73tORa/TPJ4vC0KZ71Y900UXLSHI3+jc1ai
3XZt/BGgF9OsEl9w7LT2psZN451mT7EY3A5kNhgj6EAf1lWDXw6CxXw/ifuqSyPnI3bMCB478RTG
9LukLjN3vnAuuJx2DgtmO/uOKOC6v4QswSvu8rTGgFdiUB4O8JbNtEu91RW6swtHxkc1VXV575b8
4vVxCot0SA9ZaheZv4uIWpmriIyevky9FdF72HmmwOHGprj9Fjoll/Bhbrv52fYN1dFjZuHMownV
jbq9nUI22ZGiiEaMEDXvnqOoZr4JOU115zFSOTrZ9X6QFBdPZV1/naXgh9Frl/8TaBD0lI2MZrCa
3ezXfHx+/wcVdX6xE0Uvv5O5oJkF8qMutmi/VnSeyr6uMTrX5OOvopDaehhxf8SQ4Yts4GhPPIn/
bT82YtR74VT1fJxY1/TXaGBXgpYaehlCeG2c9sbUblpeGj/hL6hRupGyaq+075qqT5ctYPlcH3Nc
yPML2X4Ff4QLN19CcxgzzAgeSXNo1FIKEF6AQetdjBY+kz2Q/AVjfP3eSRmcAlhUgBzBtDT81DcK
+yF/2Wb2GKmw0OnyhK+wKX4rwpkZtNP8a4lPW/YOH2Ghj0aH/OyGYeTllWKBat/nllbHbZ9wnfgW
9kyj/mZJ2xBFW3cefEpcjVDIrN1IzR+/80rMg9iOEFPLS5lTs9Js4U9Ghgcd9hSl+mWbNlt/msAy
WHxIrbOXGbjTLMsdsJJWwEeq6wKQLGzMZr3rxpG6ft+bZtqSRFYV1i2qNX49Ft02vx0+R3lxEngD
pp3X9lly8uBUE3+KHE54sEugrDHtL8xAW4Z/HkV2/0F+VO2SmXtW5A0PpyJHe8LtzXP1f9g7k+VK
lS1Nv0q9ANcAp50Cu1cX6qUJpghF0DjgNE779PXtOJZledOyLK3mNbhncGNLYoPjvta//mZEFjrs
bVVgxbzQrfQ7yIkVXixSB4CCZDr1OwEiQqpHsfIZEWqWWSbDIdshRRRkn+CWl+7LcGrLP2vW2XA1
KbVE93PW6/X2pwHvIOwdZhjDUjEBUjY8O1b1KB20fA1bpLRzPtmEXja9OURm5PtNtCzOWXgVnbEi
fcaLcHdlEVF9dPZ9boZce5WhNj+XRKDI88JO6Z7N1UIi4bQTXhaJUa7aOvZqYsqwFHUuzwUOAOaY
9Ox3v8kQU18NOX3edtzcku3EALTNk0xv7g5NnzK7w4TS0QuqL39Zr7xN2z0D5SsvCsgd3qH0WSfG
AoXlHSDqX3vabqvfJiZa9S1LRcuzgPMT7gaMf9dz0NSQbNiZZtjA3tiQO22P222+eVhjQ6IN9xNQ
t32RFCGndsny77GrESMarf0b2486RUW6qQAOXdoE+NAwnI7tarTR8bYeBKPGtIoP1+JF8euBgI1G
HIOsLndX3vh3xTE6445vh9UzxgbbzbCEakceuhdXV/4fkXpm9cAwUt82mWO+rp3I70Bk3SQFVvvT
41XRRQMpoHtPM1CI4ZTxYJSGXxyXMEa/gyBE2Jk2jfySRR8cyyIdDsVCqBDDsXG7cOBZe0jiMPPa
ze/0LjQy40dt1vkNmc8S7ilKjmiYAoZYEoVrYk35QxfkwXchHf1pyMaWRweG/MVkQupfUt81L0zG
jfW4kYTygyspvwTj5JemKh2yu2RHUWyT/8cXI/sMCRnmKBY0bOpKwgcwXsBnZ5fWLKxGTJoQpqzs
DIKT86NfjwPm21NONgiOJ2l2YYobXmwZDA/WlrnJ4tnczapx/TEpw2J6ap2ZSady8FmO/X4ebn18
kLfEbUxvvfTd0K9xh5jthn3DSKOmKdMT9NghjAUurlXspAwnOyM1b+VkEqhkO3P9Tl2/gb70jt4X
XMrDvHZ9PLtusMvR0x6YHcxt3CARpSRflpQoJWazcgcncrnnxf87wLWh1rAP5ydvK7pn9N7DLROc
bseybBkAcE9uNyHr28Dk9YyZCxb7YCK2NW7RmD2IseIkak2v/5jNesE5G+a8ZJ6TzXuv1f0auROn
J8/ALY7NCoctJj2vPpQkk5bJEuhyT5iues4cPZ9GH+RoMYf03Z7cbzmS1oRyrVzBpHoz2zXSREpM
as+j59dbgvEJfgPZrKeDp7OM8wW+Vc3Q2IkqT72sGTY4Cby2EiSxR5lIM+Z+TvPkv7tF2q9Jg5h2
SurZ9H6CprjkqNdueoZN5GycFFX6sNg9hlIuwOSVxA1YZYqFTBBLqQe4dSqyORh07A3+QJUiRshp
jQ5G+HPk6OwLttoTcCFzVd9DMKxkUckI4eWwd8d6ZohW0jtDnLilq1A/7d5oj+SMD3ehKB/ICsZ4
XLSMhMAO1J8AxlxCPkCHSTZjuhdsXLMbv5yCHeQ/pvkKQ6aYW85IxkmNQ0Ou8g3RaPgSeqOf790+
LC+s4EqR9w4yOlHSqBiIUK1na9HIsPDbLiK5eL4EhoSFsbpjCKDXgSJC2jIypHGB0Zwp3hrkrhif
9uwui/XT8myYeZAXxB/slJy7otzCPnKDbHuwMLCKYTqmELeL2XOTbYKTE4ddujSXaWjCr03QL4Dm
+v3HUtf5bgYVCPZtk1KeK9Mw72xr5LCbF2SSOTJSiOjhRvM3BXebQPOUuV6+RHmDjDdpct9+hlj4
iXmg+ctD5eAeCFt6NnC1salMp/QoyQA5OgDIWwR1r31CGTXweNlhnUNHoPi203pybm1YKL+rKTCX
ZMpIjI76IZzc27Ravwp7rLM7mzmkitMmrJ/hSOv33smrpyt4+1blm7bjdQ3b2LcnbR/qbs4OS5oy
VwZksY8eQv8jLUtzLjdngWuwcIyFkBf28+wuZxpoKgk05cvRDAo05Z2cjc9eoiuiS85SRdvRaTLA
ATD2PeJHj6i9a10ET84+rRbWKsmorFmhcdSDm/TBNYJ77jgR/NkKE+z/cCagD39DIYpCAmLM0Se0
ABFWZ+DOWVOOxmZKzQINY/XbJF/V9gPKutnS3C/DUymrYEUE58lvzjG3T5AtWo9eHRa/YTjrj0EP
fR5Vlh6eoKK0qO7SavwqeRq/cnsbOJgWF1rfRq7QgLVAj0+0DWd6g69QmpaPDUwYPuMcSv0xu2hH
DojsgilpRa7Bx9vJsY4t5doUFxsRa4R7duUBZyJHxzm5dt6ln02zZlCM8CZpS0rxnT1vqtrreYDj
0sIeWG5UaIn8Bv8FkT47vuG1e0wZi/pY9IoYdMyrHf1YQzIH8V3tXG4XOt6qu8jGGqd+16fEpPk7
1BGkeW8wktsLZiXA5DEOvOb20MlO1HNEEcelGQOgwMGtPYlLgMNB5TLutY3OjtqxZWB/7KmXIOFa
wdxnyGsyO6CqdZQwDrW79s3rkqehe3SavDU+Jr8fFD6AE7YcULaWWfsHk/Umfk25bw4JcZPFmNSL
N/wUGtnWrmuc1SQxrxda/aTs6z1KKbKXgjYOB8hWp3kz7PScmXkKls0CadpnX8om+6H6oROfjQDh
QAVVtlonruv48tlPw36Kmxk3Q4jYqq4gmYSwWv1TyQ9uX+i5szTpkHotN5BLM/8Od59lI+w9COv3
ZrxqROJJpNJ8Ar93YC+sKEedg7tC1qQ7Cab6rciDyqQyHsG6K5NRzd6osF7a+QT1Mkyrls2Llp7e
9+jbejs4ocXo1lEOEv8WntCTzvNZJxJ6Bo0rXamPmPW5Mo1u75qmRF6ez+540rOr7p2wntfI3yQ5
hTgOiyJGueaxMo15XXEDWNQHdpXzN5bV9R8WeX671inmDKg4ENuMtttGY45SZt9ZHht/RkrMN2At
1dZ1rRe4xwaxOXXoOFbiFauzXJz8y12a5lm6A+OMshRlzF2QUZWaxp+qcR5Tbjfum2n5k5iZ5TJo
u977+EFlUYGH77Pb91Zx2soQvRteuhYVb197z7MflKz7KlgSBDT1eYbI7KG5LHq4HVg1HzpQu1Mo
hg1kx/XuVeFMGwlOHBhR2WIjZrg4SkfwokV9rHEZKhF7ruEn9G54F9gIPU+yG36kRQ51RvkbSex4
JSR4R6UPoyMqdAaYmVJCc8PbE3hbsWNjGG5AE8I4dLu+psOooUbbeIldOWVie+nKJQ93LQ/3s+rc
Zo3XbnxHs2IlGtHfF8wa8DocLJbg6AtYBlWq5hbxrhu+GXhjPHWZy5yxtAqb89/uoZI3obE+FgY3
OKKStNFSMTp7SLERg6qol8esyqyDW2zZK5Us/Gdj9NrHtWva/iAbRYSmQ418avE6GU8NIbUvTiH1
a1XKcvmxWTgYx10+twNztnakEzS3+SKU4zx5M+BTLK1JfNelVLcwcuo7fOnHd7FW9VlmdIMHmZrh
L2wMYRE3PcJmR6DPxuwibD0iL2f1A3sBqXbgIvZzm+HcFwdXErZTr5Cee873kwRW/5qlWTW7bADu
OYTehou70vkThOo61mhui7gcnR6oEjrJmrAhjZ8VJ8sCI6qcs7ieRtdPGoeExKixzRcczNIzRs3e
hcU6/L76n7y6rWwjkmTK+eTTTU1xhajv58DFrXsmWOpscZ59tdZKvmi9+uhNie38E2ZI/KB+i7U/
wMizD0slihqtEYR7OP6CcVxrjahssO9cf3iptTJKgLcRhdDnzZuaZiGNhEMfngRgPfNeMq739hnQ
9XhDDYSMtxxH1hEwrXMnwOHKc0akOBti3qbv0hYwDaG4mn+ymgDnVXGouSbGbRFTXoewmmVb88OU
z/19gS7diEy3q8RNUIyVjqceD1IWWfbCJJxGvLXEQYPwoBTzKyaVtpsyuOjt9dSNamDQisLm1m9q
ZICIV5eL7JfhwZ4y5UbtUoByZ8PmHlja5NzBBcVblcA4RqC0nzdmtm7veIC1BxSXFjXGYqtvi6H0
Eg0m89gpm2bM8qG+2CfhZcUOIYID9ukHEIZdm5hTZtvFOcNEVQVg6V6JZWqMC2l2NrkMwqP4eDp1
CHImu4Qf2DK3OaLrQngqOwf0R5VDemNkYV3/CQ2+nU8i7G2HQUkeU8kWhyK7SkJKIxzKw+RqwY10
rvS4En6W4i2F8QDls58+53Z5bcN0AxucPeTUnW0199magSmbiwx33aSxA1qRJz/WqD9w7wCimqDj
4v2ABLJf3jw9I4FDD1ZcO4QuDk3+Pt/fzOhuveULUYzvJn6XXvD5Qu5D7pF9qcAtGgIZreHe9YuQ
hd9tzcDgvGpecJtYv2WO7RwMBFk3kRBlLy6Z0OZNuilbxytH9ivYV74iWwEDlZA3CWGYsMXAS8n0
uG1ryHZTG5O3seCpEiVAahDUlIrkUEVyrjzrM+TXjMlYM2uP0OrJP7BQffiPkOYutrI0yv8utYIj
XYGvTvYS+D2iM0ZF0Yiu6HEKwG1xMTIIRjCUt8JJheft0SyFFfd7abv7ZdUi2/uWyNa3fHPC6Rmi
Q/1hlxQYB2RX+JfMgMnQ/nCbD+cbXXlMNdgCxB7vJLiYAYGN/o5JVin2wu1zcLpRhXdUUYtMaNYZ
xgGL/p7T1XlmSbXw1emdgLf7jJ9em4CTzsBGhkKrL2nkOkyFKDOKjM+wi07WvWH76bA3sXKqdtIv
Z7TOsu+uHrwjk+ux8Gc3rpxyxEwivDKBQ1lxzCPqC+CwOf5Esz25imwteK1ZZFW6LfMIXwZzeMHU
pXukEmjXW6XC3sHAb8IPGRzAHi9p5ur0g9eJseTaCpgZvBQODt6MCTFv+Rvy6iHJV8mcTj7ET5/K
3bh3CjxzgIorC/mKlY71JZ0UBkzjZmOrXaJaTqeDxVfbGd0azHeDlWEGFpk4Ptr7pdQO8526GcLb
tdfL/CtzrVJDVWzQbKUTNPkL67r+nOl2XjoEW8bRCRBS5vHcGilfEjyoOuAyUl7DbTyN9XRqtep1
3YrWjzFs6I1nEIkJIEJWlj8dZnKc6J3Mri+eDJ/AyYc0CLV956qqaw411qPtA9pv5l+E4gnrKBAH
ZOdaORAx59k3hjPjJ2uh+IKU/sR5U3R7e/NIVnWLpuMUHmAo3jaFa9W7RXDys3rNFDU8etMgQmY1
ty/KcpleTKNl/FrtNCwPbNM1ZVJKfM6BkC4yP1VAe4uLAkvsAsVxZkvXRfOobeRREYpA3SRKpUEn
I8de0tMEo7NGCuArSKr+Oix0wtvVf4cwAuwEKgHXgVIGzZZVRj0UK4ytxm0zH0LmVmI3+6MWz4pS
ui4j0ywcFeGCk3uIh+B880rJFjVZONXOL8aHoLx5N2WA/IuxvhmmZ6TJ5IXpl2GP3mcu2xpDE3xj
pz36BpwVsmGBgZ3VpveZXTkfUdn51nxeQrP9LqdZq+PcZOLHjMNzdQR+0CMXhP8nuN/SiZs5GMRN
hlSojrn+skIAmLr5ofS2+Tn3EJxxiC2W+bj2mJ6w4DAWwhlpKVbUdKA3W9vML0uw4DG4cbfHE8/z
CnMiVFYJRC4XWj0yMRXnCMUR8QvAyMjT0mSNYZkDWV/Z2WbEA0zzgh/z+BC+adq4b9PFXXdVxZ5+
T2fSYGKDrWP62EjdI0fPCYpnU6/xHMveEP+id4pH3+JAWFv0aHcFVCrjJmh98avj1Goe8JmaHrGy
Z1bFCAJDVKhKwZ1yMNHaIfNOj4hXVI0lr3SNo9nSsAO6zrWO547R2B9A3Tw9wAO4wqSCyXU8z2PH
W2kxOLmW4l3wqQIjW0FnoGhr2i3TrF5L6+oaBQ7fZcng+S1sWJVf9wd/7g8dY9Vn06qy4s7SLtBq
zFnPpBo7p9BLhMLGbQe8TF1foFOt4tAOZwNY1Mk8fMYcVazffVWAPPBuKnMHZr9MN9pImyeRDlJ+
IvwAP8M5D3J7rEPGOHuc0jyFP5S5lmAKKoVYfnaR4DdFBDvWeifVthEnQgSvR4XZlov54BHtQ7IZ
SWxt7IjBOigg/CKFIjvBM4mxEkDWCt4uxaroUUrYYQlVkZe/I/Bv5zoq+7HtX3pd+elvWwU2QF1H
q9gtSemavfPod6jqQQuwmqtA4ZZ1OlKMdAIaArmEFzvPEV2rrumAZhdbtPIXEiGJdXFLMvttR2Iw
wuJgIpU7L8dBxxniu0e8LHJ62i5TeHjRdXMWLJMSUX8VYSZDtTLAVU6JStFgz/yAW0ut7PFurzts
nEZMwRiL4f3jop677c0JMQ9+3vJiewtdiKimZMmtXjP6xpmIhdNdmqlxssRfu0FHFMBVeXRW+k/b
TpeBJ2Q3v2hRyyDZMpXqC8ptVX77BR3F/aTdMcDIwgelsY9IlmfjqYNnCMehXqb7cRqK8FKMfZ7f
wdVgAES8BuoGbMpapqMjcYqJEWCpEnnuttyYhqImg93AX1FtbZyWKfWYXIsGt2ss2jrfffQKzAbi
CTskOtAp7wJ22R51xdB7c8jIn7ZkN9d10V0F1MaLiWLkp2hV/jsHb8dx33a3KjHXEFcDfwgmLNkm
zo3bOsPu8AwXAd68yOCJRl1r1M5JNrW6w4HN+QkDSLWJC/nvgW5F48hCn/DDZILQJlvXr38qkMgs
JgDbfyCRFl8mo6ps5rlobZmSprWzxks/4A2CZ+EVanV0oBONEPrezS1LnxFytvuA93zeg2ddQ70q
UMCbqh0/ahvpN+MW8joh4bFhRGq7jltGeAgVInuNFM1U6WZAf22C3yQbFGSgLe0J10AvPfjYqDy7
RlgpprGrF3cLspKsXvRp8toiDgpsB/YjNCIrmj1SQsil8HOI8nhr0linlfjhDsC9t6alAzqlSi43
KGqZcrvEQP3qqsLrIppb/1dm+fpFwW2qUJrV7WOmMILYednaHoam5yUY3SkbwcsooZLBJUgJ0kBn
vw+qKt4ELn7fwm/hcqL+76Y9ZmoiJpxEJjXtgIrnHCGxTaBQGaV2PU2RXmhs6MDkxXHH7titVnlm
uEW+uSQEDOsHlnl71F3ePeOE5s8RVE4DxxKs1ZrEsWEj7FNYQ/SBg5l58WZN7XPIfO8kifJleS2Z
qE5dJeVtPShszaiohlcmVtfxD1gCpCaaptolnhYrUB+jKCfFkGrMmCBHqZlPl57tbojlmrnFMyEK
4thaw9ZCOBwweHJ955EmQSFMdqpjHY79XV+I4MsQ4qFWKBdR2jtu+MptMn7WU9fGdepMu2rLht2a
M3F2WrM4tA2SxjMVn0XhrHLQj8bPbZS7U+9NN+4KVyLqrXr6ZXlCeiPUhYGJgatMfEO61gVFzKj9
PMs3fuVXAjmKJYUN1o6xx3xmg+pePTz15t/h6Pc9RH6t5MrUcPWzvVLgfIozZc5CvJ9y7Jm2CnLM
SrrsEOl+Eg7VaTd5k013UoeVTnIySvr70FVre0v/2KXNibA2HcIC2XATZ/cpvXKPfroirynzBa5E
F/pZupMjhEpXl3Co7KD8SXVCEwnCPanhSMvcrHLvzV017plhclzjvANZpYi8JS1C3rgc6HeHQUBw
2SC7PvViwMmEiW72JOd6itrV0tDkZOX3J7stYfpUg3dgfeTLoQWt3ac2DrGtnPWp8tLxW+iFRnua
LOeRQIx3p7X8PxpPoS3j6yXBNgmy/5ZFfG4mtpZML7qDxaj2Vbk48cwUzkHsZFabWKyzZ2ac2e9F
5AQneZYBUzvEAH3frc10M+tl+CbHRNy0lfYIFLCak5I6/WNugbXjGKvfvMl9T1FYp2BC/Vu9Wvhh
4pqPNMbsXudgs30G2On0SERh+e5hbgzRbCtY3TXcsod042ZOPTzBiNd8/gbgRPImfEcfee9/hNsK
x6SqHHht8DJ+0hLBmlUw0e4Hz/MfgY3QgiJ02/mbmT1PJqhTkudr1hKR0XCLgmGtDstqwC/CHQC3
TIXLnndyK44QmHK9fZebtIWUisvBXJf3/qq1xLLWTNIqC25aIPqXK1AbHPPCclgzIKmPXgAVilPi
59JDj4y23je+7EyNX9OVvhS17HzHoAtuUuB63IcGT7rRKHCoi6mEcPGkfh0qg7rYCfxhB/ljgulx
jWtckDWmlgHp3JXynMvVNhIZFL442bZLudvqpXlbWgOSpD3KCUGmJYr3VU7ZC7kS1VFpaFIMCVZG
HK0FZ2LxhfHoyvCzUJzC5jxChxmd6ilVuaZ9w3153kkLF0saAD1/roh94Tn6veFD1vTnFHu0LGCg
E1jE1fgQtZXfHTyPEEMqgNz0GNZn9sMqjMA/WOWMrRZO/7BapEuHl9oMdQucrKw4xFtpQxPrOu0x
sHM/TMhCJAzW701mMog1Ci5j1VO8CWU8inSRZ8vOsqOGNvdkdelo78AhY4HSL8czac3uZ8ia7y3o
3yFjtA/4EWwxRhKBtdfDhAwIRzcZZ1jBVefO5MEnSMn8g7Et5pmzca35NwaM1x3afKEQ5ptqK//l
4fLyzbTWsmj/sfqAq3tFsA2XOikV0m4PVZVm2cc60IMxkjOb8uSCjJsYhxll1d1q7tL4MIu2kgd7
awkbCq26CbrItw3ffa9JM5t/FkHjXuppzfcidK4xiYIB2RIPLjLtZPXLNDsEeeOpw9aL+a0GcPAP
PqOV+Thz3rIuHJ3dI6uqOplcBdjpa9+hq1bxYoG43xpym3B2iIMNTUhIoc9Yw4mpMsYdiqcCozrf
WO5n2gYnmqwyXBgm8OWfChR1yw9fr8P0ato5dyGqCoX2sUBk8Ir3hu29lBBHqxPmLm6cN1X7p2dj
KhFLW9Ylgz0BBVNrAG+zVAKWHz5qf4Zu3phnc3eYOalGjuo8YuTxG1LH7H9XoVmgZYfzFdwgnPEJ
ZxqJh9pjk0LlImWwU4DI2H51GleIqEt7bJlkr6o3z8YYL64yOBmYYkwf/VzDSMyz4svEoXi9kv2q
4quZSgM3sXXNVTQhN6mjdXRzEdnMesbYJhGJQqgFLzhIyustGVfd/coQjyMtwPns1TFRvzENVdPb
OnbL8yBFF/PWFCemXubr6DnrH0TfzRcrJG8iN1ctB0/t73oLN9Ko3GrdTBG2I7l142MkGd6XdHNn
2JTuZ2FbEqRBivY2GLt8eegWveEyT3Gys7Z0yXBXQbYtFYQcOASMhlzfKnwq/DT/8pgcPLaU1T1b
FYG7zEStVXy4jJJL/ADczDwsCAjeG0haYpcC9b1khWHou4nwcu/gSeryHWSUqQOeaBEsU+IaOMcM
fvs14ENlJcBM2QELj5x+H79vhaNs6A/lYy89mAT1loIp8Q+92g7sRWG2MzbJIbZpp2Bo+Zeq/f/1
Bv+T3gCOOlTw/7ve4O73/Idm9rv6ar7/1/V/N18/+69v1f+bBOGf3/IfEoSrmAB3CwZIluea0Ff/
j37O8/9Fqo9ruv+NBMH8l0AW4JMNEArPtQWX9R8SBO9fhEzbBHxdEwwIxrL+XyQI/x42AZps4eAX
2lefDQdhw39Nb2tW7OBHtbkn2HBjAIpemQTR45qTJ2l69R/otWs9z8aVQfOf7tx/owf4d38P/rLt
MnEmIIa7w9f4r0HRMGZJlFyx0fY8bPdO3I5eHXrG95iH53hXkv/mL2iGOHUAXYT9Zx46/T/lVEEf
EP/O9Sf10XP44rSs/EYEGUhE/rOgsFKA5WHrWgeciJFSyXLivyrtUQo1/NgPtLQE0Qy+DyNzmlD9
Kb+mF8vxNk8jQ0gCxfswdGFVVAUxsYtT3rd5vUpaHX0lFqfB0gCjNx0KqLqS/nyeVhE8boIQuyiX
UJiuarVSFNh44UGZPlqLNf9ir2g/wLqHdEdRXjA0om7+XsQoRghVerMSkH7+20JIl3vVZBaPLSOn
lyEeLNKkl2XVJyU+ykA2RlGzn7pZdYQYKcV9HergJFqzziiZsWl+rsbCHC5sPXTfRtl3xT6sCume
tzAfx9fUM7j2vqn4zGbguHoq9MhfGjRe1Cc5gfp/I++1953B6PMBDMyzQI8YNMYjAeOX8GqY38T/
/BGgDb6NOYeO/gLy0N8khk/yTacy/Y3khVSMhriln0QjjlkM3zb46aAQXvYrxm8inh1j+B7LGk7k
4JbdQIsn2iDGwiy4qzP8tWTgpPnOxRbJTqRTgUVZ3tR+0MLbz9onEpbGmVL8fA0iqfe1NVHWcZg4
mBY4WGDDSsoHRIh59SpDvEEjDSXSvEyt3LxkSN3OTdpwzh8DYbrYOjl2x9CssMGTLFxfmR/pkbxJ
pppDu6tCCcsVaUD7MQIk21GISrHfyw3m7QVKRShu1kAhe2EwI1GVmJX1SLCM7R1mtwzwcR1smuly
rjjKsOSPZ2MrnUuLa9fbP0+6YGYyJYbTUWjjV8UhCpbJ32Gcwi9Ba5oPD0yxbXFmJE0addPizxdt
WAm2j3IGEY7IyAwbLJfDIIshmLFO2cf89FKEmg1gSCmI7gWxeKgzteMAACvYTtHopJTYbj/x9Vyj
ElJGM6QE2vAsbPJnAKuaD01T92bpcM52uUGK8T5DGrBC/b3S721Xh+9j5TR+tMJ2x07q746jpcGy
MizpC4Zc+bLciNFd5RtzHi7H2HxP7EYSTZGnEv+tTqqw2K2Uv9pjLBQc+6TRoQ04NFob9Zkkxk1g
TDvx0QWHyuZp9YduOCy0AOneBxwAWZtqsz3DUPKmx6Kz25EwEM//ZTM0xMtGLyVkWrxp6rLZjzxQ
Rdnk5f4NjiUT/razj3QGGDtL30KwgOUl6LFr3y8ZFChM/gpWhBsob6Y2rq22YwgkPc+OG7M1cOu1
U4i0oxBwv7yhomiU8yqsgzZL3PrCOlByT3TMLN/gPAnniKtLHiLHQUyA+V/LLa3sbJxjiTrsOS8z
dobsCnHG7tpk2HQYYqSF1KbfxpLcR6ZLqQyaZx4Jk96KeXfxQ7e1i9Jiq0L7os0U01ITHFLurwAM
uA0pIRQj5Wxffe2Iyv2iXAvFM1DZYDz9fXmrTWediTuCq6H5S5cVQZE2g7KaC/oay2MGH8OpHG4s
hLqMjtnQRMwIq/sShQ81195qzJ4XfFTEZ1q5qUnsG8jybhP4YSfuoHnApE7K+jktswV8COHEchhy
5emvABR0SOQWcrzsCpSxgBPQC5zbyrG1c1tOOLa9twLPmxIIEsHnJaCrzfH9xGMNHzZY9qc1wL3i
UG+y7hN7BOraOyisJ2bNiB1gAayr/qbOKgAboea7zg88yK+viVOxbIpy5DzAHNydLp3WYUtj5IbD
RUwTl81cjx1e91DU3nCACtKL2cswvQx/Vznm/PxsWkBVijsD5HNv6mmbqMKz/gG3Ziye/nkWHgSx
D7ThnDllzzw+klWuv9N/LsDDcAYXJ5FCMweRqPP7TdT6OzDI62IGkrYDLVTIt2qk0t8ujrRwID2b
7ZPJNgdEPjjpKxIVFAZ4IsoSccUkhhMOzjXdYQcVDkJ/zhe2ySyWyAsCTpux1EhtrXLi/7euc43j
P69gB8+b+JOUN1DpwZhfcL7V39kUctE+oC3U3HUIb7BPHL7rVgxjNEFhQ36NUsWmue64ZtfQY3hP
M8TvHgF3+mTNRuvqhit4pF1RrhlAiMGbS7RsOr8wVOCTtYNCYS+vfy7toFWcJxZej/kLUoc4oARr
Y4hYdOhW4LQfuN+xzaghaD8YrnIXUmYTI0ba1xMGJ0B+edNu+nucNrYdhmImO1zrlzUd8NroHyOe
i/Y9jLVh+fR9ElzQQeRLdmmLhlCfNa+vez0J5LSayxAEDuYvm9UhLGMmAQ0gLzl/3Gawn1MrXSeY
GWa+qVhJE3MdLTGd2hOKxUV0pgm/1HNXrJDnYeXOD33PJRKOs7XnFedLjhcSPrqftA2mlQzYK3ev
ZFHyeF17466vV/d8EEoaubis2tY94uM3pvstpSg6Ed3bN08Ymdj2NTOntJ+vOx02UYZXes7x79PT
KQTDnYXpW3seuslCXoXMNksMKKuggA6d7/5anbEBm9DH2PoUNzQzOXXiFJSgPUMWGfGlxj+Y3dBf
V8PeEIxV+tvxYUCe/nlXNqY5eVK7unMPYzirOerlgJ5OQR7sk3pVfO0G/1BCZv4uE7UsvE/SDSuM
hqRJkmEO15gInVohTjIDurDYopmU+6bM+M3MLfjXhk5d7v8uQhQ9XDPeZSZnQ9rxhpmjsJLK9rR9
rfDYGjoXn4U5YipdEhMsOiO/t6ZrQokj+qk9t0TcyH0JZmcli1WxgEIVDN9oxHr5O5Muv372JMww
R5R883+KKHLrWa45iMUH3k9he98VVuPt3QwbXDhtxkpFl1uOvK1sqjZQkskQzzY1Gvv5dUliVGCw
PYjrx5FOLLx612WMpUL7ASeev9MLSQzH6licnuMccCaJvuKRI5LhZ5gScTKFxv8m7DyWI8e1rvtE
jCAB2mn6lEmlbEmaMFQy9Bb0T/8vpO7g3v4i+p90VHSrS2lA4OCcvdeOaSqjAc35srvJZx3ZHkfe
vsVVJ7e/W5ya3L558bgDc4hFkzcgDAzh2ftgBtjC59mzjyJWbIN5qDddC06xuGsc5DEvI90HUPkR
O2iLX0yuC8PVr8Hp2OdqERfJPYNx29qCi7Wbqzj2KROyPuNX/b5CxgB81y5DaZY7phTj0XUrVgv5
BwyOEpBV+VfJDbs+ZHzc4m2Yo7H/AG6TjjeeiuRsr13U++F1XfvsLb8bLFduwt1q2yqsQ2AOWI09
1UIkpQML6OdY4J1yX20j5Ev4LRqA3UjztotSLu+/36KDrNo9Dug5zgb/J1QHqsEa4BtQDeT8hJat
eoNAKWRBMfrwHCUH+ogcv0iDxjhhBp6wgaUeHYoNB65+gE3RIwUpIvs5HHtBIy7L5YeNK5o7lueG
1yycmKZsOGQBJUXhPbcAR/t1i3qz2LeEpNwM1LwsdOgeFcoaFse6rGgdHPIucJ5FxpB91UWQNDCA
TjzuImU8WocLQqiizKYNFnK9+6GhdvdK2mzztkXQzrWLZiRa2Y7iWzHLfsr+eJ7b4s8ukWS90/vu
ysdAwh9fC2CNfNTQfhjSLAvv+fe8CnPuMwwyJ1beQnUZUm6lcXcNxcJo94zjWA2+vTg2xSTa661D
M8PT4LGJlpFdGSFbUUOcFGesm/K6Ilps6jRFNDPffp8kUNjd1+wtXfZN2ijPY+Zyrd6bipnPVTwA
UN0sntVBCMZglq64VeFndJUIMIHYcCxotl2OcIwtuJmw30R/aTtOiO+6kbcqVBaWO2nX8gnhfOMw
mwZjvlaNxWihhl9/oE/WxmgGQt409RVvtK/dLF73DsBFirho4rwya72YHdrlK7eLE++6Iu/rnIwd
nyyjadZ+B4NRMZmLfG5R8DTOXZoG1gqNin2sGkqqIyJ+FHE16CX0NUuZc2kk1Tlj0/ecF1jvVF4G
oxO4c2PBX/tbDpOkMHKmypmC8vfXebSR3iBDcYBNMuPztznZwxXkGZ5PxzGosMt+SPYOdk8wX7Uv
7HtuyPxr8tP0J2stfMlKlGxv7Aw+dlhS5oLDsPRsRiCheTO+wzmBu7bS59DInXXdIGxh2zMDO3wP
ehhDFmDZOF72ddtfxJVZZexkEanmFmQB+S6dg10dkpoktnaVM3gDllwPY7i2iCsXd4T68E7ZVmNn
n5TkjqDtmpDbegg8nruGORkZTexJIfj4Ym1DKdY2l66BAqcGHAspE7o70G1NdXCDhh/JW0Vd4C48
+p1r4BJzZj8aVnYfgY+bU/1+XCenFMeYwTVjER1+warj6KRuKcGSZH3bgrHKTfEKWQL9b+158lYF
EMyupFNzp0JaxnZo+nH9logGuLFBdGL8JWB646J3XH41qWx8dcwPmzfL1ff3yaVqY7FUyY2YsslD
AzQE1hpWpx/dqoWZ/G5IBaCYy+HqMCEKd3HCYY2GIBhsQIVDUh6sIHKfak8tyF3K2Bo3M5FF3bab
W77cJHam82/lQj2nPQMdprSdgsgwPBj0hMiRwhFd72PEfCyUZaAm67kQcbdEvqCufy8+4WiwLka/
nKcbY4zZ8n+PXFgp/HxFBEB9heyeDS9zW/5ZTjhBHn1SGIfnAC4crseoosYgzFs/SZcK7ffPTOOp
l/A79gEzFWNm5/dqdA5EkgwDIQxBTq2SZq7fbqfEmBO6NmYqtojSDXufAMMXZPxhFWEurU/NuAcG
j1y25gSEu8xDXqT6VMI5SwmJaZAHFp1UPjwz13TnddEDRaWQQjkEvJ2ZwR+AkbRmGEFWn74B5nvt
Fi07Rl0J5p+Xk9gjvZJ7/eJP3VcN01o+YX7hd9NrYo/t3SS4+a0hmQkDK62XYvS2GcvEQacXxJ8m
pBz/Cmhssu8xbdhHM9MdmDj3vOFhutSXU53a5Dpg54cJern1C1v09aFsTf3Zo8uedmh/8QqHreXP
t/Eg7eGhtlMu925uqXWCmOk7RIjqXomu4OPUg08+nhaV4UbxmMmtGsn52shR8NZrCwMhqVSMaPF2
5TatmDAtvZvaWVDpDMkgdiqnCqIREYHNaAvoFU1D6+XgoXBHQDClstuQBuK2GzLw4HYSwNLsC5R0
J4K+Cb+7yEPbZSyRil5ko7ZWkMKLtoLd1OXyoP0gL4UYCKA0BJLTwkaOhMCpNNYcLfNHc9Gk+skC
5BvS9vwFOdBaT8wHjuoiYs1ZpN067bzuJpbSwRhpOAxS7Nx5a6TX3XI4XA/kbjo4ndvpY7xIZUOt
mg3MHhhiMqID9k1/QamIy6hUxNS5UA/KDQV0fKJLU3wMlmx+OKGCdWh54kqapg8jKOKcF7ChGnqM
RKSieQD6m7JJBJYWjlQBAYaKv28d5hMGVCtOiMTQGtao8B+DMlLPtjH317WTtjs/NhuOFK+h1soQ
lmXKm29s5QUfNtSwFRMhUh29pEMUgAV/KRHqtwR+uIQrUl0p3g2NG9Rn9GeIFcb4eC0aIiVQ3TTJ
8mTJqbo2Z9G0x0aEKJp936k3naXsgwdvgDo2CVE/91xrbv0hwLXEVnQFtxGVAQGE6Y0xqAcEgJl7
SFwupSIskFUnjT9+LHYXHtvMi7eQASxx7C9ibB+q6VoUOBuxwCbxl24kTRvUdNXeGfvkhH9vWpVm
H9/IoMXQcVF8i6qS7G6k61zjQ3T25Dc03QoXDrM9LRSnBNaacdTjtF+IywHLESNvFT4JM9hJrzzJ
M7D1J0WfqvVfPSMz3mjXqpb5UCeMrVsjUq+0XJ0CNHrm6Uc+ZFseNtmLsj2jc/NAA7e8g7zb3olC
TfGeubXkyB/ILgCimQQb3VVgu5uzk0PEH/W9NxbXQ+EFrxksyJdIRearuIjtgywFdk9fAGopXoZH
H3Lazmi0PD+9SPUzdspxx1UeGTMCvvq6D5sGJrw1PeZ4vF+ZeiekHl5E/83UzieOxvneEoaO3qjb
9AxsHScwCBjWnwMSPqVzWvc/iXYT+DEQy26Gq7dSXds/N/3UUbaOXvlFLjNdszR5l50k5zZJQyg9
jCY/cMTK27AKFtoBte1+jLRdicsJk87ct6zQK0vbHWJtfEC155Iyhxli6ebntkc0vSqiwfZgK3cE
WdCD0vPNmpTgjqvKez+UiBMrPu97Osug+h3E5wliOYq2HvY4+EqsGUNTTNq4hyJvTWsnK7fYoKIP
A8XpUV58HR7d8y3cD9wepRfJJ5x3eaVJNjjnVFSZUPnt6r0WAXvcxS/CTaXFOzIOb9ILqm9i27CW
tFGQX3lh17/ivitOfeGWtyY61S8XqA4ovrQdn8aeDcxaEDfiQJeVWhvMVkNCfNN4uq9s99NOm/GE
bg3oUlBQue6kNsMQFIsvZrp4ZDhHmgehSvu6CDyUGGkRvRgQ6rgNY64JtM2GM0GdnawKT3lrdWeD
dBiEhEMsXmxHWpSyF7eOX44MruUMcMG06scU1MzaL3rnJrtYfFzt9mFsO12HY60vBg2/ZeWmxKCs
iJqyPpgScZ/FLYRnoJrXlbYQoa7ETUT0x/IsaGe1pAdpv9HE5AR5SUGLD3qFuvG1NanSJqWIyBCu
PFxJigNG8aHfFpTeZOQIKzhLLxsek4QYiZVHl3DPF4TJAYXbK5BidZ9rRxSR0VTSGDrfiybheUJb
ir+vaAN6KoSy0Pg38FA+OvTWKvzE2nCVaO+Vr11Y6E8c6ORYE2cIqtDneHtPfpwYr26fXS0mHq5c
u7ls1WLsWmzHebLQUF+7eSafFnv2bwFQVUQy1pKgNN9LHpKoDp642TvfLTFW+1K7x3ztI+uh+uhs
kgcW4PDDcCbHQu+V2TrVHjRbu9FS7UtLDLvDolbY7KABz0q6Sg23OCnK9BUezWY3VW5xy6cj1u3F
7tZAfey3CkoxKViG/SlgT6xA1nPLvLjkcm2YM7V1DjPx8JVpO528OOu41OOyS6xBJGv34r6TFyce
1/nqzhswfR5zCBvTQ6nzjYauz5+437T7VJv61MXfF9Rxhw6kDu5NRNYvCHRwAbraENhBfietNq4Z
N0UYvVjwF+dgmpGJQZVUD+9a0PuU1ZnJ7BBJzmms/PYloIMzHjzoFxw04/QSDuZUbcCLI6AL4gUs
kAuyQ3BdyKt8jfhB0QkVbadJFlV8b6V+cxpmld2Rn3U1c0W392bl+aCPlHD+GthRA1SUlmUdbP2R
Mu8jRBuZahmsFlblV5crj/gx15/rbRkW1k9kWvG3dkzEuznD5sG9CgvX6CflJmmFdVa5bA9VHVpX
SMnyhx5lykdMc/Ts0aS9bYm5vcZj2l2buSjIzUO+9eN3hdp17ZjcJgzAjoR9GneIeKdXOivObUw6
BoE3nlO/As12fOT3QYszLLPQadAoeaZhEB4kmPRXe6jMYyidBg+OO9d0yxa1cdK6PYUAfEz612H6
snhj7lxlFirxwCvTa0AAcllbzItflXS9HpXIrB5GrA/Xvd0RYZcCtlYLqxabtt9MDypwwJxUwwzf
wwVqwHhJqGuXmzlJXmY0oBeceu/Oj+mBdRNyx0BGJHpzx9TTDAXbv+ppo1eiVVduMo4I7xmEoX5M
PohbJC8pgNmwslHtoM2pluXZT1pcLbLatX7vbdTikilcpO0dXQM6m4iGDmqJilPN/YCFOzFHC43W
2aIcIl0ObQaWBJjBK9HP1snLO1zDQ8XZ1PX7CmMuncGu+nGRWz/1iZ3fJFWNyzSoQy1dVuUWFo77
CDImdNfWMnd/EOJat7XjFduUbvKtEXbGQwDAh2e9GXdNWqgtNjF3LSNMsjVDtmsZJuVehw0YUTcl
h8YwcTMw/Fmn7WQcR66Xu26ifoSxTDeYemrxPgEXBEB0aiTkVi+JLY7sUp690saeGCWDdkhMjL7A
w87BgIzKxyEVtwRITU1XN7BK0uEJMwcUcYd4TThrNnZKYdEVB4O/ckfpn3xKoeyQeio+sBW3+Cy4
in9nlu/9LEZAnd7bJZFJRHdDEgjvyXt3V3GAr53o9aqj85J35xTe0DGHbw5XldsJUWK5Z6yK0LKv
qjH0Sc2IQ+4MTVRnr0a9pCj8AdmvK8e0cxopUXvAgU7OHF5teYy5Ua/Ih22ek1BQdMDHilMUaB7x
3yoP6RSnNfc2e5iOacHMYV1FYfmnbqA1TPSQd3njnSYmmPi5i0L88WQ+PUEcK5B8zm4JwDZFWr7O
zZ64Dg676oYhHHQe1DeNAYeqr+blDoGaemuUOx+5W3CrDMJ5V/NlrcbQzN/nwSx/RizYm6RPIPbA
pcWIrohENMZky4OGv3eEekEmQGSo54y6mrBwmcu7idnXS2Pa/Q3RqO3J9+uE50SUU4psL+qa22mO
yzecIuYneW+dtWbfd1ESokYEmc8NrCXQ9cGOKMkxI1rtHlf2MDzEk3NeMLgQPNwLsfbHon5uh+yv
x2OQPpvMHiooGa4F5ScDp71qcoseRTJSvGycQUWPaevFj0MZdMdFuSgSCJ7XORQt185Txot8wA7S
fnvK2nujXR3oWeAeMEjSg5+ECqrAd7CqoCKEa9sKTF6bZRoH5L48LaEZOg/DUI8a7tuRKSVmb29S
+zyDAvN0t2qp9/ZgsJObHTCXvBhLLZIwMMLINgkZ8IO1XGdGZm1nwjLlJlW1+acdWjo4rW18pqJx
uzcoceZViREN3Bbfc7NBaWfQ4xbeg7fk4mU08uxDIDXH6Wb17c5MjRG8XpTexm6j4NimxXSkbDhO
kOSjc9U0xmfduKl354aN/yfPYM/muFKqk9PWtr3phMfGNi6jPFaWXHYRRwb9vV62zHVbh4hUh6rn
zBmSvCvyydYeXZ2jWTcGEnFLnauhLyqmEUv6yZDQqnapSAjsBRqbbRiZISpuktA7ZaEx/pFNFH54
uDZd9nJaNSfAKc2fKpgweDAuo3Cup+IutmT60SwzB2kzp96338/kqPLCj/wh+4GUSBxTbXEnm5Nq
eSwhn8RgunzOFqFyE3FeDQ3MScstQ/lED4Bb5uuwUTsPAmUz7+FWZU9ozdw1ERMM0+IsPSuYcUhH
c/eOITsYB2cMX33f8N+CSiIQIJdrAPbGXPxvfgE/COq4L3Yg+4K7+sShzdQkbNp0v5Dj/Bc1SnLy
aKwyw1I9GZgYt2k+J2Qloo2vcGIgG9gMQV1+LCD239yRTkDheeIE0cy9z1h9RNfk2X3Evg6DpLX6
ncUjsw5x5x5s0n6uuA8FDIPRKawbQnwiBsYifDIQDZ+I/EIL57Nsz9hmhqNJ8Ou1uSiFAhngR0D/
+sUeZmvUX0NCDRD0r/lQ3+VQ+pMtAZ3DkcW6vC5DM/4NmZ4+hGHt3aQGyKVtMjjyuq5KC/u0ZnC0
XBfjla/JHI5mdKBzan7CskPsGkxoZIs5br+WJurW0vbF39iW5oOfDja/La5iSmjLJXatMUEriNGJ
Tlaf4rdeUrqbRlvhex+H5wZTzz1Dv+SR/fe5o2UWEYBmCH3QiFNlhu3IPT4ebsPOmbZpN74afQ6F
xNVAksTKzWvK5OrZKtNqE7m5cDaqAhS3mZQZag8ripSVgOAotpHjXqkL9AQTQLBLqG3UauIEx+aJ
XvyvkOMzurf405ZQKrW5djgEF6KKbZOT6xC8vUvmjnIqK/L42m2HeeeIeI8/OT/Q2dAK4EplWlhZ
MDd0h/naFZriwiilposSttBrvOw8IlRANa3RL4GGwKDghQeTF1UmNm0weGigYcXkVaziG1fQZOov
GBlGO26zswfeRcp859aGcFNsiGnN79EJo5P07CLvmAKAFGe0ONSPYLXsLXXP/KYmez4U6CfajdHH
YqJi9LqTwuNzTHLspgCgOw55ArlBDMQfHsTB5DB1vj9yo/eie7NxllMjCGfrZ6TDeB0UbQa0URva
Ds/EdIMJAdZ7wCvLqnAIBVzHbmwCP/XId9tEY+Bt5qXurxFRB59hYkz3wCrMG6z6wHzofxBH6S3z
VO3zyXYxY5Le+dfxl2Btzw1TIkoqnZUIIIjQZ/njWhEdl3EOws+Wz/UcE2p4l85B/46tL9wYbMxX
wdBBHeLSUJCsw5DtL6kh7hujARBFKQafbTdVc3bPhZWmH9ROQKJAlJ+j2pwKvB3cEMsRhy/T15A7
iksAFkrx/oVLkLoRnXFIeuq4HOrHamFgfhMFRo92dVCfRbT4+17lZJmaw/SI9kM8o5SW93Pm//WF
Y26IH65+VN+fmBRVaxq0oVo5TnxOaWUUpNFCoJsTCtHKDzHWOeGXQE+/tsMe4LGsoydm7cX70o7L
N3aj4MGKqmDdmF18nENu0buqYY/zg5eJQ+NVtk3fnbIlpW0mlupcZmO0m6bxKSuD+cqI6m5vXwBV
o9CwqkJzqzTdDyyf4/pXGbgjdgAl57+Fp3FXoy2jYhO2OGN6jcIaNBRrufCxQo3KqmQT3gCLaJ4b
W8x03VskEhqpZdpGdk+/LLoZkEt/zZUmnlCbLptFE7l6CE9HczSwkeAw/pMJc7gi3gzjEzWbuktU
Y99kAfmDzhg/6RyeV6oexlRTQrhYb9k37N/MtmuTYMOsPEU4+uV67mu6G8VIBFQ+B25yQPkxkEIg
0YYks3pHoRFeKbPEtzJVYmKmbE3+u4yccSfIQsB8TpOMexIjkjWatGQ3E+e3660aStPgiuwuNz3v
VgvYKSdUpraLpp85moPWKGSNNNZuM5fjHgRW9ydMgzdLifiEA4KpI9hirruD6LnJThA7NsWFs4Zc
Jck2AR/CE4Fv9coCZrAm4sZHQQScbQmC9F5G46wV2CSWGIGV/wFvy1vEJW7eSo15ExfiG74U5dIm
Fc1J1JJIsLFBnhXWEShNhNcIocCA7rtxHo+lHdLeD1W1H+iLIS+3SBYj996N36YlNL5y0Q9/KtpK
3O78vrqdxiJbJy2RsTO2lHrVNJ38tkVGfSw0vA4HUn/Vd4nN+CDH5xfnibMt43Z8TxtoWcGQ57dL
PmNnQmZTDnubMfeOuCy4AniYefTm5pnRMKO3WLnNwYcre+cPXSHWo8XEzbwg9jzEQ+2aiOTppbCW
fmFIoFl8sS+vB08pzNdgbJ6TrnBvMVzX1wJlxn3qJvbjEONWpQuRZ495yg8WEQ0XKBxBcyZuFwhg
7zr9CTSDeIY+CQ+S5tz1hJdTRyhBjgbot+AayeoUwhB0QVeHWLA/E/FFEbzO8qW8rt3ReMN8n16Z
yAXqVTyOHqxtytFBNapamV7QHWpl9ocQ5MXa9ieTVVub1OYYpLLUKakNYqyMPaSiKEJYs5r8dqYJ
lEqLngGZF7h5a6hjtVGHT4XVWj8pDcNN7/Oo1HSGN3aLb9cO6vFsJuZ0YPbFdSJw4poue3vVNW0D
F8Tp1Y6GIsbr7MJvLDTKsVUodpGT1Ue37V5rL5Eb1KwJ/FhphQh1wwHCaYjFY7u4uHaphGXLLhGT
spWSMHTvD2L5qTRVEtpK/t4bwv6pqjhcs10vzk1ttgsSo8AN13HQz3dLni+PYp48etWlvvPEAQNi
5otNFb1MCyGaK1GTb+gHOLD2VWi42xaqQb5F1FTbG6EGA0sWyhVSUDMfVFpvwP5s8oprPFX8W9hx
Dq+YqM68gd48LPho6F2XFL4bIHh9de0I0T3agZNuTRo8wHnGAK+MMWy5WQbbHGk5TdPev6V50XCn
XTuFIJitOhU4WG8xhLNR12FOYtmmwKs87f9dR24hoGebB/la6thKRwrb1Ux+KTyBcICImf8VcMO8
oZfgVNM+D73x0yBI7k8HZeTsuKXhrYbC4VTRLG6Ib7Oo30J80csB8QbBEuPkog7599fzT127sD2X
+hdtuyNREf/z5WCPZEtPS7oScyofaL57NWD41Do5/jjiDhSqvYosiyU7Aor4aGDhvv/7K7jg6f/3
E0GjKiXAWY4yWj4ab/9fmTUp9sA8ytpuj+1tQkqVTtl2aRbjzUQ0Rm6JHx253y8acgAkAfvV/ELS
8njuEiPFAdSa93mlRe9DjfPMcLr5OkVH/jkPWX1bpE6Yrq14BrGVYx4+/Ptrt7Tc/n9eO0J6x8IW
4HmmZQsdY/rfr90wUP5Uk1D7LO2YocqKWeOuQDh5w80muLeR6p7zJZDfHAvBnmTC7tabqxBKTuP7
22huSGn595f0f75QoosozkXgm5Kx4D8NAoipFVchi6syfjfS++LWAAzctNPuor2q4BqHPPWqnSj8
F1WuLpLvf38Nl3CE//1YsOWxvmUgfSwhto4p+q+vdASNnCxYefcqgX68M5VN+MEi3Ee01WBuJXjJ
HZP7EQoYN3ztJa419IgG8bKZu9F9w8XlfThOese4GxBDMo39EXeGBHCiCchouSH1OGX/x60DtB3A
4bhuZmHEeMXL+/iTeHfGDV2SK2cXecPMaC8RwYmjxL/79/dq/Z8PPMDbYktpu1SVPNH/WL5M7Jl+
4Nvd/UoIfLvTmjUECcgwy8m0nirDRoqQkBnBxF52SN/0bOMQ+JYDjQnjKXpRBafzmlQcLQsIMvQX
ssOscWu19LqOkdvnjzH5AQq5plYw/X/eAVPcfy7jwHJNZqrSZurne/9Mr6W5kcdNyFS8S5zwnRFG
txz9pWyHVdIPdGfjqVRPfaGCH+5L9SPzwTK8muSC1JABEWIe6ccZTAB9hzL7Kr1BNFu9WcKNCyKi
IgC7ccts7FNOM20IRUXyDZqSMT7D5RE1VxMJJEPxNGwidKJc2KYYZziEEx8eClhTf+O1lTxzw/B/
kkgYh6wtLe7KscF3XBJB3dhBd4OvReYb1StnBlW4/LWbqrmaGGmqVS5iKbah7U3fshHfGbf96j/2
IRBjWFXmln53T9miKG/p09zjJ0IE2xbMXUg8RIEY3JUpaC2mO/C/sj8KI0C6ydLZLM9OH3VfMMkQ
Wvg9c2tmiDx6c+1I5EwNbrqVz5CvOi6tpQXQDVSGVTv0CP3rWPtqhLHw85IWS7irhpzFMWQxgkUH
gLGN17lFZKKM2HAB/adxil4PMebqV1hMwsBs7hts5vnGTovlllj1hRjayYG+KV2yBRaHwc46oGAp
Nr3tXTXeGC07wATlNiv6cg8K3TZoy3eorTnxuuaFgZo265QJS7NplN5GxtCmjrCJyoS0UGnt2pwY
LMXUIGkYsrPWFvmzzRtDxRN/+0xx1SqWXPxWo430jLwuLbniL+MHndpFC+QA6HlzwokqEOWd+jIr
F3nKbGuXBAsOgWc0MhbYIPGfzB21M59UEAs+wX7JWXNhqH9eF43R1qTr+UYR6Nr3KADS6rNIsN5M
OILUGSCNpU4XxXAChK4qOCRQ8TF21PakLEr5/39Vm+3FkmQE9AQ2npqRjfSNtJ6m0q5IZ4w1vz7k
oYig44N2Mx7hzevAATJPcahnTAawqARoZpaxRuBcjuhzcZ0yytzBs7AI/QB0b30xw0KuUo54m44I
4s3wFiCId5zYSsdDILtkWYctGOON6Vr9Z9EDpF5HxLMeSMJ4muPcv836Ocs2jaCvcM6l3/fbWjpu
tUMSiF2Fb9M4R6nKp/0UQbqTqCuoJtTo3EEcQGkjexf/eYjHaFS2D6EGIRlI5cuDzJyGjznBDGQS
8CAbkIXmcu+0YN9WtbdIsTayFG3jyJhQtAOaUSw6Rd5szJiybSMxl7xnSLCsfb0sKHTA3iKMZuLk
sG7ClC8fnO4YA2MljwIgX4nOkUMwJTBjHnGTRKyZI9D5mElH0yo4ySRhRzDiyN1kgYs2uC+kPjtb
h3QsTQyGFj+XWhV3ETP9+skUgCYUwCia8Uzj7UGsOCyoUzG1o1CrZ8xB1ICiZQ6VjIB3JK+LgSHX
2JyoUJRhCjH2RhX6YS5mqGwPU0nbLkSZc/X7mnkhrHuT/8jkVyjeBdUly4YcbC74pdsZyRWg6vkF
V05X7cU8YG5wL7YCH87GV+0orkTjWBA/58wLadBt90mgC9Fg0NY+aNwu03rxTU+CC2o1e8W12RF+
JVz9AKB2b/hZVu0DJ2kevMKS4TYtl+UjTdiCsPA6EBnS3uzVdrTa0L0iG483SQ1fvFY+mU0bv6Br
DgHD8nZlnjQMULTkYNUvLfC9xSjyDVpRE8ytZUxfhe3D7gHAJK88lEPRJgcZPmCqj9BPIytrYHsu
s3sqZtncW6qpjm0R1yeDxdusTNxmZ09EFnMVREwkCDqx+sKXHT833RBgN6wNeWVOQRpf2RclJ84v
Vg0pfOwnv9rypOe5XrvEWwNEFnNyi2h6/O45BtwNasbQWCc9QM4tRnyi1swJMfkxAL4gQHuG8gi2
ny+qg9pNr73mWzXNqrIPTGhUfWe00HS2RSR688lu54ldnJv+tbQMkGKpX8+8YiolXBldwRd9+Vvi
3kC079EEQPIdZdQgUC+IsFkgXw0bKwlDOpwckzciJp53QwwPv/Q/p4Bw2XFg02rJpFDsGuVlAc4X
L8qvAcV1x2QPeyhjWyAJd4wBe91FMqU3kAo7j7cXZWxbtQkjEihT2O0i9x6tSn/rwJW5wdUfXs+L
qb4ux5uoQw9vCB2zBp1DzI7bDYngRCcVaI2Zy1i71kxrtxsZ+ohgYWPv8xRwAViD/D4P7PqcUP68
/Do3Aw4QtWYWS2hig5shJKrOLsZjgc6MqSLDHLS4bcHzYUlEIo9Dxg33kVE+1R07AFIa38urze/5
NSNx3Oet7f+opfPRC9EvI9J1NA5lL+g3kBvkbfo8Uj+tIKtRae9Ag3E+XEVdueRbEFcZYHKEtijI
YkvMK2wJNhQlQSuAZjYNImpv88Xpxuo7XAIHU9qcjX+nxGRoKEITbel4MRV4Xuu+l1RKUNXMqPhg
+cPeABD2TGMsVNc93ocALUZUbGOkkedLPS04j7Md/U6jAKRmW3skxfIPWqj0bLhAydEIpMEN/DvE
btzrh3fbmwvAHU3Uf1ISwlSXrj0tu4b2MJYpt0ANO3hFFrD7SJceDCPc5L4YR8qHvHblka+FahJu
GftehwqB1aPNUmPVW09oH70Pv6Bbuo0tEtw388WI5ect65NlPLzPCXd82zA11RJoTghC1C6tTwsV
WHVA6lJihUX1V19hdxygVAoOp9bJHsAZdwQt+u1wDywOeWE3xfpRYIgj1jLrgaMYER0bQ0z2m38R
BjeNx7OBuJqXa+YF1qbUy6Z+NVextbVpI7z3tEufQB4mGyfBY7MaSXS6cd1pLNdklLjySUmTD8XS
llgsU2HzMaMOfXZjN1+IVVHDdCvS1MYem2ENQdUDY2TDJROQidHjJ6TFGqLTt2pIVEdkO2jya2cO
7wOnrTZycsuTIa3ppjCCyOR2lGMWbYDkzTsUjWrfL/wCKOVTektMC3hl3E/2yDxb215+D8vIbHU1
o+uYLs3mP7TNip8Sy1JyDuyxyjdZNyOXnhg0VyRUMA9czXmKaisHYcZ8HP13tsGtRFaCoPsgdxy4
3fiENzL39oyl4HOIpsnVwaV1TNQ8Ttsb4lQ42jpy+NpDW1jRZqLPgi3YczIrP7lt4uUwKnqQjO2C
T9bjAvX960UyQDKd4XcwWWDcCnzYaPmC8G3ySeF94jSNqiQ7oxukIh8NLLiTnAsfBnOfGZslnf3j
AuXN2WR1OYi/Ct9nT5qHjwJjGGNw8UGHRWtFb4M1jKKQVKIYlgUFYep8T5TIBE5aU3sTVbFzdrxu
eOgbeMpbSH7+6XczIPEKjXYUo08EtR7ua9328Elv+Iu3M3ZPHkqAvekMbDC/GvQhKbKDa2st28gE
bD0gMhpWBiPCeAOmXn6VoE8OnDRBtsdMQZ3mSwfjlxe11GD/sS0tEn0BaRzT+be+dX4tUBdLq1TI
QwHTQQQ4QpQnt7tOMXttg9Fb6DtKpT6w1/EJdlZqEG042WDNCVrA1VjHCwwZE6HNyo0WrgJVk7Lz
RoPi13FVktBhMJzf/jqeeh6Jt4FFmq+FManwqraDrN6g6ed2gsIr+tsgogiObF7iiVk8zifb7nWB
Liw2AdvpGdMlJR2cvdXTGmDyDQZnE1t+N3OdRmGNQk1bu9py4WOQtBv5oC4mZcJfdCGdaVBA044s
78XWzsUafMu0M/XPYwXRzvvEHOdvHuVYbgu4bTFo2LH8y71t7J8dr3UM8jYsDitqxRhjpyFHy/5E
qPf/2DuPpjiyNQ3/FUXvk0h30kTc7ogpylF4gYSkTQaCUnrv89ff51SBGpCupB4mZrQYVkBB2mM+
8xooB0UBd81r4afNrR2X2TNl/jCgSQ70KskhNKCvgPjILgDAoIM3mNQtVA6TZupHJIG51wBKt7lO
d6TWyQXYbpU6mUAs+RCUZxgWfVPyj6bj87zbUGLMHRJqMOI7+lJbyEQr8m2ZftRGfb8Hk7MO59lV
rjlcit2ZvE13zwVCvpBBm3aFv6iLUB5yR2zMC2uAmUq8kcIKxZGwWIMZIjGJKoUo0wqMTJnnMAAU
+lNlpVyJmk36il4N58VSKTSvY29gacN3id/oGED4C0GjDqFGp08YnzjGWxghl4gizZNAV/AsIRFT
NhUesNpRZQXM3wCeSrVoDUKeUzIWvt8vuZg4SCB7E7gnFaO6PktLWxanRlULw0u3G6SvWh5LVjnY
Oy1aQgZpPu5C4/1YcpS0SlZ+VxTRh1T4jBOBMOSwxBYXf7ApqCH1YQhEDihYVaEO70aU57T8Bqwq
qaNvUaE+xBCEEGc/ovYE4j01kpYfb95yFC6TzFc9Ny14lrCniCiaW+RkAc+Q9Lh9QvvY8tFKR8db
fNArAbWClQl2BCKRPFGai6V0RC7rCf5uvROtUGsqrBd7prJLfxrYxhASOUfIC1VzxotUsNAtM2g2
IwVHYwWXEH4wAppcd97XYBb9oamBuckFwSG+Y24DEYMfaYBvWQxWzXEKneB0oXqSLegjFATVBBdT
9hd8FenkwzuIj4H5KeVNB54eoimiT/7CA7tDkzGLUdNM7V5qG/kYMmX4d3Q34D7w68YcB7BCXLX+
ieN4RbYSRIVYRcFdOifuBQ5HgSkhN0+Gd2gWOR9NwGSnkGh5ojtGJz18rsMwaUAu/R3Ra0Cbd4k2
sZoujDhL5h3VwO1kGcmmJydHKdDNcVPIrCDD3yjVCCCRCaYR7TYADCy7I6XPwOluOmgM2rwiGQ7O
+xYuzLyk91Ijif7Jr3tLwf4w9bfwFfQrlBfNbp4PSM2hst1pSJcrU/1BHQ2WmDwH+L0wNIdnOrWZ
KD+Dy/IuJ5v+FL2UAVNwV2eJrHON4QNsnu9VN2PpKrB+gs6Td4i0zqDt9NuRalO+GIB11GcJDPB5
6xVkmoImFRszNR9UJnb8a8QKuWB6rMz/MQwptHS6XktsCHM+amjRn0PzKINzNFAZLDHt/rck8JRE
GlBJUFEr1Jq/aF6Fa1kHQRnruQBCGhGU5UwUAdQ0ooJnt468QViAYJ/opxYbiUAdPvV9xDLVFJKs
iQsE37uyRT0L/Wga4VDhYoc0yS6y25NrcwwA74FFQwami8YdoQrMs9xF7XpLqezh4aaTikSA3oXN
lV5SyphVgujhkKU5Cy+9LGCOK5pUWZiKcFDOfHPKioUHRbxY0KLP4jl8n/q+rw0Gf6QGgXldaFQL
Lp3K4kaErbq1M09buwDhitIb6Zgbh75yk0+YC117gmH4wQ8byGtmEZXjKUgrv7gceanxNs14Tgvo
33KOQKDDnbRruuGM4r16pYo8+wCxVD4uAgCKfRbk+isIoW08t0Vmv3WwBWmWlVVZ0cIDEx0eGkGJ
lqoBqaY+9ApNpereZh4apE2zNBwvP/VjRCeWajxi87evxjbsp9Gq0aqgRXs5QgWFXggBUFyN3WeU
1PX6OBxz1jNtiHlibmywuOw1BPZ50r6Ug6pcGn1R0QDlbanY0sH+bjPemWiavnyP6x90//2c87Ia
zZddgaqvUkZObUBZ20tD9DuhgCxDYmOhKybxa7Jjc0Gt4+XGFF2C+X7sq7vaoZvaBB/4UfFKNSAM
HpuNzCMjRPi8mzyRnj4GaVB62OmKnPX0zCBS4feATf2Odb3bJPf6GJTlOMz+e2gvLFko5MjBn3nD
eE0TyFehOIBRX4dNY/hv0fwS6mE0ZkVwbtcNfBZ0hka4zW2B9cWa1iUsWh8VTW2+H2JuPrE+RDne
cw9jxfdlaFL3ZQvRn9ovn0ZmfY/aLHufSUSB6IEsQwWmxV3tKXu953FXJZw087Tvre7aHyRDdD8L
kXOXYzlQ2TlYNEPcc/JgKvY9sf8XFPupoJhq0734oaDYm1nVZnUf3sXPRcR2//kgImYZmJUL3Ya7
Z9DD0F1kvPpt3fz5B+p0B6rQLQMaHO0h4FCcL4MaGPz5h+kcqLZKV5TmlYr+mED66lFEzDxAEBV4
0+MnrxIRQ9rM1mz6HDqNT1u8bHZ4EE1slKXqNQJd4lxkVvbBBKjIMDYJu/XRHN4NtpLfPnlSkNtl
h/dN1qYXeZg19Z9/yE7g05aYbE6RYTic0aQvtjNXf9ISS52u6swgytZ5q38x0rr/BGkxXGqxGrxD
PSD4iS34y9PxCGlMWtiC26iEUGd53oFLtbDUksyN14loULbW6emsJ+DLJ2NYqhsPlYv7H9/fS2k2
XaWdQw1b54yuAD74/IQ6ZKs2rbx4LYaiX4xtUl+R+ePcG/NLRD0SdxVopf6Tdvq3t0kRgSanRe5m
ad90O9E4NJpSFAoOCT3keaTDDneEcGJH5xoFNrH8yV2aLzq+gvoU53GRJ7AwqaR7/vw+i6KrqG7b
0XrwC+sjsToWIkFQnKMxJtZe4cQFeEAQT36LHKIBIAoOV4KxmGXhOKe2FyZxFRAlzz2LEyWKVpTd
9EMQEOZmdBXtGsFx1Kq63SIYaIG5oSOVvEcjF/BSUyMypFM1mOdaxDoYBKV7ApQdL7iSX0aUJtKZ
Y6XFOZoSYm04VfKevp449mt+l7Gp4tYBnuJUUM5ZGLSKr9VSGRYVJkCrMNXdYVbBC76G62puwCQG
iJT54wW1DoD1rodCdtqa4li1XO1alEr+kVJIPidtKc6roS6WVg6qeRmFmn3JM4Q9QGwxrzrePFm0
cRSC/IJwyDXnYT5ceEg1oGIsOfZWYm7UyTY2HZalc4yR2EEItcLVOPTcEpR1hpDb9N6pB7x2iXul
eWTLCmkUuLjLpo6OCN7Avt7MUDnPrybbI9qgbZ9+mXysDuHl6j2SE40zLzOV7XJQRwsAFhhnsOBo
V2Q543eVEVm/h4KtjccjceJNEoZa/k7V6XssYsfmGmDrFhUosTIc5/jh5lc+iNtpMYY9e5ZVUafq
bU+1Z4bXONjQD2DF2Ar7/hJTI8K9qUycywmVuMu9/Az4SJ55MqQjqZsor+U8viSbKmhmKJZ1XQm7
o4TmBs072wbH5/aNdtzhJbCERYu4U4te6EIpSLJByqbY0hToaWxapacBmhs1EWBsW19EndnXPRXW
c81V8rcIf7HFR0F41YwEoRDx8p7KQYm9adpP5hlZH77IYwJSJymwdFfsLH1P8IuPjjIgak9Xr6u7
lYMs+rYPgaSROqTEBiJCgV5TKaEchwkkn8MCAky0QmnYvVJ1H8C90ufVh6jUBiglej4fSeWQNDNw
XfJKIth5lwzO+yzECGejkSlvJi+DzYvDkn8b9Z1yX7uhvuhb13qv6yp0tIak3aEdwaB34RwswJkT
mHWiDFdBRAMGZNWo3KtaZ35QK3NYuAhzX+oJqsE+sscrBox+6OGlcA4Sx8EmTteuB3RhseRupMoF
avdYR/d+nl/1mqW46xr5dYgHOaPPSdPhouxLRqdVVMTdChI2F3U4MJfZGgnXFMq+mmkFZwhWFueo
dJGB0+sg7NKMXqwbyzQ2o9Exf3CZmYNdFqeam+lwpXv3nDUPkyjXSanf2zne8+ipXKUi+RJWTnNi
JkN+Ytqp92kSMZkG3RNxTEJWoHVl25dG3cTaRg3kZaQFrI3WqAsTd2vAybOuYK7j/UMm29uFpa12
yyVkgPAscZrhwkWGbYWxOkFZyF+mKhMXXoVYU+jNYRUPpGTOiOrZYkCkDgnCeGSkVxEQHkzl2vLy
QT8ITgIaEhqzWSudy1TiICKR+rgYJDUx4V5xCF8eY42eu04ZI5S1rCFN0hOXFJ2SHaYSqCEV50Gr
e5882M1XoRPh+E5o7LCLFUxBTcAiOGycYFxUBuuKP6FV4FQqrLNOr+3LNnLdTygnsxhE1uR+QmYS
qLplj+1a1KM4VhzcS5HTxdsdxUpLnKVZoB+hwmUdeX2pfp4As9/ojW7N4N46IMiErKPoGgyKue7b
5k3fxPbaA51fzMxOhVoRaQlzE/HNXUOa1VImwGrOs3CaHE4aEQArjopUo+31jrZyC7cYSAxl7RER
nHGOph5rWZeNNHYwqkYJHaVoFAcVhhUlImL1hdZLtd9YZ3BSvJ1oeDRdYgKUGhkzXkvTCI4Q4hXI
vlFcB3nR8lrNoflYocaHvZ/rrEDyhYz9GoowwAQf+n7Oux5oN87MSOOajSDv5kFXK+eTP4bvEl/K
jJH70sqg6HAytANHzrRKHNvFToiB2AdEqYCqP0MbpDumSlSiZdZXUHRgzvVhsqlCQG0wgUJkGNJw
Q/ISzbQoP6+yrqDjA2dIpBUagPTXF2PSu0fjbllv62A6ZD93lyZqa/NOKfN7L4DwY0RT+05nZVg6
UPnB8yOvN5S92HipdDntYDIhsFov8LsIF4E5RUssYfBCH3wTHovtbNLQUa4QhGvf1aKN1pPh5rNG
n8CLhXgmzVCJjGZQ92C9UQZh+cLu976VyNosaLkvm4+JqJqNAv/rRvG79qjzxmhZTcm0tF0vOkmT
yv4UWQp4Nui+c9UOoYJ1IlXfCgvmL7oA+coEaGfOQS/DlOmF531y4jr+iCQjbmAhEGjwu58mVZ3e
1q0HiHsERFXodYBQmRZRLERxmlowRopaW9N9RIcIAUPvFF6qJusCdn1Oj8JXVgrE6fQIGf/0xs3z
tD/2vEzpWX2Ryjx1DNsIyUhHVgxUGDzkQeKkGuYUDkLUKUwaQlAuXPWoKBLg+KMlhWik+EvlIFHF
WDNtWmAZxRNBBj4rw6xHRIVm5EKnFbF1KbplVAO7YDNFNFysCeU9Z1DM891gQuMrU3jjEY0E2Kz6
AvVbagAR1hpO28dvvWQEy4XxKgxGKFPuid2J/KQj/TtuUC6B0OwL9aj0pOScyqsPN21VVMd+lZir
CXmrCygBWbZWavSNVqXTosiRa7GCAr+F5SmZyhHw6uhdzB7kz6SlG3wbozkGAxr4KIDCXI7j6Uio
DdoYVgCWif5acKpRqjvSDY+6QiPMY0C8DqUuzAVmjdKJkzEBHNtCDkqwlestMA420j6lBfOzgqJy
OmgqupiaeTfyHYQAZw1y5H1f59HSGexobrptcTyIulwiPPSFwugN8KjxwjRoox7XOHGZsxijRSLO
wF5M6C8xEXs2UkzqDoEVjjMsZhmf6O2Zx00fwFLOkOztLDip3iIJWhNFtSjEtAiMmuKEqz4sYIBj
O1KddwM1zoWHs3hrAwfoKa9QL2klOMvvLlBfCJHEBMiGAOhQDldtJdQVRX/tBLIUUvJJgtljKQTy
ooYOyND00rWKPc4Z4K34JkPdPY/64sxp4NkB4dOB1ti1ZOgaoU7MESVNsG51NT6m/GlvYsqNmLa1
sYCChWOTp4QIngy5OO0rjQGU4kmHbzpCD/D922w2wB9ZWFWcnHR9J9YJKkhSscRZINxrfvSxcURE
YkOI4Z/Ump2gp2L0mzassTlMjI4KIf9/G6MRsRlwWPvYawHMpQhfsxn7XPsRzb98aWhNdJm7isNe
XiXGpqHssgGfZi40C0IeC4dlb5UghauWB3p36gvFppJabhv0IunUTMHHKfdr/GzAJF56yA1hQWIq
w1YrgebNE0uBb2uOPQ0G3r4RIEJjpRp4LprsDhy6aoS7CkN9A9QBHUWjPIPoFS4hpjZv85G5NCEH
BVu05DV2TNu3crelT0xt8h6CXHFIHc//nDSjcolkfL6lujUtM0UxTgyVaT1DL0qlNozvAiXa9Low
KzEbhsm5dSyLPoWHYBWoIFQNEIvAQ8iP1PwKuSixhB2cTCAd6R6wznv3+Iy3q6npw88WzZYj02ts
pJrBe4xyZFkTxgkDxDWMl7o+WxZBXPJmgD+lDD0WQ0qPNBnznBZ5ea1UNfptiCpBDMkPG+TvVrDK
8Eie9KVXkd0mDogZT6Um7A/ANow8OB5bNz92NOMcbPVdVFvpnRd42aGC4hGaLa1xojHRF5UzhXjN
K4azAYiUQnHKzHloDyZxvaiWBmpMeNaKvpzDgtBO3Mm2Z6Vrf0ILDEQRStUs5LG5BKiFCqoyocof
VkXywYHT8DlkitSgbhp3XZhdBd8HYPnhCHL/TJGcZHxo1UvafRkLqgJh06/MFYbD3lp0pXOh5/6a
9qO6pSmlvGVQo/mcVpoAnIhMsm0l4wJUsjjuG1IpWIoY7gDXvzHbipTfQkgBtWYxSNOoySYyxriW
5mhf6/pNSfEtpf1EaLBTbeuCtjg3QOh97EIyOaVChxKXoI5wp4yEWOcUG65D0Jv0CY1WPyzQSZgj
rFCgdL2r7Fp5sZxyck0jIdox4sC5RHc1Oczp8V7lhh1OFPxSsCAQwaVQDpB++2iMh3L+4wRdk3WG
J3UWmZ/rGlB2FLF1E1Cu+jw/x7YsQbsDl7Aob/obiEU6LRiHgKmz1c8FqZB8lxEUnQQIxgx2RNXM
DJ7fWWaIeKOabiD1gvoByFCSv/3xxX2veGAIVTXJTyyDwswLXHQ1DdCsmzhcNxDnMCTE2Cub0xQl
jdDd6AvqrPV9NpB9G2wlC8zkUNLTG+L6FgRYYgwaIJ52GMExa+DGCsP9FOUm78jVMyTAA9qHltUa
Gz1NULvMXAMNG0oINI/NTcBQy2YNmHG4Wc5wAX9bPww8Pf2yCzZ357I7/tDCUprcqCdoDv3YzFCX
HMgWokFxWUrBOtqgdgGi7N4x/pM5um+jWKv9ZP8EmPyiuCNfpSHYfy3Notxi71DLT0tmAHEdhege
bdcJ1TeXZxAFpCLUWDo0ErnJn1R3XsCg5QkpTJB0GyrVxm9qO1ZlRDSOIZd5Mc/X8UZ6Hzu0GItt
sdQcP6VSk2q4KduDffrjsfGdmxUUFSgPWhSXxMv6GUpAGArLvW/3/lHIr8jEjeSclCY/7y30R3bn
+18rcssT3QGVrEI/aOq//vVw4vltc/vsh0XWhM142W6r8e22hp//17/4T3+by7/81Q/fbHdH+Vn9
msCQ5eA/168vqjC7275Z3Pe31f2bo1oaYzwrY+8P8FjG1g4Mk3YLY8+klG0aDJfHMjYFaQYnNUcB
dQWmAyyfxzK2fUALSYPkoyNaIf6uYYsDhwI2H4CzB2jP0R6fxEP1mIe4fzLfqyZ/wzrAlFPnHLbB
0Rgu0ifiydxg/e6xGUQOy7XGZvoQZzLwRjFYmPVZSKalfunIDUzg6+2EmcbMp9cdoOOGeZZ/NOZ9
q1y0w9SvQRW01BOTpDHUQ13XY+cOsImmAlwgpltVSEJGUu2KjhpAfGTP6IYayWyKLJB2vhLjDlWR
qmeHtFmlmFFdNf6CSCwsZ6qFERyaUw0yqjMv6FjwyjytukMMiEfsk9CqOs4xK71tSPEIKdUo5kJC
mMkue8pI8DHE9Zx1x0zINTsj2ECKCJuzwgHEn+qgxiodQ1AHXoS5cPwGiBa3VS0bfC3vcQGybsMU
ajbOaFOurzG5bqAjj/BbM6RK4aMNMD2JjAlnw4K0MZX2hJo9LQFJ04nPByWuh9lAdxF+wRSGLZS5
WvkyNc2IiCHIFIp00lV9ldq4a0AxyNGbX3ntgIdEBxEh2K+G/9MTdrXNz27Tbb2bkF8n6H5Kfv3x
n83XJ1P7mwn7ddDK6bzrfVzn/70/ehz93z/QL64AKhzaFyvA7qJ268+PjpHcsky191soeuYB67+g
l8DkTUC0Pvxece0DcAQqkGtX3X3xOWvNk6fzn+7/x7f27bL47XF+dOn7tVGyC3XDtthXni2A//T2
ad4JKdIn73T3xcry9ClQyDnQUJlDSXG/1v5W979jD77q/gUOSEBPWFy5vac3bqkHusHSTtvS3X2x
Hfxmr/87+98/ff2mdYBqiSHg7O3vko3n2VMwDlS5HUKg/b99Cnc4WzUypkASMXu6iRtc8a+MgBcH
+HsBsPQDwRyno0ioLr9oAT59BK60tHIAbgqarA+f/14DgXKdpFz+ylO4vU+lSFzd4IXbcJ9fl0HW
AVIUm271w3Cn4fv0KWiGOBAasQ/qdL/bRJCU01fePruAsF7uAJouDjTNgu6p/3b3rEMPIwp91Ts3
xYGqGpqFScv+68XaL8cENFEGBIPh9xrymio78a+6e8HLlakfVO6vS9uzEa8xJjQNdMNDlvEb7Xwm
nYzX3r8lDkyVXICRtH/7DKen98+6p1omLSsNHWj59fvt/yREr30KTHyTYUBiZe7v8sVT0FQSOawM
KW3+fvEfa/H+ov5Osf9pACBUYFgcxjYf7v/FGuBw+5LZL2QhS36xO/5eSwGVImkM+bq1gDBHRejM
pQCw/3o+F2z1gC6uKRFdXz//zZ4CC9lrN0GCQWpSBiWLhxn/YixY1oEE0lmoHuyfwj+YEb+weH7N
LXEkSe53WWW4rZ+Ukn76B4+J17cHeEioZNZEwPjs72SVaX/kfWYlf/7rWZy0y/mefPiYA+5O8/Dv
D/f37Zmfnevxph5/uQ631W11R3VjV/B6uEqZ0P/5x38ln7dVc/s01t3ven9fyZ9/PLvOJ5PgRwee
oVwe1sEbPD/b9HP47Az7UOq1Zzi9zcIm//zsyAAGZa7+2kNjcvtjTOp/rhx+XSF+9HD+kYnua88l
kbCyxPjmeotMYpNXjPfHR/QkwX/1M8u72zdXd9i6P38j+xDytUc/z5rbKsyfXfd+Y3rtkX+1fvvK
18AK83l79+z691vKa6//6raOb5u7YNvfPktZZSGXuOW1h5fGrNnXoTM+HnC3xu0zwtee4azNbruW
PHF/IHnkh8jzx0f+3mL4tXL27RL5WBH73r89X/7lX9wl29vqr38DAAD//w==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20321</xdr:colOff>
      <xdr:row>10</xdr:row>
      <xdr:rowOff>38098</xdr:rowOff>
    </xdr:from>
    <xdr:to>
      <xdr:col>6</xdr:col>
      <xdr:colOff>579121</xdr:colOff>
      <xdr:row>52</xdr:row>
      <xdr:rowOff>172719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8C095F-64F0-2362-0A15-B41082789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18583</xdr:colOff>
      <xdr:row>10</xdr:row>
      <xdr:rowOff>22304</xdr:rowOff>
    </xdr:from>
    <xdr:to>
      <xdr:col>22</xdr:col>
      <xdr:colOff>579120</xdr:colOff>
      <xdr:row>31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F0792-4D09-53F2-0109-1697984A9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13138</xdr:colOff>
      <xdr:row>37</xdr:row>
      <xdr:rowOff>39414</xdr:rowOff>
    </xdr:from>
    <xdr:to>
      <xdr:col>22</xdr:col>
      <xdr:colOff>578069</xdr:colOff>
      <xdr:row>52</xdr:row>
      <xdr:rowOff>170793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0770A0-4A0E-229F-7129-41184A701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589471</xdr:colOff>
      <xdr:row>57</xdr:row>
      <xdr:rowOff>28755</xdr:rowOff>
    </xdr:from>
    <xdr:to>
      <xdr:col>29</xdr:col>
      <xdr:colOff>0</xdr:colOff>
      <xdr:row>84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644AB05F-BF7D-AC6D-8E26-B3B35F07B9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8671" y="10666275"/>
              <a:ext cx="16281209" cy="4909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46A27-CEFB-4B85-BF55-ADACFB99F785}" name="Table1" displayName="Table1" ref="F2:W500" totalsRowShown="0">
  <autoFilter ref="F2:W500" xr:uid="{7F346A27-CEFB-4B85-BF55-ADACFB99F785}"/>
  <tableColumns count="18">
    <tableColumn id="1" xr3:uid="{6524C302-A561-4BAB-BF3E-91A387EA7FBE}" name="Age">
      <calculatedColumnFormula>RANDBETWEEN(25,45)</calculatedColumnFormula>
    </tableColumn>
    <tableColumn id="2" xr3:uid="{7BB2546A-58F3-4672-A827-8E6E41499C1B}" name="Column1">
      <calculatedColumnFormula>RANDBETWEEN(1,6)</calculatedColumnFormula>
    </tableColumn>
    <tableColumn id="3" xr3:uid="{314B8C16-20AA-4103-A7CE-37873BEDB105}" name="Field of Work">
      <calculatedColumnFormula>VLOOKUP(G3,$AI$3:$AJ$8,2)</calculatedColumnFormula>
    </tableColumn>
    <tableColumn id="4" xr3:uid="{74C437DF-74B9-4CE7-A586-49B21076A330}" name="Column2">
      <calculatedColumnFormula>RANDBETWEEN(1,5)</calculatedColumnFormula>
    </tableColumn>
    <tableColumn id="5" xr3:uid="{A9257CA7-20C2-4C37-A836-26CBF1B841D2}" name="Level of Education ">
      <calculatedColumnFormula>+VLOOKUP(I3,$AK$3:$AL$7,2)</calculatedColumnFormula>
    </tableColumn>
    <tableColumn id="6" xr3:uid="{4C6C6244-1529-4DD1-8F80-3E38193A65EA}" name="No. of Children">
      <calculatedColumnFormula>RANDBETWEEN(0,4)</calculatedColumnFormula>
    </tableColumn>
    <tableColumn id="7" xr3:uid="{CFE72AA6-18BD-41FE-BACE-3251A8380F78}" name="No. of Vehicles">
      <calculatedColumnFormula>RANDBETWEEN(1,2)</calculatedColumnFormula>
    </tableColumn>
    <tableColumn id="8" xr3:uid="{3D8DCD0B-FE99-4B62-86F1-6C207D811A8C}" name="Income">
      <calculatedColumnFormula>RANDBETWEEN(25000,90000)</calculatedColumnFormula>
    </tableColumn>
    <tableColumn id="9" xr3:uid="{87439977-D3B5-4AB2-8B60-94EED5E38048}" name="Column3">
      <calculatedColumnFormula>RANDBETWEEN(1,13)</calculatedColumnFormula>
    </tableColumn>
    <tableColumn id="10" xr3:uid="{B7944B74-56E0-4554-8A82-95FB0695B297}" name="Area">
      <calculatedColumnFormula>VLOOKUP(N3,$AN$3:$AP$15,2)</calculatedColumnFormula>
    </tableColumn>
    <tableColumn id="11" xr3:uid="{C82D40A3-8F3A-4553-B4AA-116BB77A10F3}" name="Value of The House">
      <calculatedColumnFormula>M3*RANDBETWEEN(4,6)</calculatedColumnFormula>
    </tableColumn>
    <tableColumn id="12" xr3:uid="{4142B416-B5EF-455A-AEDD-97BF175AC429}" name="Mortage left">
      <calculatedColumnFormula>RAND()*P3</calculatedColumnFormula>
    </tableColumn>
    <tableColumn id="13" xr3:uid="{93CEDFDE-51DE-4B10-921D-F8407207AB1A}" name="Car Value" dataDxfId="0">
      <calculatedColumnFormula>L3*RAND()*M3</calculatedColumnFormula>
    </tableColumn>
    <tableColumn id="14" xr3:uid="{DD1A31FB-BB3A-4247-95BC-EE24AFAC1289}" name="Car Debit Left">
      <calculatedColumnFormula>RANDBETWEEN(0,R3)</calculatedColumnFormula>
    </tableColumn>
    <tableColumn id="15" xr3:uid="{5608451A-0545-4E4B-91C7-7E63EE347AF0}" name="Debts">
      <calculatedColumnFormula>M3*RAND()*2</calculatedColumnFormula>
    </tableColumn>
    <tableColumn id="16" xr3:uid="{1879884E-99F8-4880-97AF-486172F21DF4}" name="Investments">
      <calculatedColumnFormula>RAND()*M3*1.5</calculatedColumnFormula>
    </tableColumn>
    <tableColumn id="17" xr3:uid="{D1113083-886D-4BA0-9331-E99966764D53}" name="Net Worth">
      <calculatedColumnFormula>P3+R3+U3</calculatedColumnFormula>
    </tableColumn>
    <tableColumn id="18" xr3:uid="{E5CB9E2E-01BC-40A8-8439-64BC867146DA}" name="Total Value of Debts">
      <calculatedColumnFormula>Q3+S3+T3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183" row="3">
    <wetp:webextensionref xmlns:r="http://schemas.openxmlformats.org/officeDocument/2006/relationships" r:id="rId2"/>
  </wetp:taskpane>
  <wetp:taskpane dockstate="right" visibility="0" width="116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02E1828-6897-4A86-9811-77B87E3ABD11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E6A2D73-6FF3-4C34-A077-3A3856C0692E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BznZc9xKTU0lkMv4bXkl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013ABB00-9071-4AEB-A42A-9CA6A18FE17E}">
  <we:reference id="wa200006009" version="2.1.3.10" store="en-US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D1:BP500"/>
  <sheetViews>
    <sheetView tabSelected="1" topLeftCell="BJ2" zoomScale="87" zoomScaleNormal="55" workbookViewId="0">
      <selection activeCell="BP3" sqref="BP3"/>
    </sheetView>
  </sheetViews>
  <sheetFormatPr defaultRowHeight="14.4" x14ac:dyDescent="0.3"/>
  <cols>
    <col min="7" max="7" width="0" hidden="1" customWidth="1"/>
    <col min="8" max="8" width="14.77734375" customWidth="1"/>
    <col min="9" max="9" width="12.5546875" hidden="1" customWidth="1"/>
    <col min="10" max="10" width="19.44140625" customWidth="1"/>
    <col min="11" max="11" width="16.21875" customWidth="1"/>
    <col min="12" max="12" width="16.109375" customWidth="1"/>
    <col min="13" max="13" width="9.5546875" customWidth="1"/>
    <col min="14" max="14" width="0" hidden="1" customWidth="1"/>
    <col min="15" max="15" width="25.88671875" customWidth="1"/>
    <col min="16" max="16" width="20" customWidth="1"/>
    <col min="17" max="18" width="15.88671875" customWidth="1"/>
    <col min="19" max="19" width="15.33203125" customWidth="1"/>
    <col min="21" max="21" width="14" customWidth="1"/>
    <col min="22" max="22" width="12.6640625" customWidth="1"/>
    <col min="23" max="23" width="20.77734375" customWidth="1"/>
    <col min="28" max="28" width="15.109375" customWidth="1"/>
    <col min="29" max="29" width="17.5546875" customWidth="1"/>
    <col min="31" max="31" width="16.5546875" customWidth="1"/>
    <col min="33" max="33" width="9.88671875" customWidth="1"/>
    <col min="35" max="40" width="0" hidden="1" customWidth="1"/>
    <col min="41" max="41" width="3.6640625" hidden="1" customWidth="1"/>
    <col min="42" max="42" width="6.33203125" hidden="1" customWidth="1"/>
    <col min="43" max="43" width="11.109375" customWidth="1"/>
    <col min="44" max="44" width="7" customWidth="1"/>
    <col min="45" max="45" width="12.88671875" customWidth="1"/>
    <col min="46" max="46" width="14.21875" customWidth="1"/>
    <col min="48" max="48" width="16.6640625" customWidth="1"/>
    <col min="50" max="50" width="19.21875" customWidth="1"/>
    <col min="51" max="51" width="26.5546875" customWidth="1"/>
    <col min="52" max="52" width="28" customWidth="1"/>
    <col min="54" max="54" width="45.33203125" customWidth="1"/>
    <col min="55" max="55" width="22.44140625" customWidth="1"/>
    <col min="56" max="56" width="16.88671875" customWidth="1"/>
    <col min="58" max="58" width="47.88671875" customWidth="1"/>
    <col min="59" max="59" width="30.77734375" customWidth="1"/>
    <col min="61" max="61" width="14.88671875" customWidth="1"/>
    <col min="62" max="62" width="26.21875" customWidth="1"/>
    <col min="63" max="63" width="13.5546875" customWidth="1"/>
    <col min="64" max="64" width="15.77734375" customWidth="1"/>
    <col min="65" max="65" width="65.77734375" customWidth="1"/>
    <col min="67" max="67" width="65.21875" customWidth="1"/>
  </cols>
  <sheetData>
    <row r="1" spans="4:68" ht="15" thickBot="1" x14ac:dyDescent="0.35">
      <c r="Z1" s="25" t="s">
        <v>44</v>
      </c>
      <c r="AA1" s="25"/>
      <c r="AB1" s="25"/>
      <c r="AC1" s="25"/>
      <c r="AE1" t="s">
        <v>49</v>
      </c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3"/>
    </row>
    <row r="2" spans="4:68" x14ac:dyDescent="0.3">
      <c r="E2" t="s">
        <v>0</v>
      </c>
      <c r="F2" t="s">
        <v>1</v>
      </c>
      <c r="G2" t="s">
        <v>41</v>
      </c>
      <c r="H2" t="s">
        <v>2</v>
      </c>
      <c r="I2" t="s">
        <v>42</v>
      </c>
      <c r="J2" t="s">
        <v>9</v>
      </c>
      <c r="K2" t="s">
        <v>16</v>
      </c>
      <c r="L2" t="s">
        <v>17</v>
      </c>
      <c r="M2" t="s">
        <v>18</v>
      </c>
      <c r="N2" t="s">
        <v>43</v>
      </c>
      <c r="O2" t="s">
        <v>30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Z2" s="1" t="s">
        <v>45</v>
      </c>
      <c r="AA2" s="2" t="s">
        <v>46</v>
      </c>
      <c r="AB2" s="2" t="s">
        <v>47</v>
      </c>
      <c r="AC2" s="3" t="s">
        <v>48</v>
      </c>
      <c r="AE2">
        <f ca="1">AVERAGE(Table1[Age])</f>
        <v>34.73293172690763</v>
      </c>
      <c r="AG2" s="4" t="s">
        <v>5</v>
      </c>
      <c r="AH2" t="s">
        <v>3</v>
      </c>
      <c r="AJ2" t="s">
        <v>2</v>
      </c>
      <c r="AL2" t="s">
        <v>15</v>
      </c>
      <c r="AQ2" t="s">
        <v>7</v>
      </c>
      <c r="AR2" t="s">
        <v>6</v>
      </c>
      <c r="AS2" t="s">
        <v>50</v>
      </c>
      <c r="AT2" s="5" t="s">
        <v>8</v>
      </c>
      <c r="AV2" t="s">
        <v>51</v>
      </c>
      <c r="AX2" s="9" t="s">
        <v>53</v>
      </c>
      <c r="AY2" t="s">
        <v>54</v>
      </c>
      <c r="AZ2" t="s">
        <v>55</v>
      </c>
      <c r="BB2" t="s">
        <v>56</v>
      </c>
      <c r="BC2" t="s">
        <v>57</v>
      </c>
      <c r="BD2" s="1" t="s">
        <v>58</v>
      </c>
      <c r="BE2" s="13">
        <f>Dashboard!Z14</f>
        <v>0.2</v>
      </c>
      <c r="BF2" t="s">
        <v>59</v>
      </c>
      <c r="BG2" s="26" t="s">
        <v>60</v>
      </c>
      <c r="BH2" s="27"/>
      <c r="BJ2" s="26" t="s">
        <v>64</v>
      </c>
      <c r="BK2" s="27"/>
      <c r="BM2" t="s">
        <v>65</v>
      </c>
      <c r="BO2" s="14" t="s">
        <v>80</v>
      </c>
    </row>
    <row r="3" spans="4:68" ht="15" thickBot="1" x14ac:dyDescent="0.35">
      <c r="D3">
        <f ca="1">RANDBETWEEN(1,2)</f>
        <v>1</v>
      </c>
      <c r="E3" t="str">
        <f ca="1">IF(D3=1,"Male","Female")</f>
        <v>Male</v>
      </c>
      <c r="F3">
        <f ca="1">RANDBETWEEN(25,45)</f>
        <v>30</v>
      </c>
      <c r="G3">
        <f ca="1">RANDBETWEEN(1,6)</f>
        <v>4</v>
      </c>
      <c r="H3" t="str">
        <f ca="1">VLOOKUP(G3,$AI$3:$AJ$8,2)</f>
        <v>IT</v>
      </c>
      <c r="I3">
        <f ca="1">RANDBETWEEN(1,5)</f>
        <v>5</v>
      </c>
      <c r="J3" t="str">
        <f ca="1">+VLOOKUP(I3,$AK$3:$AL$7,2)</f>
        <v>Other</v>
      </c>
      <c r="K3">
        <f ca="1">RANDBETWEEN(0,4)</f>
        <v>3</v>
      </c>
      <c r="L3">
        <f ca="1">RANDBETWEEN(1,2)</f>
        <v>2</v>
      </c>
      <c r="M3">
        <f ca="1">RANDBETWEEN(25000,90000)</f>
        <v>33303</v>
      </c>
      <c r="N3">
        <f ca="1">RANDBETWEEN(1,13)</f>
        <v>9</v>
      </c>
      <c r="O3" t="str">
        <f ca="1">VLOOKUP(N3,$AN$3:$AP$15,2)</f>
        <v>Quebec</v>
      </c>
      <c r="P3">
        <f ca="1">M3*RANDBETWEEN(4,6)</f>
        <v>133212</v>
      </c>
      <c r="Q3">
        <f ca="1">RAND()*P3</f>
        <v>104353.63842281078</v>
      </c>
      <c r="R3">
        <f t="shared" ref="R3:R66" ca="1" si="0">L3*RAND()*M3</f>
        <v>3973.5359633981539</v>
      </c>
      <c r="S3">
        <f ca="1">RANDBETWEEN(0,R3)</f>
        <v>2196</v>
      </c>
      <c r="T3">
        <f ca="1">M3*RAND()*2</f>
        <v>13206.181949954747</v>
      </c>
      <c r="U3">
        <f ca="1">RAND()*M3*1.5</f>
        <v>17642.517055587938</v>
      </c>
      <c r="V3">
        <f ca="1">P3+R3+U3</f>
        <v>154828.05301898607</v>
      </c>
      <c r="W3">
        <f ca="1">Q3+S3+T3</f>
        <v>119755.82037276552</v>
      </c>
      <c r="Z3" s="4">
        <f ca="1">IF(E3="male",1,0)</f>
        <v>1</v>
      </c>
      <c r="AA3">
        <f ca="1">IF(E3="male",0,1)</f>
        <v>0</v>
      </c>
      <c r="AB3">
        <f ca="1">SUM(Z3:Z500)</f>
        <v>235</v>
      </c>
      <c r="AC3" s="5">
        <f ca="1">SUM(AA3:AA500)</f>
        <v>263</v>
      </c>
      <c r="AG3" s="6">
        <f ca="1">COUNTIF(Table1[Field of Work],"Teaching")</f>
        <v>81</v>
      </c>
      <c r="AH3" s="7">
        <f ca="1">COUNTIF(Table1[Field of Work],"Health")</f>
        <v>71</v>
      </c>
      <c r="AI3" s="7">
        <v>1</v>
      </c>
      <c r="AJ3" s="7" t="s">
        <v>3</v>
      </c>
      <c r="AK3" s="7">
        <v>1</v>
      </c>
      <c r="AL3" s="7" t="s">
        <v>10</v>
      </c>
      <c r="AM3" s="7"/>
      <c r="AN3" s="7">
        <v>1</v>
      </c>
      <c r="AO3" s="7" t="s">
        <v>32</v>
      </c>
      <c r="AP3" s="7"/>
      <c r="AQ3" s="7">
        <f ca="1">COUNTIF(Table1[Field of Work],"Agriculture")</f>
        <v>74</v>
      </c>
      <c r="AR3" s="7">
        <f ca="1">COUNTIF(Table1[Field of Work],"IT")</f>
        <v>94</v>
      </c>
      <c r="AS3" s="7">
        <f ca="1">COUNTIF(Table1[Field of Work],"Construction")</f>
        <v>83</v>
      </c>
      <c r="AT3" s="8">
        <f ca="1">COUNTIF(Table1[Field of Work],"General Work")</f>
        <v>95</v>
      </c>
      <c r="AV3">
        <f ca="1">AVERAGE(Table1[Income])</f>
        <v>57618.146586345385</v>
      </c>
      <c r="AX3" s="10">
        <f ca="1">Table1[[#This Row],[Car Value]]/Table1[[#This Row],[No. of Vehicles]]</f>
        <v>1986.7679816990769</v>
      </c>
      <c r="AY3">
        <f ca="1">AVERAGE(AX3:AX500)</f>
        <v>28045.354279953939</v>
      </c>
      <c r="AZ3">
        <f ca="1">IF(Table1[[#This Row],[Debts]]&gt;$BA$3,1,0)</f>
        <v>0</v>
      </c>
      <c r="BA3">
        <f>Dashboard!X14</f>
        <v>20000</v>
      </c>
      <c r="BB3">
        <f ca="1">SUM(AZ3:AZ500)</f>
        <v>398</v>
      </c>
      <c r="BC3" s="12">
        <f ca="1">Table1[[#This Row],[Mortage left]]/Table1[[#This Row],[Value of The House]]</f>
        <v>0.78336515045799759</v>
      </c>
      <c r="BD3" s="4">
        <f ca="1">IF(BC3&lt;$BE$2,1,0)</f>
        <v>0</v>
      </c>
      <c r="BE3" s="5"/>
      <c r="BF3">
        <f ca="1">SUM(BD3:BD500)</f>
        <v>110</v>
      </c>
      <c r="BG3" s="4" t="s">
        <v>32</v>
      </c>
      <c r="BH3" s="5">
        <f ca="1">AVERAGEIF(Table1[Area], "Yukon", Table1[Income])</f>
        <v>59341.91891891892</v>
      </c>
      <c r="BJ3" s="4" t="s">
        <v>3</v>
      </c>
      <c r="BK3" s="5">
        <f ca="1">AVERAGEIF(Table1[Field of Work],"Health",Table1[Income])</f>
        <v>55021.985915492958</v>
      </c>
      <c r="BM3" s="24">
        <f ca="1">COUNTIFS(Table1[Debts], "&gt;" &amp; Table1[Income]) / COUNTA(Table1[Income]) * 100</f>
        <v>66.46586345381526</v>
      </c>
      <c r="BO3">
        <f ca="1">AVERAGEIFS(Table1[Age], Table1[Net Worth], "&gt;" &amp; $BP$3)</f>
        <v>34.73293172690763</v>
      </c>
      <c r="BP3">
        <f>Dashboard!AB14</f>
        <v>50000</v>
      </c>
    </row>
    <row r="4" spans="4:68" x14ac:dyDescent="0.3">
      <c r="D4">
        <f t="shared" ref="D4:D67" ca="1" si="1">RANDBETWEEN(1,2)</f>
        <v>2</v>
      </c>
      <c r="E4" t="str">
        <f t="shared" ref="E4:E67" ca="1" si="2">IF(D4=1,"Male","Female")</f>
        <v>Female</v>
      </c>
      <c r="F4">
        <f t="shared" ref="F4:F67" ca="1" si="3">RANDBETWEEN(25,45)</f>
        <v>32</v>
      </c>
      <c r="G4">
        <f t="shared" ref="G4:G67" ca="1" si="4">RANDBETWEEN(1,6)</f>
        <v>5</v>
      </c>
      <c r="H4" t="str">
        <f t="shared" ref="H4:H67" ca="1" si="5">VLOOKUP(G4,$AI$3:$AJ$8,2)</f>
        <v>Agriculture</v>
      </c>
      <c r="I4">
        <f t="shared" ref="I4:I67" ca="1" si="6">RANDBETWEEN(1,5)</f>
        <v>4</v>
      </c>
      <c r="J4" t="str">
        <f t="shared" ref="J4:J67" ca="1" si="7">+VLOOKUP(I4,$AK$3:$AL$7,2)</f>
        <v>Technical</v>
      </c>
      <c r="K4">
        <f t="shared" ref="K4:K67" ca="1" si="8">RANDBETWEEN(0,4)</f>
        <v>0</v>
      </c>
      <c r="L4">
        <f t="shared" ref="L4:L67" ca="1" si="9">RANDBETWEEN(1,2)</f>
        <v>1</v>
      </c>
      <c r="M4">
        <f t="shared" ref="M4:M67" ca="1" si="10">RANDBETWEEN(25000,90000)</f>
        <v>66486</v>
      </c>
      <c r="N4">
        <f t="shared" ref="N4:N67" ca="1" si="11">RANDBETWEEN(1,13)</f>
        <v>4</v>
      </c>
      <c r="O4" t="str">
        <f t="shared" ref="O4:O67" ca="1" si="12">VLOOKUP(N4,$AN$3:$AP$15,2)</f>
        <v>Alberta</v>
      </c>
      <c r="P4">
        <f t="shared" ref="P4:P36" ca="1" si="13">M4*RANDBETWEEN(4,6)</f>
        <v>398916</v>
      </c>
      <c r="Q4">
        <f t="shared" ref="Q4:Q67" ca="1" si="14">RAND()*P4</f>
        <v>338442.38684056245</v>
      </c>
      <c r="R4">
        <f t="shared" ca="1" si="0"/>
        <v>23377.546769578435</v>
      </c>
      <c r="S4">
        <f t="shared" ref="S4:S67" ca="1" si="15">RANDBETWEEN(0,R4)</f>
        <v>2560</v>
      </c>
      <c r="T4">
        <f t="shared" ref="T4:T36" ca="1" si="16">M4*RAND()*2</f>
        <v>18123.401341949233</v>
      </c>
      <c r="U4">
        <f t="shared" ref="U4:U36" ca="1" si="17">RAND()*M4*1.5</f>
        <v>82408.027965381363</v>
      </c>
      <c r="V4">
        <f t="shared" ref="V4:V36" ca="1" si="18">P4+R4+U4</f>
        <v>504701.57473495975</v>
      </c>
      <c r="W4">
        <f t="shared" ref="W4:W36" ca="1" si="19">Q4+S4+T4</f>
        <v>359125.78818251169</v>
      </c>
      <c r="Z4" s="4">
        <f t="shared" ref="Z4:Z67" ca="1" si="20">IF(E4="male",1,0)</f>
        <v>0</v>
      </c>
      <c r="AA4">
        <f t="shared" ref="AA4:AA67" ca="1" si="21">IF(E4="male",0,1)</f>
        <v>1</v>
      </c>
      <c r="AC4" s="5"/>
      <c r="AI4">
        <v>2</v>
      </c>
      <c r="AJ4" t="s">
        <v>4</v>
      </c>
      <c r="AK4">
        <v>2</v>
      </c>
      <c r="AL4" t="s">
        <v>11</v>
      </c>
      <c r="AN4">
        <v>2</v>
      </c>
      <c r="AO4" t="s">
        <v>31</v>
      </c>
      <c r="AX4" s="10">
        <f ca="1">Table1[[#This Row],[Car Value]]/Table1[[#This Row],[No. of Vehicles]]</f>
        <v>23377.546769578435</v>
      </c>
      <c r="AZ4">
        <f ca="1">IF(Table1[[#This Row],[Debts]]&gt;$BA$3,1,0)</f>
        <v>0</v>
      </c>
      <c r="BC4" s="12">
        <f ca="1">Table1[[#This Row],[Mortage left]]/Table1[[#This Row],[Value of The House]]</f>
        <v>0.84840514504447662</v>
      </c>
      <c r="BD4" s="4">
        <f t="shared" ref="BD4:BD67" ca="1" si="22">IF(BC4&lt;$BE$2,1,0)</f>
        <v>0</v>
      </c>
      <c r="BE4" s="5"/>
      <c r="BG4" s="4" t="s">
        <v>31</v>
      </c>
      <c r="BH4" s="5">
        <f ca="1">AVERAGEIF(Table1[Area], "BC", Table1[Income])</f>
        <v>60571.184210526313</v>
      </c>
      <c r="BJ4" s="4" t="s">
        <v>4</v>
      </c>
      <c r="BK4" s="5">
        <f ca="1">AVERAGEIF(Table1[Field of Work],"Construction",Table1[Income])</f>
        <v>55980.891566265062</v>
      </c>
    </row>
    <row r="5" spans="4:68" x14ac:dyDescent="0.3">
      <c r="D5">
        <f t="shared" ca="1" si="1"/>
        <v>1</v>
      </c>
      <c r="E5" t="str">
        <f t="shared" ca="1" si="2"/>
        <v>Male</v>
      </c>
      <c r="F5">
        <f t="shared" ca="1" si="3"/>
        <v>36</v>
      </c>
      <c r="G5">
        <f t="shared" ca="1" si="4"/>
        <v>2</v>
      </c>
      <c r="H5" t="str">
        <f t="shared" ca="1" si="5"/>
        <v>Construction</v>
      </c>
      <c r="I5">
        <f t="shared" ca="1" si="6"/>
        <v>5</v>
      </c>
      <c r="J5" t="str">
        <f t="shared" ca="1" si="7"/>
        <v>Other</v>
      </c>
      <c r="K5">
        <f t="shared" ca="1" si="8"/>
        <v>2</v>
      </c>
      <c r="L5">
        <f t="shared" ca="1" si="9"/>
        <v>2</v>
      </c>
      <c r="M5">
        <f t="shared" ca="1" si="10"/>
        <v>76169</v>
      </c>
      <c r="N5">
        <f t="shared" ca="1" si="11"/>
        <v>6</v>
      </c>
      <c r="O5" t="str">
        <f t="shared" ca="1" si="12"/>
        <v>Saskatchewan</v>
      </c>
      <c r="P5">
        <f t="shared" ca="1" si="13"/>
        <v>304676</v>
      </c>
      <c r="Q5">
        <f t="shared" ca="1" si="14"/>
        <v>241528.86686096343</v>
      </c>
      <c r="R5">
        <f t="shared" ca="1" si="0"/>
        <v>39333.118017059998</v>
      </c>
      <c r="S5">
        <f t="shared" ca="1" si="15"/>
        <v>3190</v>
      </c>
      <c r="T5">
        <f t="shared" ca="1" si="16"/>
        <v>102899.02095618767</v>
      </c>
      <c r="U5">
        <f t="shared" ca="1" si="17"/>
        <v>58611.7797173996</v>
      </c>
      <c r="V5">
        <f t="shared" ca="1" si="18"/>
        <v>402620.89773445961</v>
      </c>
      <c r="W5">
        <f t="shared" ca="1" si="19"/>
        <v>347617.88781715109</v>
      </c>
      <c r="Z5" s="4">
        <f t="shared" ca="1" si="20"/>
        <v>1</v>
      </c>
      <c r="AA5">
        <f t="shared" ca="1" si="21"/>
        <v>0</v>
      </c>
      <c r="AC5" s="5"/>
      <c r="AI5">
        <v>3</v>
      </c>
      <c r="AJ5" t="s">
        <v>5</v>
      </c>
      <c r="AK5">
        <v>3</v>
      </c>
      <c r="AL5" t="s">
        <v>12</v>
      </c>
      <c r="AN5">
        <v>3</v>
      </c>
      <c r="AO5" t="s">
        <v>19</v>
      </c>
      <c r="AX5" s="10">
        <f ca="1">Table1[[#This Row],[Car Value]]/Table1[[#This Row],[No. of Vehicles]]</f>
        <v>19666.559008529999</v>
      </c>
      <c r="AZ5">
        <f ca="1">IF(Table1[[#This Row],[Debts]]&gt;$BA$3,1,0)</f>
        <v>1</v>
      </c>
      <c r="BC5" s="12">
        <f ca="1">Table1[[#This Row],[Mortage left]]/Table1[[#This Row],[Value of The House]]</f>
        <v>0.79274004798856301</v>
      </c>
      <c r="BD5" s="4">
        <f t="shared" ca="1" si="22"/>
        <v>0</v>
      </c>
      <c r="BE5" s="5"/>
      <c r="BG5" s="4" t="s">
        <v>19</v>
      </c>
      <c r="BH5" s="5">
        <f ca="1">AVERAGEIF(Table1[Area], "Northwest Ter", Table1[Income])</f>
        <v>56748.487804878052</v>
      </c>
      <c r="BJ5" s="4" t="s">
        <v>5</v>
      </c>
      <c r="BK5" s="5">
        <f ca="1">AVERAGEIF(Table1[Field of Work],"Teaching",Table1[Income])</f>
        <v>60813.01234567901</v>
      </c>
    </row>
    <row r="6" spans="4:68" x14ac:dyDescent="0.3">
      <c r="D6">
        <f t="shared" ca="1" si="1"/>
        <v>1</v>
      </c>
      <c r="E6" t="str">
        <f t="shared" ca="1" si="2"/>
        <v>Male</v>
      </c>
      <c r="F6">
        <f t="shared" ca="1" si="3"/>
        <v>38</v>
      </c>
      <c r="G6">
        <f t="shared" ca="1" si="4"/>
        <v>4</v>
      </c>
      <c r="H6" t="str">
        <f t="shared" ca="1" si="5"/>
        <v>IT</v>
      </c>
      <c r="I6">
        <f t="shared" ca="1" si="6"/>
        <v>5</v>
      </c>
      <c r="J6" t="str">
        <f t="shared" ca="1" si="7"/>
        <v>Other</v>
      </c>
      <c r="K6">
        <f t="shared" ca="1" si="8"/>
        <v>4</v>
      </c>
      <c r="L6">
        <f t="shared" ca="1" si="9"/>
        <v>1</v>
      </c>
      <c r="M6">
        <f t="shared" ca="1" si="10"/>
        <v>56921</v>
      </c>
      <c r="N6">
        <f t="shared" ca="1" si="11"/>
        <v>6</v>
      </c>
      <c r="O6" t="str">
        <f t="shared" ca="1" si="12"/>
        <v>Saskatchewan</v>
      </c>
      <c r="P6">
        <f t="shared" ca="1" si="13"/>
        <v>227684</v>
      </c>
      <c r="Q6">
        <f t="shared" ca="1" si="14"/>
        <v>143505.34468218512</v>
      </c>
      <c r="R6">
        <f t="shared" ca="1" si="0"/>
        <v>33611.40216893694</v>
      </c>
      <c r="S6">
        <f t="shared" ca="1" si="15"/>
        <v>20969</v>
      </c>
      <c r="T6">
        <f t="shared" ca="1" si="16"/>
        <v>51806.371749743506</v>
      </c>
      <c r="U6">
        <f t="shared" ca="1" si="17"/>
        <v>6047.1194515427851</v>
      </c>
      <c r="V6">
        <f t="shared" ca="1" si="18"/>
        <v>267342.5216204797</v>
      </c>
      <c r="W6">
        <f t="shared" ca="1" si="19"/>
        <v>216280.71643192862</v>
      </c>
      <c r="Z6" s="4">
        <f t="shared" ca="1" si="20"/>
        <v>1</v>
      </c>
      <c r="AA6">
        <f t="shared" ca="1" si="21"/>
        <v>0</v>
      </c>
      <c r="AC6" s="5"/>
      <c r="AI6">
        <v>4</v>
      </c>
      <c r="AJ6" t="s">
        <v>6</v>
      </c>
      <c r="AK6">
        <v>4</v>
      </c>
      <c r="AL6" t="s">
        <v>13</v>
      </c>
      <c r="AN6">
        <v>4</v>
      </c>
      <c r="AO6" t="s">
        <v>20</v>
      </c>
      <c r="AX6" s="10">
        <f ca="1">Table1[[#This Row],[Car Value]]/Table1[[#This Row],[No. of Vehicles]]</f>
        <v>33611.40216893694</v>
      </c>
      <c r="AZ6">
        <f ca="1">IF(Table1[[#This Row],[Debts]]&gt;$BA$3,1,0)</f>
        <v>1</v>
      </c>
      <c r="BC6" s="12">
        <f ca="1">Table1[[#This Row],[Mortage left]]/Table1[[#This Row],[Value of The House]]</f>
        <v>0.63028295656341737</v>
      </c>
      <c r="BD6" s="4">
        <f t="shared" ca="1" si="22"/>
        <v>0</v>
      </c>
      <c r="BE6" s="5"/>
      <c r="BG6" s="4" t="s">
        <v>20</v>
      </c>
      <c r="BH6" s="5">
        <f ca="1">AVERAGEIF(Table1[Area], "Alberta", Table1[Income])</f>
        <v>59270.675675675673</v>
      </c>
      <c r="BJ6" s="4" t="s">
        <v>6</v>
      </c>
      <c r="BK6" s="5">
        <f ca="1">AVERAGEIF(Table1[Field of Work],"IT",Table1[Income])</f>
        <v>57357.861702127659</v>
      </c>
    </row>
    <row r="7" spans="4:68" x14ac:dyDescent="0.3">
      <c r="D7">
        <f t="shared" ca="1" si="1"/>
        <v>2</v>
      </c>
      <c r="E7" t="str">
        <f t="shared" ca="1" si="2"/>
        <v>Female</v>
      </c>
      <c r="F7">
        <f t="shared" ca="1" si="3"/>
        <v>25</v>
      </c>
      <c r="G7">
        <f t="shared" ca="1" si="4"/>
        <v>4</v>
      </c>
      <c r="H7" t="str">
        <f t="shared" ca="1" si="5"/>
        <v>IT</v>
      </c>
      <c r="I7">
        <f t="shared" ca="1" si="6"/>
        <v>1</v>
      </c>
      <c r="J7" t="str">
        <f t="shared" ca="1" si="7"/>
        <v>High School</v>
      </c>
      <c r="K7">
        <f t="shared" ca="1" si="8"/>
        <v>3</v>
      </c>
      <c r="L7">
        <f t="shared" ca="1" si="9"/>
        <v>1</v>
      </c>
      <c r="M7">
        <f t="shared" ca="1" si="10"/>
        <v>39774</v>
      </c>
      <c r="N7">
        <f t="shared" ca="1" si="11"/>
        <v>11</v>
      </c>
      <c r="O7" t="str">
        <f t="shared" ca="1" si="12"/>
        <v>New bruncwick</v>
      </c>
      <c r="P7">
        <f t="shared" ca="1" si="13"/>
        <v>238644</v>
      </c>
      <c r="Q7">
        <f t="shared" ca="1" si="14"/>
        <v>205965.00004648542</v>
      </c>
      <c r="R7">
        <f t="shared" ca="1" si="0"/>
        <v>1637.1059258792031</v>
      </c>
      <c r="S7">
        <f t="shared" ca="1" si="15"/>
        <v>2</v>
      </c>
      <c r="T7">
        <f t="shared" ca="1" si="16"/>
        <v>62385.112405925182</v>
      </c>
      <c r="U7">
        <f t="shared" ca="1" si="17"/>
        <v>43387.058312585577</v>
      </c>
      <c r="V7">
        <f t="shared" ca="1" si="18"/>
        <v>283668.16423846479</v>
      </c>
      <c r="W7">
        <f t="shared" ca="1" si="19"/>
        <v>268352.11245241063</v>
      </c>
      <c r="Z7" s="4">
        <f t="shared" ca="1" si="20"/>
        <v>0</v>
      </c>
      <c r="AA7">
        <f t="shared" ca="1" si="21"/>
        <v>1</v>
      </c>
      <c r="AC7" s="5"/>
      <c r="AI7">
        <v>5</v>
      </c>
      <c r="AJ7" t="s">
        <v>7</v>
      </c>
      <c r="AK7">
        <v>5</v>
      </c>
      <c r="AL7" t="s">
        <v>14</v>
      </c>
      <c r="AN7">
        <v>5</v>
      </c>
      <c r="AO7" t="s">
        <v>21</v>
      </c>
      <c r="AX7" s="10">
        <f ca="1">Table1[[#This Row],[Car Value]]/Table1[[#This Row],[No. of Vehicles]]</f>
        <v>1637.1059258792031</v>
      </c>
      <c r="AZ7">
        <f ca="1">IF(Table1[[#This Row],[Debts]]&gt;$BA$3,1,0)</f>
        <v>1</v>
      </c>
      <c r="BC7" s="12">
        <f ca="1">Table1[[#This Row],[Mortage left]]/Table1[[#This Row],[Value of The House]]</f>
        <v>0.86306381072428151</v>
      </c>
      <c r="BD7" s="4">
        <f t="shared" ca="1" si="22"/>
        <v>0</v>
      </c>
      <c r="BE7" s="5"/>
      <c r="BG7" s="4" t="s">
        <v>21</v>
      </c>
      <c r="BH7" s="5">
        <f ca="1">AVERAGEIF(Table1[Area], "Nunavut", Table1[Income])</f>
        <v>59588.545454545456</v>
      </c>
      <c r="BJ7" s="4" t="s">
        <v>7</v>
      </c>
      <c r="BK7" s="5">
        <f ca="1">AVERAGEIF(Table1[Field of Work],"Agriculture",Table1[Income])</f>
        <v>60521.135135135133</v>
      </c>
    </row>
    <row r="8" spans="4:68" ht="15" thickBot="1" x14ac:dyDescent="0.35">
      <c r="D8">
        <f t="shared" ca="1" si="1"/>
        <v>2</v>
      </c>
      <c r="E8" t="str">
        <f t="shared" ca="1" si="2"/>
        <v>Female</v>
      </c>
      <c r="F8">
        <f t="shared" ca="1" si="3"/>
        <v>33</v>
      </c>
      <c r="G8">
        <f t="shared" ca="1" si="4"/>
        <v>4</v>
      </c>
      <c r="H8" t="str">
        <f t="shared" ca="1" si="5"/>
        <v>IT</v>
      </c>
      <c r="I8">
        <f t="shared" ca="1" si="6"/>
        <v>2</v>
      </c>
      <c r="J8" t="str">
        <f t="shared" ca="1" si="7"/>
        <v>College</v>
      </c>
      <c r="K8">
        <f t="shared" ca="1" si="8"/>
        <v>1</v>
      </c>
      <c r="L8">
        <f t="shared" ca="1" si="9"/>
        <v>1</v>
      </c>
      <c r="M8">
        <f t="shared" ca="1" si="10"/>
        <v>60674</v>
      </c>
      <c r="N8">
        <f t="shared" ca="1" si="11"/>
        <v>10</v>
      </c>
      <c r="O8" t="str">
        <f ca="1">VLOOKUP(N8,$AN$3:$AP$15,2)</f>
        <v>Newfouland</v>
      </c>
      <c r="P8">
        <f t="shared" ca="1" si="13"/>
        <v>303370</v>
      </c>
      <c r="Q8">
        <f t="shared" ca="1" si="14"/>
        <v>275822.76650730422</v>
      </c>
      <c r="R8">
        <f t="shared" ca="1" si="0"/>
        <v>56033.587505704636</v>
      </c>
      <c r="S8">
        <f t="shared" ca="1" si="15"/>
        <v>52531</v>
      </c>
      <c r="T8">
        <f t="shared" ca="1" si="16"/>
        <v>78248.154250958352</v>
      </c>
      <c r="U8">
        <f t="shared" ca="1" si="17"/>
        <v>72204.247080462228</v>
      </c>
      <c r="V8">
        <f t="shared" ca="1" si="18"/>
        <v>431607.83458616683</v>
      </c>
      <c r="W8">
        <f t="shared" ca="1" si="19"/>
        <v>406601.92075826257</v>
      </c>
      <c r="Z8" s="4">
        <f t="shared" ca="1" si="20"/>
        <v>0</v>
      </c>
      <c r="AA8">
        <f t="shared" ca="1" si="21"/>
        <v>1</v>
      </c>
      <c r="AC8" s="5"/>
      <c r="AI8">
        <v>6</v>
      </c>
      <c r="AJ8" t="s">
        <v>8</v>
      </c>
      <c r="AN8">
        <v>6</v>
      </c>
      <c r="AO8" t="s">
        <v>22</v>
      </c>
      <c r="AX8" s="10">
        <f ca="1">Table1[[#This Row],[Car Value]]/Table1[[#This Row],[No. of Vehicles]]</f>
        <v>56033.587505704636</v>
      </c>
      <c r="AZ8">
        <f ca="1">IF(Table1[[#This Row],[Debts]]&gt;$BA$3,1,0)</f>
        <v>1</v>
      </c>
      <c r="BC8" s="12">
        <f ca="1">Table1[[#This Row],[Mortage left]]/Table1[[#This Row],[Value of The House]]</f>
        <v>0.90919592084683465</v>
      </c>
      <c r="BD8" s="4">
        <f t="shared" ca="1" si="22"/>
        <v>0</v>
      </c>
      <c r="BE8" s="5"/>
      <c r="BG8" s="4" t="s">
        <v>22</v>
      </c>
      <c r="BH8" s="5">
        <f ca="1">AVERAGEIF(Table1[Area], "Saskatchewan", Table1[Income])</f>
        <v>58314.576923076922</v>
      </c>
      <c r="BJ8" s="6" t="s">
        <v>8</v>
      </c>
      <c r="BK8" s="8">
        <f ca="1">AVERAGEIF(Table1[Field of Work],"General Work",Table1[Income])</f>
        <v>56261.105263157893</v>
      </c>
    </row>
    <row r="9" spans="4:68" x14ac:dyDescent="0.3">
      <c r="D9">
        <f t="shared" ca="1" si="1"/>
        <v>1</v>
      </c>
      <c r="E9" t="str">
        <f t="shared" ca="1" si="2"/>
        <v>Male</v>
      </c>
      <c r="F9">
        <f t="shared" ca="1" si="3"/>
        <v>39</v>
      </c>
      <c r="G9">
        <f t="shared" ca="1" si="4"/>
        <v>6</v>
      </c>
      <c r="H9" t="str">
        <f t="shared" ca="1" si="5"/>
        <v>General Work</v>
      </c>
      <c r="I9">
        <f t="shared" ca="1" si="6"/>
        <v>1</v>
      </c>
      <c r="J9" t="str">
        <f t="shared" ca="1" si="7"/>
        <v>High School</v>
      </c>
      <c r="K9">
        <f t="shared" ca="1" si="8"/>
        <v>3</v>
      </c>
      <c r="L9">
        <f t="shared" ca="1" si="9"/>
        <v>2</v>
      </c>
      <c r="M9">
        <f t="shared" ca="1" si="10"/>
        <v>76594</v>
      </c>
      <c r="N9">
        <f t="shared" ca="1" si="11"/>
        <v>5</v>
      </c>
      <c r="O9" t="str">
        <f t="shared" ca="1" si="12"/>
        <v>Nunavut</v>
      </c>
      <c r="P9">
        <f t="shared" ca="1" si="13"/>
        <v>382970</v>
      </c>
      <c r="Q9">
        <f t="shared" ca="1" si="14"/>
        <v>80083.456602772116</v>
      </c>
      <c r="R9">
        <f t="shared" ca="1" si="0"/>
        <v>6008.8135486974452</v>
      </c>
      <c r="S9">
        <f t="shared" ca="1" si="15"/>
        <v>875</v>
      </c>
      <c r="T9">
        <f t="shared" ca="1" si="16"/>
        <v>19516.306506532863</v>
      </c>
      <c r="U9">
        <f t="shared" ca="1" si="17"/>
        <v>68543.207033338345</v>
      </c>
      <c r="V9">
        <f t="shared" ca="1" si="18"/>
        <v>457522.02058203577</v>
      </c>
      <c r="W9">
        <f t="shared" ca="1" si="19"/>
        <v>100474.76310930497</v>
      </c>
      <c r="Z9" s="4">
        <f t="shared" ca="1" si="20"/>
        <v>1</v>
      </c>
      <c r="AA9">
        <f t="shared" ca="1" si="21"/>
        <v>0</v>
      </c>
      <c r="AC9" s="5"/>
      <c r="AN9">
        <v>7</v>
      </c>
      <c r="AO9" t="s">
        <v>23</v>
      </c>
      <c r="AX9" s="10">
        <f ca="1">Table1[[#This Row],[Car Value]]/Table1[[#This Row],[No. of Vehicles]]</f>
        <v>3004.4067743487226</v>
      </c>
      <c r="AZ9">
        <f ca="1">IF(Table1[[#This Row],[Debts]]&gt;$BA$3,1,0)</f>
        <v>0</v>
      </c>
      <c r="BC9" s="12">
        <f ca="1">Table1[[#This Row],[Mortage left]]/Table1[[#This Row],[Value of The House]]</f>
        <v>0.20911156644847406</v>
      </c>
      <c r="BD9" s="4">
        <f t="shared" ca="1" si="22"/>
        <v>0</v>
      </c>
      <c r="BE9" s="5"/>
      <c r="BG9" s="4" t="s">
        <v>23</v>
      </c>
      <c r="BH9" s="5">
        <f ca="1">AVERAGEIF(Table1[Area], "Manitoba", Table1[Income])</f>
        <v>56639.28</v>
      </c>
    </row>
    <row r="10" spans="4:68" x14ac:dyDescent="0.3">
      <c r="D10">
        <f t="shared" ca="1" si="1"/>
        <v>2</v>
      </c>
      <c r="E10" t="str">
        <f t="shared" ca="1" si="2"/>
        <v>Female</v>
      </c>
      <c r="F10">
        <f t="shared" ca="1" si="3"/>
        <v>36</v>
      </c>
      <c r="G10">
        <f t="shared" ca="1" si="4"/>
        <v>4</v>
      </c>
      <c r="H10" t="str">
        <f t="shared" ca="1" si="5"/>
        <v>IT</v>
      </c>
      <c r="I10">
        <f t="shared" ca="1" si="6"/>
        <v>3</v>
      </c>
      <c r="J10" t="str">
        <f t="shared" ca="1" si="7"/>
        <v>University</v>
      </c>
      <c r="K10">
        <f t="shared" ca="1" si="8"/>
        <v>3</v>
      </c>
      <c r="L10">
        <f t="shared" ca="1" si="9"/>
        <v>2</v>
      </c>
      <c r="M10">
        <f t="shared" ca="1" si="10"/>
        <v>44196</v>
      </c>
      <c r="N10">
        <f t="shared" ca="1" si="11"/>
        <v>5</v>
      </c>
      <c r="O10" t="str">
        <f t="shared" ca="1" si="12"/>
        <v>Nunavut</v>
      </c>
      <c r="P10">
        <f t="shared" ca="1" si="13"/>
        <v>176784</v>
      </c>
      <c r="Q10">
        <f t="shared" ca="1" si="14"/>
        <v>75583.946047012869</v>
      </c>
      <c r="R10">
        <f t="shared" ca="1" si="0"/>
        <v>31329.588770180915</v>
      </c>
      <c r="S10">
        <f t="shared" ca="1" si="15"/>
        <v>25464</v>
      </c>
      <c r="T10">
        <f t="shared" ca="1" si="16"/>
        <v>63125.552145976559</v>
      </c>
      <c r="U10">
        <f t="shared" ca="1" si="17"/>
        <v>51222.335627809669</v>
      </c>
      <c r="V10">
        <f t="shared" ca="1" si="18"/>
        <v>259335.92439799057</v>
      </c>
      <c r="W10">
        <f t="shared" ca="1" si="19"/>
        <v>164173.49819298944</v>
      </c>
      <c r="Z10" s="4">
        <f t="shared" ca="1" si="20"/>
        <v>0</v>
      </c>
      <c r="AA10">
        <f t="shared" ca="1" si="21"/>
        <v>1</v>
      </c>
      <c r="AC10" s="5"/>
      <c r="AN10">
        <v>8</v>
      </c>
      <c r="AO10" t="s">
        <v>24</v>
      </c>
      <c r="AX10" s="10">
        <f ca="1">Table1[[#This Row],[Car Value]]/Table1[[#This Row],[No. of Vehicles]]</f>
        <v>15664.794385090458</v>
      </c>
      <c r="AZ10">
        <f ca="1">IF(Table1[[#This Row],[Debts]]&gt;$BA$3,1,0)</f>
        <v>1</v>
      </c>
      <c r="BC10" s="12">
        <f ca="1">Table1[[#This Row],[Mortage left]]/Table1[[#This Row],[Value of The House]]</f>
        <v>0.42754969933372289</v>
      </c>
      <c r="BD10" s="4">
        <f t="shared" ca="1" si="22"/>
        <v>0</v>
      </c>
      <c r="BE10" s="5"/>
      <c r="BG10" s="4" t="s">
        <v>24</v>
      </c>
      <c r="BH10" s="5">
        <f ca="1">AVERAGEIF(Table1[Area], "Ontario", Table1[Income])</f>
        <v>53553.780487804877</v>
      </c>
    </row>
    <row r="11" spans="4:68" x14ac:dyDescent="0.3">
      <c r="D11">
        <f t="shared" ca="1" si="1"/>
        <v>2</v>
      </c>
      <c r="E11" t="str">
        <f t="shared" ca="1" si="2"/>
        <v>Female</v>
      </c>
      <c r="F11">
        <f t="shared" ca="1" si="3"/>
        <v>31</v>
      </c>
      <c r="G11">
        <f t="shared" ca="1" si="4"/>
        <v>6</v>
      </c>
      <c r="H11" t="str">
        <f t="shared" ca="1" si="5"/>
        <v>General Work</v>
      </c>
      <c r="I11">
        <f t="shared" ca="1" si="6"/>
        <v>1</v>
      </c>
      <c r="J11" t="str">
        <f t="shared" ca="1" si="7"/>
        <v>High School</v>
      </c>
      <c r="K11">
        <f t="shared" ca="1" si="8"/>
        <v>1</v>
      </c>
      <c r="L11">
        <f t="shared" ca="1" si="9"/>
        <v>1</v>
      </c>
      <c r="M11">
        <f t="shared" ca="1" si="10"/>
        <v>43533</v>
      </c>
      <c r="N11">
        <f t="shared" ca="1" si="11"/>
        <v>5</v>
      </c>
      <c r="O11" t="str">
        <f t="shared" ca="1" si="12"/>
        <v>Nunavut</v>
      </c>
      <c r="P11">
        <f t="shared" ca="1" si="13"/>
        <v>217665</v>
      </c>
      <c r="Q11">
        <f t="shared" ca="1" si="14"/>
        <v>51265.805343663276</v>
      </c>
      <c r="R11">
        <f t="shared" ca="1" si="0"/>
        <v>39502.765376625801</v>
      </c>
      <c r="S11">
        <f t="shared" ca="1" si="15"/>
        <v>33235</v>
      </c>
      <c r="T11">
        <f t="shared" ca="1" si="16"/>
        <v>57105.191175929322</v>
      </c>
      <c r="U11">
        <f t="shared" ca="1" si="17"/>
        <v>18198.654269277769</v>
      </c>
      <c r="V11">
        <f t="shared" ca="1" si="18"/>
        <v>275366.41964590357</v>
      </c>
      <c r="W11">
        <f t="shared" ca="1" si="19"/>
        <v>141605.99651959259</v>
      </c>
      <c r="Z11" s="4">
        <f t="shared" ca="1" si="20"/>
        <v>0</v>
      </c>
      <c r="AA11">
        <f t="shared" ca="1" si="21"/>
        <v>1</v>
      </c>
      <c r="AC11" s="5"/>
      <c r="AN11">
        <v>9</v>
      </c>
      <c r="AO11" t="s">
        <v>25</v>
      </c>
      <c r="AX11" s="10">
        <f ca="1">Table1[[#This Row],[Car Value]]/Table1[[#This Row],[No. of Vehicles]]</f>
        <v>39502.765376625801</v>
      </c>
      <c r="AZ11">
        <f ca="1">IF(Table1[[#This Row],[Debts]]&gt;$BA$3,1,0)</f>
        <v>1</v>
      </c>
      <c r="BC11" s="12">
        <f ca="1">Table1[[#This Row],[Mortage left]]/Table1[[#This Row],[Value of The House]]</f>
        <v>0.23552617712385215</v>
      </c>
      <c r="BD11" s="4">
        <f t="shared" ca="1" si="22"/>
        <v>0</v>
      </c>
      <c r="BE11" s="5"/>
      <c r="BG11" s="4" t="s">
        <v>25</v>
      </c>
      <c r="BH11" s="5">
        <f ca="1">AVERAGEIF(Table1[Area], "Quebec", Table1[Income])</f>
        <v>52561.25</v>
      </c>
    </row>
    <row r="12" spans="4:68" x14ac:dyDescent="0.3">
      <c r="D12">
        <f t="shared" ca="1" si="1"/>
        <v>2</v>
      </c>
      <c r="E12" t="str">
        <f t="shared" ca="1" si="2"/>
        <v>Female</v>
      </c>
      <c r="F12">
        <f t="shared" ca="1" si="3"/>
        <v>33</v>
      </c>
      <c r="G12">
        <f t="shared" ca="1" si="4"/>
        <v>3</v>
      </c>
      <c r="H12" t="str">
        <f t="shared" ca="1" si="5"/>
        <v>Teaching</v>
      </c>
      <c r="I12">
        <f t="shared" ca="1" si="6"/>
        <v>4</v>
      </c>
      <c r="J12" t="str">
        <f t="shared" ca="1" si="7"/>
        <v>Technical</v>
      </c>
      <c r="K12">
        <f t="shared" ca="1" si="8"/>
        <v>3</v>
      </c>
      <c r="L12">
        <f t="shared" ca="1" si="9"/>
        <v>2</v>
      </c>
      <c r="M12">
        <f t="shared" ca="1" si="10"/>
        <v>64180</v>
      </c>
      <c r="N12">
        <f t="shared" ca="1" si="11"/>
        <v>12</v>
      </c>
      <c r="O12" t="str">
        <f t="shared" ca="1" si="12"/>
        <v>Nova scotia</v>
      </c>
      <c r="P12">
        <f t="shared" ca="1" si="13"/>
        <v>385080</v>
      </c>
      <c r="Q12">
        <f t="shared" ca="1" si="14"/>
        <v>291236.65601674037</v>
      </c>
      <c r="R12">
        <f t="shared" ca="1" si="0"/>
        <v>35919.187683537399</v>
      </c>
      <c r="S12">
        <f t="shared" ca="1" si="15"/>
        <v>32538</v>
      </c>
      <c r="T12">
        <f t="shared" ca="1" si="16"/>
        <v>126789.38434604958</v>
      </c>
      <c r="U12">
        <f t="shared" ca="1" si="17"/>
        <v>4187.4744667823697</v>
      </c>
      <c r="V12">
        <f t="shared" ca="1" si="18"/>
        <v>425186.66215031972</v>
      </c>
      <c r="W12">
        <f t="shared" ca="1" si="19"/>
        <v>450564.04036278994</v>
      </c>
      <c r="Z12" s="4">
        <f t="shared" ca="1" si="20"/>
        <v>0</v>
      </c>
      <c r="AA12">
        <f t="shared" ca="1" si="21"/>
        <v>1</v>
      </c>
      <c r="AC12" s="5"/>
      <c r="AN12">
        <v>10</v>
      </c>
      <c r="AO12" t="s">
        <v>26</v>
      </c>
      <c r="AX12" s="10">
        <f ca="1">Table1[[#This Row],[Car Value]]/Table1[[#This Row],[No. of Vehicles]]</f>
        <v>17959.593841768699</v>
      </c>
      <c r="AZ12">
        <f ca="1">IF(Table1[[#This Row],[Debts]]&gt;$BA$3,1,0)</f>
        <v>1</v>
      </c>
      <c r="BC12" s="12">
        <f ca="1">Table1[[#This Row],[Mortage left]]/Table1[[#This Row],[Value of The House]]</f>
        <v>0.75630169319814156</v>
      </c>
      <c r="BD12" s="4">
        <f t="shared" ca="1" si="22"/>
        <v>0</v>
      </c>
      <c r="BE12" s="5"/>
      <c r="BG12" s="4" t="s">
        <v>26</v>
      </c>
      <c r="BH12" s="5">
        <f ca="1">AVERAGEIF(Table1[Area], "Newfouland", Table1[Income])</f>
        <v>55601.882352941175</v>
      </c>
    </row>
    <row r="13" spans="4:68" x14ac:dyDescent="0.3">
      <c r="D13">
        <f t="shared" ca="1" si="1"/>
        <v>2</v>
      </c>
      <c r="E13" t="str">
        <f t="shared" ca="1" si="2"/>
        <v>Female</v>
      </c>
      <c r="F13">
        <f t="shared" ca="1" si="3"/>
        <v>43</v>
      </c>
      <c r="G13">
        <f t="shared" ca="1" si="4"/>
        <v>3</v>
      </c>
      <c r="H13" t="str">
        <f t="shared" ca="1" si="5"/>
        <v>Teaching</v>
      </c>
      <c r="I13">
        <f t="shared" ca="1" si="6"/>
        <v>3</v>
      </c>
      <c r="J13" t="str">
        <f t="shared" ca="1" si="7"/>
        <v>University</v>
      </c>
      <c r="K13">
        <f t="shared" ca="1" si="8"/>
        <v>4</v>
      </c>
      <c r="L13">
        <f t="shared" ca="1" si="9"/>
        <v>1</v>
      </c>
      <c r="M13">
        <f t="shared" ca="1" si="10"/>
        <v>56831</v>
      </c>
      <c r="N13">
        <f t="shared" ca="1" si="11"/>
        <v>9</v>
      </c>
      <c r="O13" t="str">
        <f t="shared" ca="1" si="12"/>
        <v>Quebec</v>
      </c>
      <c r="P13">
        <f t="shared" ca="1" si="13"/>
        <v>284155</v>
      </c>
      <c r="Q13">
        <f t="shared" ca="1" si="14"/>
        <v>147087.02968175375</v>
      </c>
      <c r="R13">
        <f t="shared" ca="1" si="0"/>
        <v>9933.8445215468928</v>
      </c>
      <c r="S13">
        <f t="shared" ca="1" si="15"/>
        <v>9166</v>
      </c>
      <c r="T13">
        <f t="shared" ca="1" si="16"/>
        <v>15535.742907795184</v>
      </c>
      <c r="U13">
        <f t="shared" ca="1" si="17"/>
        <v>46302.017992715402</v>
      </c>
      <c r="V13">
        <f t="shared" ca="1" si="18"/>
        <v>340390.86251426232</v>
      </c>
      <c r="W13">
        <f t="shared" ca="1" si="19"/>
        <v>171788.77258954893</v>
      </c>
      <c r="Z13" s="4">
        <f t="shared" ca="1" si="20"/>
        <v>0</v>
      </c>
      <c r="AA13">
        <f t="shared" ca="1" si="21"/>
        <v>1</v>
      </c>
      <c r="AC13" s="5"/>
      <c r="AN13">
        <v>11</v>
      </c>
      <c r="AO13" t="s">
        <v>27</v>
      </c>
      <c r="AX13" s="10">
        <f ca="1">Table1[[#This Row],[Car Value]]/Table1[[#This Row],[No. of Vehicles]]</f>
        <v>9933.8445215468928</v>
      </c>
      <c r="AZ13">
        <f ca="1">IF(Table1[[#This Row],[Debts]]&gt;$BA$3,1,0)</f>
        <v>0</v>
      </c>
      <c r="BC13" s="12">
        <f ca="1">Table1[[#This Row],[Mortage left]]/Table1[[#This Row],[Value of The House]]</f>
        <v>0.51762956724940168</v>
      </c>
      <c r="BD13" s="4">
        <f t="shared" ca="1" si="22"/>
        <v>0</v>
      </c>
      <c r="BE13" s="5"/>
      <c r="BG13" s="4" t="s">
        <v>61</v>
      </c>
      <c r="BH13" s="5">
        <f ca="1">AVERAGEIF(Table1[Area], "New bruncwick", Table1[Income])</f>
        <v>58167.925000000003</v>
      </c>
    </row>
    <row r="14" spans="4:68" x14ac:dyDescent="0.3">
      <c r="D14">
        <f t="shared" ca="1" si="1"/>
        <v>1</v>
      </c>
      <c r="E14" t="str">
        <f t="shared" ca="1" si="2"/>
        <v>Male</v>
      </c>
      <c r="F14">
        <f t="shared" ca="1" si="3"/>
        <v>40</v>
      </c>
      <c r="G14">
        <f t="shared" ca="1" si="4"/>
        <v>1</v>
      </c>
      <c r="H14" t="str">
        <f t="shared" ca="1" si="5"/>
        <v>Health</v>
      </c>
      <c r="I14">
        <f t="shared" ca="1" si="6"/>
        <v>5</v>
      </c>
      <c r="J14" t="str">
        <f t="shared" ca="1" si="7"/>
        <v>Other</v>
      </c>
      <c r="K14">
        <f t="shared" ca="1" si="8"/>
        <v>2</v>
      </c>
      <c r="L14">
        <f t="shared" ca="1" si="9"/>
        <v>2</v>
      </c>
      <c r="M14">
        <f t="shared" ca="1" si="10"/>
        <v>76455</v>
      </c>
      <c r="N14">
        <f t="shared" ca="1" si="11"/>
        <v>3</v>
      </c>
      <c r="O14" t="str">
        <f t="shared" ca="1" si="12"/>
        <v>Northwest Ter</v>
      </c>
      <c r="P14">
        <f t="shared" ca="1" si="13"/>
        <v>458730</v>
      </c>
      <c r="Q14">
        <f t="shared" ca="1" si="14"/>
        <v>326116.56479042768</v>
      </c>
      <c r="R14">
        <f t="shared" ca="1" si="0"/>
        <v>80358.750750598614</v>
      </c>
      <c r="S14">
        <f t="shared" ca="1" si="15"/>
        <v>7692</v>
      </c>
      <c r="T14">
        <f t="shared" ca="1" si="16"/>
        <v>24480.772235315642</v>
      </c>
      <c r="U14">
        <f t="shared" ca="1" si="17"/>
        <v>88048.157887815571</v>
      </c>
      <c r="V14">
        <f t="shared" ca="1" si="18"/>
        <v>627136.90863841423</v>
      </c>
      <c r="W14">
        <f t="shared" ca="1" si="19"/>
        <v>358289.33702574333</v>
      </c>
      <c r="Z14" s="4">
        <f t="shared" ca="1" si="20"/>
        <v>1</v>
      </c>
      <c r="AA14">
        <f t="shared" ca="1" si="21"/>
        <v>0</v>
      </c>
      <c r="AC14" s="5"/>
      <c r="AN14">
        <v>12</v>
      </c>
      <c r="AO14" t="s">
        <v>28</v>
      </c>
      <c r="AX14" s="10">
        <f ca="1">Table1[[#This Row],[Car Value]]/Table1[[#This Row],[No. of Vehicles]]</f>
        <v>40179.375375299307</v>
      </c>
      <c r="AZ14">
        <f ca="1">IF(Table1[[#This Row],[Debts]]&gt;$BA$3,1,0)</f>
        <v>1</v>
      </c>
      <c r="BC14" s="12">
        <f ca="1">Table1[[#This Row],[Mortage left]]/Table1[[#This Row],[Value of The House]]</f>
        <v>0.71091178861296989</v>
      </c>
      <c r="BD14" s="4">
        <f t="shared" ca="1" si="22"/>
        <v>0</v>
      </c>
      <c r="BE14" s="5"/>
      <c r="BG14" s="4" t="s">
        <v>63</v>
      </c>
      <c r="BH14" s="5">
        <f ca="1">AVERAGEIF(Table1[Area], "Nova scotia", Table1[Income])</f>
        <v>55032.454545454544</v>
      </c>
    </row>
    <row r="15" spans="4:68" ht="15" thickBot="1" x14ac:dyDescent="0.35">
      <c r="D15">
        <f t="shared" ca="1" si="1"/>
        <v>1</v>
      </c>
      <c r="E15" t="str">
        <f t="shared" ca="1" si="2"/>
        <v>Male</v>
      </c>
      <c r="F15">
        <f t="shared" ca="1" si="3"/>
        <v>38</v>
      </c>
      <c r="G15">
        <f t="shared" ca="1" si="4"/>
        <v>5</v>
      </c>
      <c r="H15" t="str">
        <f t="shared" ca="1" si="5"/>
        <v>Agriculture</v>
      </c>
      <c r="I15">
        <f t="shared" ca="1" si="6"/>
        <v>2</v>
      </c>
      <c r="J15" t="str">
        <f t="shared" ca="1" si="7"/>
        <v>College</v>
      </c>
      <c r="K15">
        <f t="shared" ca="1" si="8"/>
        <v>3</v>
      </c>
      <c r="L15">
        <f t="shared" ca="1" si="9"/>
        <v>1</v>
      </c>
      <c r="M15">
        <f t="shared" ca="1" si="10"/>
        <v>69441</v>
      </c>
      <c r="N15">
        <f t="shared" ca="1" si="11"/>
        <v>6</v>
      </c>
      <c r="O15" t="str">
        <f t="shared" ca="1" si="12"/>
        <v>Saskatchewan</v>
      </c>
      <c r="P15">
        <f t="shared" ca="1" si="13"/>
        <v>416646</v>
      </c>
      <c r="Q15">
        <f t="shared" ca="1" si="14"/>
        <v>34967.353596524896</v>
      </c>
      <c r="R15">
        <f t="shared" ca="1" si="0"/>
        <v>63053.980474709511</v>
      </c>
      <c r="S15">
        <f t="shared" ca="1" si="15"/>
        <v>50681</v>
      </c>
      <c r="T15">
        <f t="shared" ca="1" si="16"/>
        <v>74942.031628890138</v>
      </c>
      <c r="U15">
        <f t="shared" ca="1" si="17"/>
        <v>21818.52586883304</v>
      </c>
      <c r="V15">
        <f t="shared" ca="1" si="18"/>
        <v>501518.5063435426</v>
      </c>
      <c r="W15">
        <f t="shared" ca="1" si="19"/>
        <v>160590.38522541503</v>
      </c>
      <c r="Z15" s="4">
        <f t="shared" ca="1" si="20"/>
        <v>1</v>
      </c>
      <c r="AA15">
        <f t="shared" ca="1" si="21"/>
        <v>0</v>
      </c>
      <c r="AC15" s="5"/>
      <c r="AN15">
        <v>13</v>
      </c>
      <c r="AO15" t="s">
        <v>29</v>
      </c>
      <c r="AX15" s="10">
        <f ca="1">Table1[[#This Row],[Car Value]]/Table1[[#This Row],[No. of Vehicles]]</f>
        <v>63053.980474709511</v>
      </c>
      <c r="AZ15">
        <f ca="1">IF(Table1[[#This Row],[Debts]]&gt;$BA$3,1,0)</f>
        <v>1</v>
      </c>
      <c r="BC15" s="12">
        <f ca="1">Table1[[#This Row],[Mortage left]]/Table1[[#This Row],[Value of The House]]</f>
        <v>8.3925811351902802E-2</v>
      </c>
      <c r="BD15" s="4">
        <f t="shared" ca="1" si="22"/>
        <v>1</v>
      </c>
      <c r="BE15" s="5"/>
      <c r="BG15" s="6" t="s">
        <v>62</v>
      </c>
      <c r="BH15" s="8">
        <f ca="1">AVERAGEIF(Table1[Area], "Prince Edward Islnd", Table1[Income])</f>
        <v>61583.0625</v>
      </c>
    </row>
    <row r="16" spans="4:68" x14ac:dyDescent="0.3">
      <c r="D16">
        <f t="shared" ca="1" si="1"/>
        <v>1</v>
      </c>
      <c r="E16" t="str">
        <f t="shared" ca="1" si="2"/>
        <v>Male</v>
      </c>
      <c r="F16">
        <f t="shared" ca="1" si="3"/>
        <v>30</v>
      </c>
      <c r="G16">
        <f t="shared" ca="1" si="4"/>
        <v>1</v>
      </c>
      <c r="H16" t="str">
        <f t="shared" ca="1" si="5"/>
        <v>Health</v>
      </c>
      <c r="I16">
        <f t="shared" ca="1" si="6"/>
        <v>4</v>
      </c>
      <c r="J16" t="str">
        <f t="shared" ca="1" si="7"/>
        <v>Technical</v>
      </c>
      <c r="K16">
        <f t="shared" ca="1" si="8"/>
        <v>0</v>
      </c>
      <c r="L16">
        <f t="shared" ca="1" si="9"/>
        <v>2</v>
      </c>
      <c r="M16">
        <f t="shared" ca="1" si="10"/>
        <v>69197</v>
      </c>
      <c r="N16">
        <f t="shared" ca="1" si="11"/>
        <v>12</v>
      </c>
      <c r="O16" t="str">
        <f t="shared" ca="1" si="12"/>
        <v>Nova scotia</v>
      </c>
      <c r="P16">
        <f t="shared" ca="1" si="13"/>
        <v>415182</v>
      </c>
      <c r="Q16">
        <f t="shared" ca="1" si="14"/>
        <v>85897.096126137229</v>
      </c>
      <c r="R16">
        <f t="shared" ca="1" si="0"/>
        <v>87626.631185726743</v>
      </c>
      <c r="S16">
        <f t="shared" ca="1" si="15"/>
        <v>23334</v>
      </c>
      <c r="T16">
        <f t="shared" ca="1" si="16"/>
        <v>5334.4193264335854</v>
      </c>
      <c r="U16">
        <f t="shared" ca="1" si="17"/>
        <v>74487.212502388124</v>
      </c>
      <c r="V16">
        <f t="shared" ca="1" si="18"/>
        <v>577295.8436881149</v>
      </c>
      <c r="W16">
        <f t="shared" ca="1" si="19"/>
        <v>114565.51545257082</v>
      </c>
      <c r="Z16" s="4">
        <f t="shared" ca="1" si="20"/>
        <v>1</v>
      </c>
      <c r="AA16">
        <f t="shared" ca="1" si="21"/>
        <v>0</v>
      </c>
      <c r="AC16" s="5"/>
      <c r="AX16" s="10">
        <f ca="1">Table1[[#This Row],[Car Value]]/Table1[[#This Row],[No. of Vehicles]]</f>
        <v>43813.315592863371</v>
      </c>
      <c r="AZ16">
        <f ca="1">IF(Table1[[#This Row],[Debts]]&gt;$BA$3,1,0)</f>
        <v>0</v>
      </c>
      <c r="BC16" s="12">
        <f ca="1">Table1[[#This Row],[Mortage left]]/Table1[[#This Row],[Value of The House]]</f>
        <v>0.20689022194155149</v>
      </c>
      <c r="BD16" s="4">
        <f t="shared" ca="1" si="22"/>
        <v>0</v>
      </c>
      <c r="BE16" s="5"/>
    </row>
    <row r="17" spans="4:57" x14ac:dyDescent="0.3">
      <c r="D17">
        <f t="shared" ca="1" si="1"/>
        <v>2</v>
      </c>
      <c r="E17" t="str">
        <f t="shared" ca="1" si="2"/>
        <v>Female</v>
      </c>
      <c r="F17">
        <f t="shared" ca="1" si="3"/>
        <v>41</v>
      </c>
      <c r="G17">
        <f t="shared" ca="1" si="4"/>
        <v>2</v>
      </c>
      <c r="H17" t="str">
        <f t="shared" ca="1" si="5"/>
        <v>Construction</v>
      </c>
      <c r="I17">
        <f t="shared" ca="1" si="6"/>
        <v>3</v>
      </c>
      <c r="J17" t="str">
        <f t="shared" ca="1" si="7"/>
        <v>University</v>
      </c>
      <c r="K17">
        <f t="shared" ca="1" si="8"/>
        <v>3</v>
      </c>
      <c r="L17">
        <f t="shared" ca="1" si="9"/>
        <v>2</v>
      </c>
      <c r="M17">
        <f t="shared" ca="1" si="10"/>
        <v>49302</v>
      </c>
      <c r="N17">
        <f t="shared" ca="1" si="11"/>
        <v>8</v>
      </c>
      <c r="O17" t="str">
        <f t="shared" ca="1" si="12"/>
        <v>Ontario</v>
      </c>
      <c r="P17">
        <f t="shared" ca="1" si="13"/>
        <v>295812</v>
      </c>
      <c r="Q17">
        <f t="shared" ca="1" si="14"/>
        <v>71582.177690157143</v>
      </c>
      <c r="R17">
        <f t="shared" ca="1" si="0"/>
        <v>53916.113040313779</v>
      </c>
      <c r="S17">
        <f t="shared" ca="1" si="15"/>
        <v>47912</v>
      </c>
      <c r="T17">
        <f t="shared" ca="1" si="16"/>
        <v>33843.248380836842</v>
      </c>
      <c r="U17">
        <f t="shared" ca="1" si="17"/>
        <v>33235.773962420157</v>
      </c>
      <c r="V17">
        <f t="shared" ca="1" si="18"/>
        <v>382963.88700273394</v>
      </c>
      <c r="W17">
        <f t="shared" ca="1" si="19"/>
        <v>153337.426070994</v>
      </c>
      <c r="Z17" s="4">
        <f t="shared" ca="1" si="20"/>
        <v>0</v>
      </c>
      <c r="AA17">
        <f t="shared" ca="1" si="21"/>
        <v>1</v>
      </c>
      <c r="AC17" s="5"/>
      <c r="AX17" s="10">
        <f ca="1">Table1[[#This Row],[Car Value]]/Table1[[#This Row],[No. of Vehicles]]</f>
        <v>26958.05652015689</v>
      </c>
      <c r="AZ17">
        <f ca="1">IF(Table1[[#This Row],[Debts]]&gt;$BA$3,1,0)</f>
        <v>1</v>
      </c>
      <c r="BC17" s="12">
        <f ca="1">Table1[[#This Row],[Mortage left]]/Table1[[#This Row],[Value of The House]]</f>
        <v>0.24198537479938997</v>
      </c>
      <c r="BD17" s="4">
        <f t="shared" ca="1" si="22"/>
        <v>0</v>
      </c>
      <c r="BE17" s="5"/>
    </row>
    <row r="18" spans="4:57" x14ac:dyDescent="0.3">
      <c r="D18">
        <f t="shared" ca="1" si="1"/>
        <v>1</v>
      </c>
      <c r="E18" t="str">
        <f t="shared" ca="1" si="2"/>
        <v>Male</v>
      </c>
      <c r="F18">
        <f t="shared" ca="1" si="3"/>
        <v>45</v>
      </c>
      <c r="G18">
        <f t="shared" ca="1" si="4"/>
        <v>1</v>
      </c>
      <c r="H18" t="str">
        <f t="shared" ca="1" si="5"/>
        <v>Health</v>
      </c>
      <c r="I18">
        <f t="shared" ca="1" si="6"/>
        <v>4</v>
      </c>
      <c r="J18" t="str">
        <f t="shared" ca="1" si="7"/>
        <v>Technical</v>
      </c>
      <c r="K18">
        <f t="shared" ca="1" si="8"/>
        <v>4</v>
      </c>
      <c r="L18">
        <f t="shared" ca="1" si="9"/>
        <v>2</v>
      </c>
      <c r="M18">
        <f t="shared" ca="1" si="10"/>
        <v>46322</v>
      </c>
      <c r="N18">
        <f t="shared" ca="1" si="11"/>
        <v>11</v>
      </c>
      <c r="O18" t="str">
        <f t="shared" ca="1" si="12"/>
        <v>New bruncwick</v>
      </c>
      <c r="P18">
        <f t="shared" ca="1" si="13"/>
        <v>185288</v>
      </c>
      <c r="Q18">
        <f t="shared" ca="1" si="14"/>
        <v>46413.560381796226</v>
      </c>
      <c r="R18">
        <f t="shared" ca="1" si="0"/>
        <v>47001.142580165615</v>
      </c>
      <c r="S18">
        <f t="shared" ca="1" si="15"/>
        <v>1337</v>
      </c>
      <c r="T18">
        <f t="shared" ca="1" si="16"/>
        <v>46969.200717456195</v>
      </c>
      <c r="U18">
        <f t="shared" ca="1" si="17"/>
        <v>41574.952395672837</v>
      </c>
      <c r="V18">
        <f t="shared" ca="1" si="18"/>
        <v>273864.09497583844</v>
      </c>
      <c r="W18">
        <f t="shared" ca="1" si="19"/>
        <v>94719.761099252413</v>
      </c>
      <c r="Z18" s="4">
        <f t="shared" ca="1" si="20"/>
        <v>1</v>
      </c>
      <c r="AA18">
        <f t="shared" ca="1" si="21"/>
        <v>0</v>
      </c>
      <c r="AC18" s="5"/>
      <c r="AX18" s="10">
        <f ca="1">Table1[[#This Row],[Car Value]]/Table1[[#This Row],[No. of Vehicles]]</f>
        <v>23500.571290082808</v>
      </c>
      <c r="AZ18">
        <f ca="1">IF(Table1[[#This Row],[Debts]]&gt;$BA$3,1,0)</f>
        <v>1</v>
      </c>
      <c r="BC18" s="12">
        <f ca="1">Table1[[#This Row],[Mortage left]]/Table1[[#This Row],[Value of The House]]</f>
        <v>0.25049415170867095</v>
      </c>
      <c r="BD18" s="4">
        <f t="shared" ca="1" si="22"/>
        <v>0</v>
      </c>
      <c r="BE18" s="5"/>
    </row>
    <row r="19" spans="4:57" x14ac:dyDescent="0.3">
      <c r="D19">
        <f t="shared" ca="1" si="1"/>
        <v>2</v>
      </c>
      <c r="E19" t="str">
        <f t="shared" ca="1" si="2"/>
        <v>Female</v>
      </c>
      <c r="F19">
        <f t="shared" ca="1" si="3"/>
        <v>33</v>
      </c>
      <c r="G19">
        <f t="shared" ca="1" si="4"/>
        <v>4</v>
      </c>
      <c r="H19" t="str">
        <f t="shared" ca="1" si="5"/>
        <v>IT</v>
      </c>
      <c r="I19">
        <f t="shared" ca="1" si="6"/>
        <v>3</v>
      </c>
      <c r="J19" t="str">
        <f t="shared" ca="1" si="7"/>
        <v>University</v>
      </c>
      <c r="K19">
        <f t="shared" ca="1" si="8"/>
        <v>2</v>
      </c>
      <c r="L19">
        <f t="shared" ca="1" si="9"/>
        <v>2</v>
      </c>
      <c r="M19">
        <f t="shared" ca="1" si="10"/>
        <v>84112</v>
      </c>
      <c r="N19">
        <f t="shared" ca="1" si="11"/>
        <v>1</v>
      </c>
      <c r="O19" t="str">
        <f t="shared" ca="1" si="12"/>
        <v>Yukon</v>
      </c>
      <c r="P19">
        <f t="shared" ca="1" si="13"/>
        <v>504672</v>
      </c>
      <c r="Q19">
        <f t="shared" ca="1" si="14"/>
        <v>279877.84318209771</v>
      </c>
      <c r="R19">
        <f t="shared" ca="1" si="0"/>
        <v>4707.3166631705726</v>
      </c>
      <c r="S19">
        <f t="shared" ca="1" si="15"/>
        <v>3923</v>
      </c>
      <c r="T19">
        <f t="shared" ca="1" si="16"/>
        <v>51366.846261933242</v>
      </c>
      <c r="U19">
        <f t="shared" ca="1" si="17"/>
        <v>51151.441561087544</v>
      </c>
      <c r="V19">
        <f t="shared" ca="1" si="18"/>
        <v>560530.75822425808</v>
      </c>
      <c r="W19">
        <f t="shared" ca="1" si="19"/>
        <v>335167.68944403098</v>
      </c>
      <c r="Z19" s="4">
        <f t="shared" ca="1" si="20"/>
        <v>0</v>
      </c>
      <c r="AA19">
        <f t="shared" ca="1" si="21"/>
        <v>1</v>
      </c>
      <c r="AC19" s="5"/>
      <c r="AX19" s="10">
        <f ca="1">Table1[[#This Row],[Car Value]]/Table1[[#This Row],[No. of Vehicles]]</f>
        <v>2353.6583315852863</v>
      </c>
      <c r="AZ19">
        <f ca="1">IF(Table1[[#This Row],[Debts]]&gt;$BA$3,1,0)</f>
        <v>1</v>
      </c>
      <c r="BC19" s="12">
        <f ca="1">Table1[[#This Row],[Mortage left]]/Table1[[#This Row],[Value of The House]]</f>
        <v>0.55457374925119229</v>
      </c>
      <c r="BD19" s="4">
        <f t="shared" ca="1" si="22"/>
        <v>0</v>
      </c>
      <c r="BE19" s="5"/>
    </row>
    <row r="20" spans="4:57" x14ac:dyDescent="0.3">
      <c r="D20">
        <f t="shared" ca="1" si="1"/>
        <v>1</v>
      </c>
      <c r="E20" t="str">
        <f t="shared" ca="1" si="2"/>
        <v>Male</v>
      </c>
      <c r="F20">
        <f t="shared" ca="1" si="3"/>
        <v>44</v>
      </c>
      <c r="G20">
        <f t="shared" ca="1" si="4"/>
        <v>4</v>
      </c>
      <c r="H20" t="str">
        <f t="shared" ca="1" si="5"/>
        <v>IT</v>
      </c>
      <c r="I20">
        <f t="shared" ca="1" si="6"/>
        <v>2</v>
      </c>
      <c r="J20" t="str">
        <f t="shared" ca="1" si="7"/>
        <v>College</v>
      </c>
      <c r="K20">
        <f t="shared" ca="1" si="8"/>
        <v>2</v>
      </c>
      <c r="L20">
        <f t="shared" ca="1" si="9"/>
        <v>1</v>
      </c>
      <c r="M20">
        <f t="shared" ca="1" si="10"/>
        <v>26203</v>
      </c>
      <c r="N20">
        <f t="shared" ca="1" si="11"/>
        <v>1</v>
      </c>
      <c r="O20" t="str">
        <f t="shared" ca="1" si="12"/>
        <v>Yukon</v>
      </c>
      <c r="P20">
        <f t="shared" ca="1" si="13"/>
        <v>157218</v>
      </c>
      <c r="Q20">
        <f t="shared" ca="1" si="14"/>
        <v>5017.81573827991</v>
      </c>
      <c r="R20">
        <f t="shared" ca="1" si="0"/>
        <v>11169.138894378531</v>
      </c>
      <c r="S20">
        <f t="shared" ca="1" si="15"/>
        <v>10953</v>
      </c>
      <c r="T20">
        <f t="shared" ca="1" si="16"/>
        <v>37670.479381420046</v>
      </c>
      <c r="U20">
        <f t="shared" ca="1" si="17"/>
        <v>38429.76623447091</v>
      </c>
      <c r="V20">
        <f t="shared" ca="1" si="18"/>
        <v>206816.90512884944</v>
      </c>
      <c r="W20">
        <f t="shared" ca="1" si="19"/>
        <v>53641.295119699957</v>
      </c>
      <c r="Z20" s="4">
        <f t="shared" ca="1" si="20"/>
        <v>1</v>
      </c>
      <c r="AA20">
        <f t="shared" ca="1" si="21"/>
        <v>0</v>
      </c>
      <c r="AC20" s="5"/>
      <c r="AX20" s="10">
        <f ca="1">Table1[[#This Row],[Car Value]]/Table1[[#This Row],[No. of Vehicles]]</f>
        <v>11169.138894378531</v>
      </c>
      <c r="AZ20">
        <f ca="1">IF(Table1[[#This Row],[Debts]]&gt;$BA$3,1,0)</f>
        <v>1</v>
      </c>
      <c r="BC20" s="12">
        <f ca="1">Table1[[#This Row],[Mortage left]]/Table1[[#This Row],[Value of The House]]</f>
        <v>3.1916292907172905E-2</v>
      </c>
      <c r="BD20" s="4">
        <f t="shared" ca="1" si="22"/>
        <v>1</v>
      </c>
      <c r="BE20" s="5"/>
    </row>
    <row r="21" spans="4:57" x14ac:dyDescent="0.3">
      <c r="D21">
        <f t="shared" ca="1" si="1"/>
        <v>1</v>
      </c>
      <c r="E21" t="str">
        <f t="shared" ca="1" si="2"/>
        <v>Male</v>
      </c>
      <c r="F21">
        <f t="shared" ca="1" si="3"/>
        <v>29</v>
      </c>
      <c r="G21">
        <f t="shared" ca="1" si="4"/>
        <v>4</v>
      </c>
      <c r="H21" t="str">
        <f t="shared" ca="1" si="5"/>
        <v>IT</v>
      </c>
      <c r="I21">
        <f t="shared" ca="1" si="6"/>
        <v>2</v>
      </c>
      <c r="J21" t="str">
        <f t="shared" ca="1" si="7"/>
        <v>College</v>
      </c>
      <c r="K21">
        <f t="shared" ca="1" si="8"/>
        <v>3</v>
      </c>
      <c r="L21">
        <f t="shared" ca="1" si="9"/>
        <v>2</v>
      </c>
      <c r="M21">
        <f t="shared" ca="1" si="10"/>
        <v>46767</v>
      </c>
      <c r="N21">
        <f t="shared" ca="1" si="11"/>
        <v>3</v>
      </c>
      <c r="O21" t="str">
        <f t="shared" ca="1" si="12"/>
        <v>Northwest Ter</v>
      </c>
      <c r="P21">
        <f t="shared" ca="1" si="13"/>
        <v>187068</v>
      </c>
      <c r="Q21">
        <f t="shared" ca="1" si="14"/>
        <v>80652.042825911776</v>
      </c>
      <c r="R21">
        <f t="shared" ca="1" si="0"/>
        <v>3875.0504725192482</v>
      </c>
      <c r="S21">
        <f t="shared" ca="1" si="15"/>
        <v>3281</v>
      </c>
      <c r="T21">
        <f t="shared" ca="1" si="16"/>
        <v>41669.544586940654</v>
      </c>
      <c r="U21">
        <f t="shared" ca="1" si="17"/>
        <v>20190.078313228289</v>
      </c>
      <c r="V21">
        <f t="shared" ca="1" si="18"/>
        <v>211133.12878574754</v>
      </c>
      <c r="W21">
        <f t="shared" ca="1" si="19"/>
        <v>125602.58741285243</v>
      </c>
      <c r="Z21" s="4">
        <f t="shared" ca="1" si="20"/>
        <v>1</v>
      </c>
      <c r="AA21">
        <f t="shared" ca="1" si="21"/>
        <v>0</v>
      </c>
      <c r="AC21" s="5"/>
      <c r="AX21" s="10">
        <f ca="1">Table1[[#This Row],[Car Value]]/Table1[[#This Row],[No. of Vehicles]]</f>
        <v>1937.5252362596241</v>
      </c>
      <c r="AZ21">
        <f ca="1">IF(Table1[[#This Row],[Debts]]&gt;$BA$3,1,0)</f>
        <v>1</v>
      </c>
      <c r="BC21" s="12">
        <f ca="1">Table1[[#This Row],[Mortage left]]/Table1[[#This Row],[Value of The House]]</f>
        <v>0.43113756936467901</v>
      </c>
      <c r="BD21" s="4">
        <f t="shared" ca="1" si="22"/>
        <v>0</v>
      </c>
      <c r="BE21" s="5"/>
    </row>
    <row r="22" spans="4:57" x14ac:dyDescent="0.3">
      <c r="D22">
        <f t="shared" ca="1" si="1"/>
        <v>2</v>
      </c>
      <c r="E22" t="str">
        <f t="shared" ca="1" si="2"/>
        <v>Female</v>
      </c>
      <c r="F22">
        <f t="shared" ca="1" si="3"/>
        <v>32</v>
      </c>
      <c r="G22">
        <f t="shared" ca="1" si="4"/>
        <v>4</v>
      </c>
      <c r="H22" t="str">
        <f t="shared" ca="1" si="5"/>
        <v>IT</v>
      </c>
      <c r="I22">
        <f t="shared" ca="1" si="6"/>
        <v>2</v>
      </c>
      <c r="J22" t="str">
        <f t="shared" ca="1" si="7"/>
        <v>College</v>
      </c>
      <c r="K22">
        <f t="shared" ca="1" si="8"/>
        <v>2</v>
      </c>
      <c r="L22">
        <f t="shared" ca="1" si="9"/>
        <v>1</v>
      </c>
      <c r="M22">
        <f t="shared" ca="1" si="10"/>
        <v>52579</v>
      </c>
      <c r="N22">
        <f t="shared" ca="1" si="11"/>
        <v>5</v>
      </c>
      <c r="O22" t="str">
        <f t="shared" ca="1" si="12"/>
        <v>Nunavut</v>
      </c>
      <c r="P22">
        <f t="shared" ca="1" si="13"/>
        <v>262895</v>
      </c>
      <c r="Q22">
        <f t="shared" ca="1" si="14"/>
        <v>212598.36609380328</v>
      </c>
      <c r="R22">
        <f t="shared" ca="1" si="0"/>
        <v>8474.2356425593462</v>
      </c>
      <c r="S22">
        <f t="shared" ca="1" si="15"/>
        <v>4135</v>
      </c>
      <c r="T22">
        <f t="shared" ca="1" si="16"/>
        <v>10930.284077252765</v>
      </c>
      <c r="U22">
        <f t="shared" ca="1" si="17"/>
        <v>62854.113168136013</v>
      </c>
      <c r="V22">
        <f t="shared" ca="1" si="18"/>
        <v>334223.34881069534</v>
      </c>
      <c r="W22">
        <f t="shared" ca="1" si="19"/>
        <v>227663.65017105604</v>
      </c>
      <c r="Z22" s="4">
        <f t="shared" ca="1" si="20"/>
        <v>0</v>
      </c>
      <c r="AA22">
        <f t="shared" ca="1" si="21"/>
        <v>1</v>
      </c>
      <c r="AC22" s="5"/>
      <c r="AX22" s="10">
        <f ca="1">Table1[[#This Row],[Car Value]]/Table1[[#This Row],[No. of Vehicles]]</f>
        <v>8474.2356425593462</v>
      </c>
      <c r="AZ22">
        <f ca="1">IF(Table1[[#This Row],[Debts]]&gt;$BA$3,1,0)</f>
        <v>0</v>
      </c>
      <c r="BC22" s="12">
        <f ca="1">Table1[[#This Row],[Mortage left]]/Table1[[#This Row],[Value of The House]]</f>
        <v>0.80868166413892728</v>
      </c>
      <c r="BD22" s="4">
        <f t="shared" ca="1" si="22"/>
        <v>0</v>
      </c>
      <c r="BE22" s="5"/>
    </row>
    <row r="23" spans="4:57" x14ac:dyDescent="0.3">
      <c r="D23">
        <f t="shared" ca="1" si="1"/>
        <v>2</v>
      </c>
      <c r="E23" t="str">
        <f t="shared" ca="1" si="2"/>
        <v>Female</v>
      </c>
      <c r="F23">
        <f t="shared" ca="1" si="3"/>
        <v>44</v>
      </c>
      <c r="G23">
        <f t="shared" ca="1" si="4"/>
        <v>2</v>
      </c>
      <c r="H23" t="str">
        <f t="shared" ca="1" si="5"/>
        <v>Construction</v>
      </c>
      <c r="I23">
        <f t="shared" ca="1" si="6"/>
        <v>4</v>
      </c>
      <c r="J23" t="str">
        <f t="shared" ca="1" si="7"/>
        <v>Technical</v>
      </c>
      <c r="K23">
        <f t="shared" ca="1" si="8"/>
        <v>1</v>
      </c>
      <c r="L23">
        <f t="shared" ca="1" si="9"/>
        <v>1</v>
      </c>
      <c r="M23">
        <f t="shared" ca="1" si="10"/>
        <v>69261</v>
      </c>
      <c r="N23">
        <f t="shared" ca="1" si="11"/>
        <v>12</v>
      </c>
      <c r="O23" t="str">
        <f t="shared" ca="1" si="12"/>
        <v>Nova scotia</v>
      </c>
      <c r="P23">
        <f t="shared" ca="1" si="13"/>
        <v>346305</v>
      </c>
      <c r="Q23">
        <f t="shared" ca="1" si="14"/>
        <v>102986.14408033092</v>
      </c>
      <c r="R23">
        <f t="shared" ca="1" si="0"/>
        <v>25878.154594924836</v>
      </c>
      <c r="S23">
        <f t="shared" ca="1" si="15"/>
        <v>13995</v>
      </c>
      <c r="T23">
        <f t="shared" ca="1" si="16"/>
        <v>6965.7896853830889</v>
      </c>
      <c r="U23">
        <f t="shared" ca="1" si="17"/>
        <v>44431.823153619334</v>
      </c>
      <c r="V23">
        <f t="shared" ca="1" si="18"/>
        <v>416614.97774854419</v>
      </c>
      <c r="W23">
        <f t="shared" ca="1" si="19"/>
        <v>123946.93376571401</v>
      </c>
      <c r="Z23" s="4">
        <f t="shared" ca="1" si="20"/>
        <v>0</v>
      </c>
      <c r="AA23">
        <f t="shared" ca="1" si="21"/>
        <v>1</v>
      </c>
      <c r="AC23" s="5"/>
      <c r="AX23" s="10">
        <f ca="1">Table1[[#This Row],[Car Value]]/Table1[[#This Row],[No. of Vehicles]]</f>
        <v>25878.154594924836</v>
      </c>
      <c r="AZ23">
        <f ca="1">IF(Table1[[#This Row],[Debts]]&gt;$BA$3,1,0)</f>
        <v>0</v>
      </c>
      <c r="BC23" s="12">
        <f ca="1">Table1[[#This Row],[Mortage left]]/Table1[[#This Row],[Value of The House]]</f>
        <v>0.29738566893441021</v>
      </c>
      <c r="BD23" s="4">
        <f t="shared" ca="1" si="22"/>
        <v>0</v>
      </c>
      <c r="BE23" s="5"/>
    </row>
    <row r="24" spans="4:57" x14ac:dyDescent="0.3">
      <c r="D24">
        <f t="shared" ca="1" si="1"/>
        <v>1</v>
      </c>
      <c r="E24" t="str">
        <f t="shared" ca="1" si="2"/>
        <v>Male</v>
      </c>
      <c r="F24">
        <f t="shared" ca="1" si="3"/>
        <v>32</v>
      </c>
      <c r="G24">
        <f t="shared" ca="1" si="4"/>
        <v>4</v>
      </c>
      <c r="H24" t="str">
        <f t="shared" ca="1" si="5"/>
        <v>IT</v>
      </c>
      <c r="I24">
        <f t="shared" ca="1" si="6"/>
        <v>2</v>
      </c>
      <c r="J24" t="str">
        <f t="shared" ca="1" si="7"/>
        <v>College</v>
      </c>
      <c r="K24">
        <f t="shared" ca="1" si="8"/>
        <v>3</v>
      </c>
      <c r="L24">
        <f t="shared" ca="1" si="9"/>
        <v>1</v>
      </c>
      <c r="M24">
        <f t="shared" ca="1" si="10"/>
        <v>67732</v>
      </c>
      <c r="N24">
        <f t="shared" ca="1" si="11"/>
        <v>12</v>
      </c>
      <c r="O24" t="str">
        <f t="shared" ca="1" si="12"/>
        <v>Nova scotia</v>
      </c>
      <c r="P24">
        <f t="shared" ca="1" si="13"/>
        <v>406392</v>
      </c>
      <c r="Q24">
        <f t="shared" ca="1" si="14"/>
        <v>59597.534021876963</v>
      </c>
      <c r="R24">
        <f t="shared" ca="1" si="0"/>
        <v>39818.145181649947</v>
      </c>
      <c r="S24">
        <f t="shared" ca="1" si="15"/>
        <v>32853</v>
      </c>
      <c r="T24">
        <f t="shared" ca="1" si="16"/>
        <v>52647.262565811194</v>
      </c>
      <c r="U24">
        <f t="shared" ca="1" si="17"/>
        <v>30490.497758440637</v>
      </c>
      <c r="V24">
        <f t="shared" ca="1" si="18"/>
        <v>476700.64294009056</v>
      </c>
      <c r="W24">
        <f t="shared" ca="1" si="19"/>
        <v>145097.79658768815</v>
      </c>
      <c r="Z24" s="4">
        <f t="shared" ca="1" si="20"/>
        <v>1</v>
      </c>
      <c r="AA24">
        <f t="shared" ca="1" si="21"/>
        <v>0</v>
      </c>
      <c r="AC24" s="5"/>
      <c r="AX24" s="10">
        <f ca="1">Table1[[#This Row],[Car Value]]/Table1[[#This Row],[No. of Vehicles]]</f>
        <v>39818.145181649947</v>
      </c>
      <c r="AZ24">
        <f ca="1">IF(Table1[[#This Row],[Debts]]&gt;$BA$3,1,0)</f>
        <v>1</v>
      </c>
      <c r="BC24" s="12">
        <f ca="1">Table1[[#This Row],[Mortage left]]/Table1[[#This Row],[Value of The House]]</f>
        <v>0.14665036226568673</v>
      </c>
      <c r="BD24" s="4">
        <f t="shared" ca="1" si="22"/>
        <v>1</v>
      </c>
      <c r="BE24" s="5"/>
    </row>
    <row r="25" spans="4:57" x14ac:dyDescent="0.3">
      <c r="D25">
        <f t="shared" ca="1" si="1"/>
        <v>1</v>
      </c>
      <c r="E25" t="str">
        <f t="shared" ca="1" si="2"/>
        <v>Male</v>
      </c>
      <c r="F25">
        <f t="shared" ca="1" si="3"/>
        <v>35</v>
      </c>
      <c r="G25">
        <f t="shared" ca="1" si="4"/>
        <v>1</v>
      </c>
      <c r="H25" t="str">
        <f t="shared" ca="1" si="5"/>
        <v>Health</v>
      </c>
      <c r="I25">
        <f t="shared" ca="1" si="6"/>
        <v>5</v>
      </c>
      <c r="J25" t="str">
        <f t="shared" ca="1" si="7"/>
        <v>Other</v>
      </c>
      <c r="K25">
        <f t="shared" ca="1" si="8"/>
        <v>4</v>
      </c>
      <c r="L25">
        <f t="shared" ca="1" si="9"/>
        <v>1</v>
      </c>
      <c r="M25">
        <f t="shared" ca="1" si="10"/>
        <v>57569</v>
      </c>
      <c r="N25">
        <f t="shared" ca="1" si="11"/>
        <v>11</v>
      </c>
      <c r="O25" t="str">
        <f t="shared" ca="1" si="12"/>
        <v>New bruncwick</v>
      </c>
      <c r="P25">
        <f t="shared" ca="1" si="13"/>
        <v>230276</v>
      </c>
      <c r="Q25">
        <f t="shared" ca="1" si="14"/>
        <v>120252.68782684728</v>
      </c>
      <c r="R25">
        <f t="shared" ca="1" si="0"/>
        <v>17873.22774021954</v>
      </c>
      <c r="S25">
        <f t="shared" ca="1" si="15"/>
        <v>12062</v>
      </c>
      <c r="T25">
        <f t="shared" ca="1" si="16"/>
        <v>50363.756564781987</v>
      </c>
      <c r="U25">
        <f t="shared" ca="1" si="17"/>
        <v>52652.724425611617</v>
      </c>
      <c r="V25">
        <f t="shared" ca="1" si="18"/>
        <v>300801.95216583117</v>
      </c>
      <c r="W25">
        <f t="shared" ca="1" si="19"/>
        <v>182678.44439162925</v>
      </c>
      <c r="Z25" s="4">
        <f t="shared" ca="1" si="20"/>
        <v>1</v>
      </c>
      <c r="AA25">
        <f t="shared" ca="1" si="21"/>
        <v>0</v>
      </c>
      <c r="AC25" s="5"/>
      <c r="AX25" s="10">
        <f ca="1">Table1[[#This Row],[Car Value]]/Table1[[#This Row],[No. of Vehicles]]</f>
        <v>17873.22774021954</v>
      </c>
      <c r="AZ25">
        <f ca="1">IF(Table1[[#This Row],[Debts]]&gt;$BA$3,1,0)</f>
        <v>1</v>
      </c>
      <c r="BC25" s="12">
        <f ca="1">Table1[[#This Row],[Mortage left]]/Table1[[#This Row],[Value of The House]]</f>
        <v>0.52221111981642587</v>
      </c>
      <c r="BD25" s="4">
        <f t="shared" ca="1" si="22"/>
        <v>0</v>
      </c>
      <c r="BE25" s="5"/>
    </row>
    <row r="26" spans="4:57" x14ac:dyDescent="0.3">
      <c r="D26">
        <f t="shared" ca="1" si="1"/>
        <v>2</v>
      </c>
      <c r="E26" t="str">
        <f t="shared" ca="1" si="2"/>
        <v>Female</v>
      </c>
      <c r="F26">
        <f t="shared" ca="1" si="3"/>
        <v>41</v>
      </c>
      <c r="G26">
        <f t="shared" ca="1" si="4"/>
        <v>2</v>
      </c>
      <c r="H26" t="str">
        <f t="shared" ca="1" si="5"/>
        <v>Construction</v>
      </c>
      <c r="I26">
        <f t="shared" ca="1" si="6"/>
        <v>3</v>
      </c>
      <c r="J26" t="str">
        <f t="shared" ca="1" si="7"/>
        <v>University</v>
      </c>
      <c r="K26">
        <f t="shared" ca="1" si="8"/>
        <v>3</v>
      </c>
      <c r="L26">
        <f t="shared" ca="1" si="9"/>
        <v>1</v>
      </c>
      <c r="M26">
        <f t="shared" ca="1" si="10"/>
        <v>69683</v>
      </c>
      <c r="N26">
        <f t="shared" ca="1" si="11"/>
        <v>8</v>
      </c>
      <c r="O26" t="str">
        <f t="shared" ca="1" si="12"/>
        <v>Ontario</v>
      </c>
      <c r="P26">
        <f t="shared" ca="1" si="13"/>
        <v>278732</v>
      </c>
      <c r="Q26">
        <f t="shared" ca="1" si="14"/>
        <v>254636.6045956701</v>
      </c>
      <c r="R26">
        <f t="shared" ca="1" si="0"/>
        <v>51950.238550112903</v>
      </c>
      <c r="S26">
        <f t="shared" ca="1" si="15"/>
        <v>25857</v>
      </c>
      <c r="T26">
        <f t="shared" ca="1" si="16"/>
        <v>39548.551501816211</v>
      </c>
      <c r="U26">
        <f t="shared" ca="1" si="17"/>
        <v>76081.110410935478</v>
      </c>
      <c r="V26">
        <f t="shared" ca="1" si="18"/>
        <v>406763.34896104841</v>
      </c>
      <c r="W26">
        <f t="shared" ca="1" si="19"/>
        <v>320042.15609748632</v>
      </c>
      <c r="Z26" s="4">
        <f t="shared" ca="1" si="20"/>
        <v>0</v>
      </c>
      <c r="AA26">
        <f t="shared" ca="1" si="21"/>
        <v>1</v>
      </c>
      <c r="AC26" s="5"/>
      <c r="AX26" s="10">
        <f ca="1">Table1[[#This Row],[Car Value]]/Table1[[#This Row],[No. of Vehicles]]</f>
        <v>51950.238550112903</v>
      </c>
      <c r="AZ26">
        <f ca="1">IF(Table1[[#This Row],[Debts]]&gt;$BA$3,1,0)</f>
        <v>1</v>
      </c>
      <c r="BC26" s="12">
        <f ca="1">Table1[[#This Row],[Mortage left]]/Table1[[#This Row],[Value of The House]]</f>
        <v>0.9135535374326238</v>
      </c>
      <c r="BD26" s="4">
        <f t="shared" ca="1" si="22"/>
        <v>0</v>
      </c>
      <c r="BE26" s="5"/>
    </row>
    <row r="27" spans="4:57" x14ac:dyDescent="0.3">
      <c r="D27">
        <f t="shared" ca="1" si="1"/>
        <v>2</v>
      </c>
      <c r="E27" t="str">
        <f t="shared" ca="1" si="2"/>
        <v>Female</v>
      </c>
      <c r="F27">
        <f t="shared" ca="1" si="3"/>
        <v>29</v>
      </c>
      <c r="G27">
        <f t="shared" ca="1" si="4"/>
        <v>5</v>
      </c>
      <c r="H27" t="str">
        <f t="shared" ca="1" si="5"/>
        <v>Agriculture</v>
      </c>
      <c r="I27">
        <f t="shared" ca="1" si="6"/>
        <v>1</v>
      </c>
      <c r="J27" t="str">
        <f t="shared" ca="1" si="7"/>
        <v>High School</v>
      </c>
      <c r="K27">
        <f t="shared" ca="1" si="8"/>
        <v>2</v>
      </c>
      <c r="L27">
        <f t="shared" ca="1" si="9"/>
        <v>1</v>
      </c>
      <c r="M27">
        <f t="shared" ca="1" si="10"/>
        <v>37882</v>
      </c>
      <c r="N27">
        <f t="shared" ca="1" si="11"/>
        <v>12</v>
      </c>
      <c r="O27" t="str">
        <f t="shared" ca="1" si="12"/>
        <v>Nova scotia</v>
      </c>
      <c r="P27">
        <f t="shared" ca="1" si="13"/>
        <v>189410</v>
      </c>
      <c r="Q27">
        <f t="shared" ca="1" si="14"/>
        <v>136731.58249682156</v>
      </c>
      <c r="R27">
        <f t="shared" ca="1" si="0"/>
        <v>21328.960411781547</v>
      </c>
      <c r="S27">
        <f t="shared" ca="1" si="15"/>
        <v>3810</v>
      </c>
      <c r="T27">
        <f t="shared" ca="1" si="16"/>
        <v>64990.64238882166</v>
      </c>
      <c r="U27">
        <f t="shared" ca="1" si="17"/>
        <v>47223.316689105042</v>
      </c>
      <c r="V27">
        <f t="shared" ca="1" si="18"/>
        <v>257962.2771008866</v>
      </c>
      <c r="W27">
        <f t="shared" ca="1" si="19"/>
        <v>205532.22488564323</v>
      </c>
      <c r="Z27" s="4">
        <f t="shared" ca="1" si="20"/>
        <v>0</v>
      </c>
      <c r="AA27">
        <f t="shared" ca="1" si="21"/>
        <v>1</v>
      </c>
      <c r="AC27" s="5"/>
      <c r="AX27" s="10">
        <f ca="1">Table1[[#This Row],[Car Value]]/Table1[[#This Row],[No. of Vehicles]]</f>
        <v>21328.960411781547</v>
      </c>
      <c r="AZ27">
        <f ca="1">IF(Table1[[#This Row],[Debts]]&gt;$BA$3,1,0)</f>
        <v>1</v>
      </c>
      <c r="BC27" s="12">
        <f ca="1">Table1[[#This Row],[Mortage left]]/Table1[[#This Row],[Value of The House]]</f>
        <v>0.72188154002862337</v>
      </c>
      <c r="BD27" s="4">
        <f t="shared" ca="1" si="22"/>
        <v>0</v>
      </c>
      <c r="BE27" s="5"/>
    </row>
    <row r="28" spans="4:57" x14ac:dyDescent="0.3">
      <c r="D28">
        <f t="shared" ca="1" si="1"/>
        <v>2</v>
      </c>
      <c r="E28" t="str">
        <f t="shared" ca="1" si="2"/>
        <v>Female</v>
      </c>
      <c r="F28">
        <f t="shared" ca="1" si="3"/>
        <v>32</v>
      </c>
      <c r="G28">
        <f t="shared" ca="1" si="4"/>
        <v>3</v>
      </c>
      <c r="H28" t="str">
        <f t="shared" ca="1" si="5"/>
        <v>Teaching</v>
      </c>
      <c r="I28">
        <f t="shared" ca="1" si="6"/>
        <v>1</v>
      </c>
      <c r="J28" t="str">
        <f t="shared" ca="1" si="7"/>
        <v>High School</v>
      </c>
      <c r="K28">
        <f t="shared" ca="1" si="8"/>
        <v>4</v>
      </c>
      <c r="L28">
        <f t="shared" ca="1" si="9"/>
        <v>1</v>
      </c>
      <c r="M28">
        <f t="shared" ca="1" si="10"/>
        <v>55377</v>
      </c>
      <c r="N28">
        <f t="shared" ca="1" si="11"/>
        <v>7</v>
      </c>
      <c r="O28" t="str">
        <f t="shared" ca="1" si="12"/>
        <v>Manitoba</v>
      </c>
      <c r="P28">
        <f t="shared" ca="1" si="13"/>
        <v>332262</v>
      </c>
      <c r="Q28">
        <f t="shared" ca="1" si="14"/>
        <v>267991.9893265866</v>
      </c>
      <c r="R28">
        <f t="shared" ca="1" si="0"/>
        <v>35169.400805294266</v>
      </c>
      <c r="S28">
        <f t="shared" ca="1" si="15"/>
        <v>5520</v>
      </c>
      <c r="T28">
        <f t="shared" ca="1" si="16"/>
        <v>90308.552698835454</v>
      </c>
      <c r="U28">
        <f t="shared" ca="1" si="17"/>
        <v>52125.206604791805</v>
      </c>
      <c r="V28">
        <f t="shared" ca="1" si="18"/>
        <v>419556.60741008609</v>
      </c>
      <c r="W28">
        <f t="shared" ca="1" si="19"/>
        <v>363820.54202542204</v>
      </c>
      <c r="Z28" s="4">
        <f t="shared" ca="1" si="20"/>
        <v>0</v>
      </c>
      <c r="AA28">
        <f t="shared" ca="1" si="21"/>
        <v>1</v>
      </c>
      <c r="AC28" s="5"/>
      <c r="AX28" s="10">
        <f ca="1">Table1[[#This Row],[Car Value]]/Table1[[#This Row],[No. of Vehicles]]</f>
        <v>35169.400805294266</v>
      </c>
      <c r="AZ28">
        <f ca="1">IF(Table1[[#This Row],[Debts]]&gt;$BA$3,1,0)</f>
        <v>1</v>
      </c>
      <c r="BC28" s="12">
        <f ca="1">Table1[[#This Row],[Mortage left]]/Table1[[#This Row],[Value of The House]]</f>
        <v>0.80656827842662293</v>
      </c>
      <c r="BD28" s="4">
        <f t="shared" ca="1" si="22"/>
        <v>0</v>
      </c>
      <c r="BE28" s="5"/>
    </row>
    <row r="29" spans="4:57" x14ac:dyDescent="0.3">
      <c r="D29">
        <f t="shared" ca="1" si="1"/>
        <v>2</v>
      </c>
      <c r="E29" t="str">
        <f t="shared" ca="1" si="2"/>
        <v>Female</v>
      </c>
      <c r="F29">
        <f t="shared" ca="1" si="3"/>
        <v>36</v>
      </c>
      <c r="G29">
        <f t="shared" ca="1" si="4"/>
        <v>3</v>
      </c>
      <c r="H29" t="str">
        <f t="shared" ca="1" si="5"/>
        <v>Teaching</v>
      </c>
      <c r="I29">
        <f t="shared" ca="1" si="6"/>
        <v>3</v>
      </c>
      <c r="J29" t="str">
        <f t="shared" ca="1" si="7"/>
        <v>University</v>
      </c>
      <c r="K29">
        <f t="shared" ca="1" si="8"/>
        <v>0</v>
      </c>
      <c r="L29">
        <f t="shared" ca="1" si="9"/>
        <v>2</v>
      </c>
      <c r="M29">
        <f t="shared" ca="1" si="10"/>
        <v>44068</v>
      </c>
      <c r="N29">
        <f t="shared" ca="1" si="11"/>
        <v>13</v>
      </c>
      <c r="O29" t="str">
        <f t="shared" ca="1" si="12"/>
        <v>Prince Edward Islnd</v>
      </c>
      <c r="P29">
        <f t="shared" ca="1" si="13"/>
        <v>264408</v>
      </c>
      <c r="Q29">
        <f t="shared" ca="1" si="14"/>
        <v>116974.34960580681</v>
      </c>
      <c r="R29">
        <f t="shared" ca="1" si="0"/>
        <v>37053.259948098443</v>
      </c>
      <c r="S29">
        <f t="shared" ca="1" si="15"/>
        <v>4869</v>
      </c>
      <c r="T29">
        <f t="shared" ca="1" si="16"/>
        <v>13111.318251499395</v>
      </c>
      <c r="U29">
        <f t="shared" ca="1" si="17"/>
        <v>12814.131066318727</v>
      </c>
      <c r="V29">
        <f t="shared" ca="1" si="18"/>
        <v>314275.39101441717</v>
      </c>
      <c r="W29">
        <f t="shared" ca="1" si="19"/>
        <v>134954.66785730619</v>
      </c>
      <c r="Z29" s="4">
        <f t="shared" ca="1" si="20"/>
        <v>0</v>
      </c>
      <c r="AA29">
        <f t="shared" ca="1" si="21"/>
        <v>1</v>
      </c>
      <c r="AC29" s="5"/>
      <c r="AX29" s="10">
        <f ca="1">Table1[[#This Row],[Car Value]]/Table1[[#This Row],[No. of Vehicles]]</f>
        <v>18526.629974049221</v>
      </c>
      <c r="AZ29">
        <f ca="1">IF(Table1[[#This Row],[Debts]]&gt;$BA$3,1,0)</f>
        <v>0</v>
      </c>
      <c r="BC29" s="12">
        <f ca="1">Table1[[#This Row],[Mortage left]]/Table1[[#This Row],[Value of The House]]</f>
        <v>0.44240094704323174</v>
      </c>
      <c r="BD29" s="4">
        <f t="shared" ca="1" si="22"/>
        <v>0</v>
      </c>
      <c r="BE29" s="5"/>
    </row>
    <row r="30" spans="4:57" x14ac:dyDescent="0.3">
      <c r="D30">
        <f t="shared" ca="1" si="1"/>
        <v>1</v>
      </c>
      <c r="E30" t="str">
        <f t="shared" ca="1" si="2"/>
        <v>Male</v>
      </c>
      <c r="F30">
        <f t="shared" ca="1" si="3"/>
        <v>34</v>
      </c>
      <c r="G30">
        <f t="shared" ca="1" si="4"/>
        <v>2</v>
      </c>
      <c r="H30" t="str">
        <f t="shared" ca="1" si="5"/>
        <v>Construction</v>
      </c>
      <c r="I30">
        <f t="shared" ca="1" si="6"/>
        <v>3</v>
      </c>
      <c r="J30" t="str">
        <f t="shared" ca="1" si="7"/>
        <v>University</v>
      </c>
      <c r="K30">
        <f t="shared" ca="1" si="8"/>
        <v>4</v>
      </c>
      <c r="L30">
        <f t="shared" ca="1" si="9"/>
        <v>1</v>
      </c>
      <c r="M30">
        <f t="shared" ca="1" si="10"/>
        <v>26408</v>
      </c>
      <c r="N30">
        <f t="shared" ca="1" si="11"/>
        <v>3</v>
      </c>
      <c r="O30" t="str">
        <f t="shared" ca="1" si="12"/>
        <v>Northwest Ter</v>
      </c>
      <c r="P30">
        <f t="shared" ca="1" si="13"/>
        <v>105632</v>
      </c>
      <c r="Q30">
        <f t="shared" ca="1" si="14"/>
        <v>69662.429792461393</v>
      </c>
      <c r="R30">
        <f t="shared" ca="1" si="0"/>
        <v>4395.1292403900752</v>
      </c>
      <c r="S30">
        <f t="shared" ca="1" si="15"/>
        <v>2305</v>
      </c>
      <c r="T30">
        <f t="shared" ca="1" si="16"/>
        <v>44039.528155717293</v>
      </c>
      <c r="U30">
        <f t="shared" ca="1" si="17"/>
        <v>18407.748132344837</v>
      </c>
      <c r="V30">
        <f t="shared" ca="1" si="18"/>
        <v>128434.87737273492</v>
      </c>
      <c r="W30">
        <f t="shared" ca="1" si="19"/>
        <v>116006.95794817869</v>
      </c>
      <c r="Z30" s="4">
        <f t="shared" ca="1" si="20"/>
        <v>1</v>
      </c>
      <c r="AA30">
        <f t="shared" ca="1" si="21"/>
        <v>0</v>
      </c>
      <c r="AC30" s="5"/>
      <c r="AX30" s="10">
        <f ca="1">Table1[[#This Row],[Car Value]]/Table1[[#This Row],[No. of Vehicles]]</f>
        <v>4395.1292403900752</v>
      </c>
      <c r="AZ30">
        <f ca="1">IF(Table1[[#This Row],[Debts]]&gt;$BA$3,1,0)</f>
        <v>1</v>
      </c>
      <c r="BC30" s="12">
        <f ca="1">Table1[[#This Row],[Mortage left]]/Table1[[#This Row],[Value of The House]]</f>
        <v>0.65948225719915743</v>
      </c>
      <c r="BD30" s="4">
        <f t="shared" ca="1" si="22"/>
        <v>0</v>
      </c>
      <c r="BE30" s="5"/>
    </row>
    <row r="31" spans="4:57" x14ac:dyDescent="0.3">
      <c r="D31">
        <f t="shared" ca="1" si="1"/>
        <v>1</v>
      </c>
      <c r="E31" t="str">
        <f t="shared" ca="1" si="2"/>
        <v>Male</v>
      </c>
      <c r="F31">
        <f t="shared" ca="1" si="3"/>
        <v>41</v>
      </c>
      <c r="G31">
        <f t="shared" ca="1" si="4"/>
        <v>2</v>
      </c>
      <c r="H31" t="str">
        <f t="shared" ca="1" si="5"/>
        <v>Construction</v>
      </c>
      <c r="I31">
        <f t="shared" ca="1" si="6"/>
        <v>5</v>
      </c>
      <c r="J31" t="str">
        <f t="shared" ca="1" si="7"/>
        <v>Other</v>
      </c>
      <c r="K31">
        <f t="shared" ca="1" si="8"/>
        <v>1</v>
      </c>
      <c r="L31">
        <f t="shared" ca="1" si="9"/>
        <v>2</v>
      </c>
      <c r="M31">
        <f t="shared" ca="1" si="10"/>
        <v>59993</v>
      </c>
      <c r="N31">
        <f t="shared" ca="1" si="11"/>
        <v>6</v>
      </c>
      <c r="O31" t="str">
        <f t="shared" ca="1" si="12"/>
        <v>Saskatchewan</v>
      </c>
      <c r="P31">
        <f t="shared" ca="1" si="13"/>
        <v>239972</v>
      </c>
      <c r="Q31">
        <f t="shared" ca="1" si="14"/>
        <v>150394.54244970239</v>
      </c>
      <c r="R31">
        <f t="shared" ca="1" si="0"/>
        <v>70101.690571960484</v>
      </c>
      <c r="S31">
        <f t="shared" ca="1" si="15"/>
        <v>5966</v>
      </c>
      <c r="T31">
        <f t="shared" ca="1" si="16"/>
        <v>26087.011682279714</v>
      </c>
      <c r="U31">
        <f t="shared" ca="1" si="17"/>
        <v>18976.680892427568</v>
      </c>
      <c r="V31">
        <f t="shared" ca="1" si="18"/>
        <v>329050.37146438804</v>
      </c>
      <c r="W31">
        <f t="shared" ca="1" si="19"/>
        <v>182447.55413198209</v>
      </c>
      <c r="Z31" s="4">
        <f t="shared" ca="1" si="20"/>
        <v>1</v>
      </c>
      <c r="AA31">
        <f t="shared" ca="1" si="21"/>
        <v>0</v>
      </c>
      <c r="AC31" s="5"/>
      <c r="AX31" s="10">
        <f ca="1">Table1[[#This Row],[Car Value]]/Table1[[#This Row],[No. of Vehicles]]</f>
        <v>35050.845285980242</v>
      </c>
      <c r="AZ31">
        <f ca="1">IF(Table1[[#This Row],[Debts]]&gt;$BA$3,1,0)</f>
        <v>1</v>
      </c>
      <c r="BC31" s="12">
        <f ca="1">Table1[[#This Row],[Mortage left]]/Table1[[#This Row],[Value of The House]]</f>
        <v>0.62671704386221061</v>
      </c>
      <c r="BD31" s="4">
        <f t="shared" ca="1" si="22"/>
        <v>0</v>
      </c>
      <c r="BE31" s="5"/>
    </row>
    <row r="32" spans="4:57" x14ac:dyDescent="0.3">
      <c r="D32">
        <f t="shared" ca="1" si="1"/>
        <v>2</v>
      </c>
      <c r="E32" t="str">
        <f t="shared" ca="1" si="2"/>
        <v>Female</v>
      </c>
      <c r="F32">
        <f t="shared" ca="1" si="3"/>
        <v>42</v>
      </c>
      <c r="G32">
        <f t="shared" ca="1" si="4"/>
        <v>4</v>
      </c>
      <c r="H32" t="str">
        <f t="shared" ca="1" si="5"/>
        <v>IT</v>
      </c>
      <c r="I32">
        <f t="shared" ca="1" si="6"/>
        <v>5</v>
      </c>
      <c r="J32" t="str">
        <f t="shared" ca="1" si="7"/>
        <v>Other</v>
      </c>
      <c r="K32">
        <f t="shared" ca="1" si="8"/>
        <v>2</v>
      </c>
      <c r="L32">
        <f t="shared" ca="1" si="9"/>
        <v>1</v>
      </c>
      <c r="M32">
        <f t="shared" ca="1" si="10"/>
        <v>71040</v>
      </c>
      <c r="N32">
        <f t="shared" ca="1" si="11"/>
        <v>13</v>
      </c>
      <c r="O32" t="str">
        <f t="shared" ca="1" si="12"/>
        <v>Prince Edward Islnd</v>
      </c>
      <c r="P32">
        <f t="shared" ca="1" si="13"/>
        <v>426240</v>
      </c>
      <c r="Q32">
        <f t="shared" ca="1" si="14"/>
        <v>415256.64101305831</v>
      </c>
      <c r="R32">
        <f t="shared" ca="1" si="0"/>
        <v>27618.895399542023</v>
      </c>
      <c r="S32">
        <f t="shared" ca="1" si="15"/>
        <v>2748</v>
      </c>
      <c r="T32">
        <f t="shared" ca="1" si="16"/>
        <v>107853.98316777135</v>
      </c>
      <c r="U32">
        <f t="shared" ca="1" si="17"/>
        <v>93318.750603656197</v>
      </c>
      <c r="V32">
        <f t="shared" ca="1" si="18"/>
        <v>547177.64600319823</v>
      </c>
      <c r="W32">
        <f t="shared" ca="1" si="19"/>
        <v>525858.62418082962</v>
      </c>
      <c r="Z32" s="4">
        <f t="shared" ca="1" si="20"/>
        <v>0</v>
      </c>
      <c r="AA32">
        <f t="shared" ca="1" si="21"/>
        <v>1</v>
      </c>
      <c r="AC32" s="5"/>
      <c r="AX32" s="10">
        <f ca="1">Table1[[#This Row],[Car Value]]/Table1[[#This Row],[No. of Vehicles]]</f>
        <v>27618.895399542023</v>
      </c>
      <c r="AZ32">
        <f ca="1">IF(Table1[[#This Row],[Debts]]&gt;$BA$3,1,0)</f>
        <v>1</v>
      </c>
      <c r="BC32" s="12">
        <f ca="1">Table1[[#This Row],[Mortage left]]/Table1[[#This Row],[Value of The House]]</f>
        <v>0.97423198435871416</v>
      </c>
      <c r="BD32" s="4">
        <f t="shared" ca="1" si="22"/>
        <v>0</v>
      </c>
      <c r="BE32" s="5"/>
    </row>
    <row r="33" spans="4:57" x14ac:dyDescent="0.3">
      <c r="D33">
        <f t="shared" ca="1" si="1"/>
        <v>1</v>
      </c>
      <c r="E33" t="str">
        <f t="shared" ca="1" si="2"/>
        <v>Male</v>
      </c>
      <c r="F33">
        <f t="shared" ca="1" si="3"/>
        <v>33</v>
      </c>
      <c r="G33">
        <f t="shared" ca="1" si="4"/>
        <v>1</v>
      </c>
      <c r="H33" t="str">
        <f t="shared" ca="1" si="5"/>
        <v>Health</v>
      </c>
      <c r="I33">
        <f t="shared" ca="1" si="6"/>
        <v>1</v>
      </c>
      <c r="J33" t="str">
        <f t="shared" ca="1" si="7"/>
        <v>High School</v>
      </c>
      <c r="K33">
        <f t="shared" ca="1" si="8"/>
        <v>4</v>
      </c>
      <c r="L33">
        <f t="shared" ca="1" si="9"/>
        <v>2</v>
      </c>
      <c r="M33">
        <f t="shared" ca="1" si="10"/>
        <v>59017</v>
      </c>
      <c r="N33">
        <f t="shared" ca="1" si="11"/>
        <v>10</v>
      </c>
      <c r="O33" t="str">
        <f t="shared" ca="1" si="12"/>
        <v>Newfouland</v>
      </c>
      <c r="P33">
        <f t="shared" ca="1" si="13"/>
        <v>354102</v>
      </c>
      <c r="Q33">
        <f t="shared" ca="1" si="14"/>
        <v>289673.88081985782</v>
      </c>
      <c r="R33">
        <f t="shared" ca="1" si="0"/>
        <v>19891.916190129432</v>
      </c>
      <c r="S33">
        <f t="shared" ca="1" si="15"/>
        <v>6495</v>
      </c>
      <c r="T33">
        <f t="shared" ca="1" si="16"/>
        <v>2836.8750318141688</v>
      </c>
      <c r="U33">
        <f t="shared" ca="1" si="17"/>
        <v>7698.5264320577262</v>
      </c>
      <c r="V33">
        <f t="shared" ca="1" si="18"/>
        <v>381692.44262218714</v>
      </c>
      <c r="W33">
        <f t="shared" ca="1" si="19"/>
        <v>299005.75585167197</v>
      </c>
      <c r="Z33" s="4">
        <f t="shared" ca="1" si="20"/>
        <v>1</v>
      </c>
      <c r="AA33">
        <f t="shared" ca="1" si="21"/>
        <v>0</v>
      </c>
      <c r="AC33" s="5"/>
      <c r="AX33" s="10">
        <f ca="1">Table1[[#This Row],[Car Value]]/Table1[[#This Row],[No. of Vehicles]]</f>
        <v>9945.958095064716</v>
      </c>
      <c r="AZ33">
        <f ca="1">IF(Table1[[#This Row],[Debts]]&gt;$BA$3,1,0)</f>
        <v>0</v>
      </c>
      <c r="BC33" s="12">
        <f ca="1">Table1[[#This Row],[Mortage left]]/Table1[[#This Row],[Value of The House]]</f>
        <v>0.81805208900220228</v>
      </c>
      <c r="BD33" s="4">
        <f t="shared" ca="1" si="22"/>
        <v>0</v>
      </c>
      <c r="BE33" s="5"/>
    </row>
    <row r="34" spans="4:57" x14ac:dyDescent="0.3">
      <c r="D34">
        <f t="shared" ca="1" si="1"/>
        <v>2</v>
      </c>
      <c r="E34" t="str">
        <f t="shared" ca="1" si="2"/>
        <v>Female</v>
      </c>
      <c r="F34">
        <f t="shared" ca="1" si="3"/>
        <v>30</v>
      </c>
      <c r="G34">
        <f t="shared" ca="1" si="4"/>
        <v>3</v>
      </c>
      <c r="H34" t="str">
        <f t="shared" ca="1" si="5"/>
        <v>Teaching</v>
      </c>
      <c r="I34">
        <f t="shared" ca="1" si="6"/>
        <v>4</v>
      </c>
      <c r="J34" t="str">
        <f t="shared" ca="1" si="7"/>
        <v>Technical</v>
      </c>
      <c r="K34">
        <f t="shared" ca="1" si="8"/>
        <v>2</v>
      </c>
      <c r="L34">
        <f t="shared" ca="1" si="9"/>
        <v>2</v>
      </c>
      <c r="M34">
        <f t="shared" ca="1" si="10"/>
        <v>81692</v>
      </c>
      <c r="N34">
        <f t="shared" ca="1" si="11"/>
        <v>13</v>
      </c>
      <c r="O34" t="str">
        <f t="shared" ca="1" si="12"/>
        <v>Prince Edward Islnd</v>
      </c>
      <c r="P34">
        <f t="shared" ca="1" si="13"/>
        <v>490152</v>
      </c>
      <c r="Q34">
        <f t="shared" ca="1" si="14"/>
        <v>449619.39443645073</v>
      </c>
      <c r="R34">
        <f t="shared" ca="1" si="0"/>
        <v>42002.707723377702</v>
      </c>
      <c r="S34">
        <f t="shared" ca="1" si="15"/>
        <v>32276</v>
      </c>
      <c r="T34">
        <f t="shared" ca="1" si="16"/>
        <v>80246.347886768883</v>
      </c>
      <c r="U34">
        <f t="shared" ca="1" si="17"/>
        <v>38305.514600804425</v>
      </c>
      <c r="V34">
        <f t="shared" ca="1" si="18"/>
        <v>570460.22232418216</v>
      </c>
      <c r="W34">
        <f t="shared" ca="1" si="19"/>
        <v>562141.74232321966</v>
      </c>
      <c r="Z34" s="4">
        <f t="shared" ca="1" si="20"/>
        <v>0</v>
      </c>
      <c r="AA34">
        <f t="shared" ca="1" si="21"/>
        <v>1</v>
      </c>
      <c r="AC34" s="5"/>
      <c r="AX34" s="10">
        <f ca="1">Table1[[#This Row],[Car Value]]/Table1[[#This Row],[No. of Vehicles]]</f>
        <v>21001.353861688851</v>
      </c>
      <c r="AZ34">
        <f ca="1">IF(Table1[[#This Row],[Debts]]&gt;$BA$3,1,0)</f>
        <v>1</v>
      </c>
      <c r="BC34" s="12">
        <f ca="1">Table1[[#This Row],[Mortage left]]/Table1[[#This Row],[Value of The House]]</f>
        <v>0.91730604881026856</v>
      </c>
      <c r="BD34" s="4">
        <f t="shared" ca="1" si="22"/>
        <v>0</v>
      </c>
      <c r="BE34" s="5"/>
    </row>
    <row r="35" spans="4:57" x14ac:dyDescent="0.3">
      <c r="D35">
        <f t="shared" ca="1" si="1"/>
        <v>2</v>
      </c>
      <c r="E35" t="str">
        <f t="shared" ca="1" si="2"/>
        <v>Female</v>
      </c>
      <c r="F35">
        <f t="shared" ca="1" si="3"/>
        <v>31</v>
      </c>
      <c r="G35">
        <f t="shared" ca="1" si="4"/>
        <v>5</v>
      </c>
      <c r="H35" t="str">
        <f t="shared" ca="1" si="5"/>
        <v>Agriculture</v>
      </c>
      <c r="I35">
        <f t="shared" ca="1" si="6"/>
        <v>5</v>
      </c>
      <c r="J35" t="str">
        <f t="shared" ca="1" si="7"/>
        <v>Other</v>
      </c>
      <c r="K35">
        <f t="shared" ca="1" si="8"/>
        <v>3</v>
      </c>
      <c r="L35">
        <f t="shared" ca="1" si="9"/>
        <v>1</v>
      </c>
      <c r="M35">
        <f t="shared" ca="1" si="10"/>
        <v>64650</v>
      </c>
      <c r="N35">
        <f t="shared" ca="1" si="11"/>
        <v>3</v>
      </c>
      <c r="O35" t="str">
        <f t="shared" ca="1" si="12"/>
        <v>Northwest Ter</v>
      </c>
      <c r="P35">
        <f t="shared" ca="1" si="13"/>
        <v>323250</v>
      </c>
      <c r="Q35">
        <f t="shared" ca="1" si="14"/>
        <v>86457.427583144599</v>
      </c>
      <c r="R35">
        <f t="shared" ca="1" si="0"/>
        <v>49974.632089439379</v>
      </c>
      <c r="S35">
        <f t="shared" ca="1" si="15"/>
        <v>48754</v>
      </c>
      <c r="T35">
        <f t="shared" ca="1" si="16"/>
        <v>109576.12959148826</v>
      </c>
      <c r="U35">
        <f t="shared" ca="1" si="17"/>
        <v>77441.410752211581</v>
      </c>
      <c r="V35">
        <f t="shared" ca="1" si="18"/>
        <v>450666.04284165095</v>
      </c>
      <c r="W35">
        <f t="shared" ca="1" si="19"/>
        <v>244787.55717463285</v>
      </c>
      <c r="Z35" s="4">
        <f t="shared" ca="1" si="20"/>
        <v>0</v>
      </c>
      <c r="AA35">
        <f t="shared" ca="1" si="21"/>
        <v>1</v>
      </c>
      <c r="AC35" s="5"/>
      <c r="AX35" s="10">
        <f ca="1">Table1[[#This Row],[Car Value]]/Table1[[#This Row],[No. of Vehicles]]</f>
        <v>49974.632089439379</v>
      </c>
      <c r="AZ35">
        <f ca="1">IF(Table1[[#This Row],[Debts]]&gt;$BA$3,1,0)</f>
        <v>1</v>
      </c>
      <c r="BC35" s="12">
        <f ca="1">Table1[[#This Row],[Mortage left]]/Table1[[#This Row],[Value of The House]]</f>
        <v>0.26746303970037</v>
      </c>
      <c r="BD35" s="4">
        <f t="shared" ca="1" si="22"/>
        <v>0</v>
      </c>
      <c r="BE35" s="5"/>
    </row>
    <row r="36" spans="4:57" x14ac:dyDescent="0.3">
      <c r="D36">
        <f t="shared" ca="1" si="1"/>
        <v>2</v>
      </c>
      <c r="E36" t="str">
        <f t="shared" ca="1" si="2"/>
        <v>Female</v>
      </c>
      <c r="F36">
        <f t="shared" ca="1" si="3"/>
        <v>28</v>
      </c>
      <c r="G36">
        <f t="shared" ca="1" si="4"/>
        <v>3</v>
      </c>
      <c r="H36" t="str">
        <f t="shared" ca="1" si="5"/>
        <v>Teaching</v>
      </c>
      <c r="I36">
        <f t="shared" ca="1" si="6"/>
        <v>3</v>
      </c>
      <c r="J36" t="str">
        <f t="shared" ca="1" si="7"/>
        <v>University</v>
      </c>
      <c r="K36">
        <f t="shared" ca="1" si="8"/>
        <v>4</v>
      </c>
      <c r="L36">
        <f t="shared" ca="1" si="9"/>
        <v>2</v>
      </c>
      <c r="M36">
        <f t="shared" ca="1" si="10"/>
        <v>49235</v>
      </c>
      <c r="N36">
        <f t="shared" ca="1" si="11"/>
        <v>3</v>
      </c>
      <c r="O36" t="str">
        <f t="shared" ca="1" si="12"/>
        <v>Northwest Ter</v>
      </c>
      <c r="P36">
        <f t="shared" ca="1" si="13"/>
        <v>196940</v>
      </c>
      <c r="Q36">
        <f t="shared" ca="1" si="14"/>
        <v>18839.935730981138</v>
      </c>
      <c r="R36">
        <f t="shared" ca="1" si="0"/>
        <v>90209.348555732751</v>
      </c>
      <c r="S36">
        <f t="shared" ca="1" si="15"/>
        <v>81739</v>
      </c>
      <c r="T36">
        <f t="shared" ca="1" si="16"/>
        <v>43778.473438372253</v>
      </c>
      <c r="U36">
        <f t="shared" ca="1" si="17"/>
        <v>57424.373316639016</v>
      </c>
      <c r="V36">
        <f t="shared" ca="1" si="18"/>
        <v>344573.72187237174</v>
      </c>
      <c r="W36">
        <f t="shared" ca="1" si="19"/>
        <v>144357.4091693534</v>
      </c>
      <c r="Z36" s="4">
        <f t="shared" ca="1" si="20"/>
        <v>0</v>
      </c>
      <c r="AA36">
        <f t="shared" ca="1" si="21"/>
        <v>1</v>
      </c>
      <c r="AC36" s="5"/>
      <c r="AX36" s="10">
        <f ca="1">Table1[[#This Row],[Car Value]]/Table1[[#This Row],[No. of Vehicles]]</f>
        <v>45104.674277866376</v>
      </c>
      <c r="AZ36">
        <f ca="1">IF(Table1[[#This Row],[Debts]]&gt;$BA$3,1,0)</f>
        <v>1</v>
      </c>
      <c r="BC36" s="12">
        <f ca="1">Table1[[#This Row],[Mortage left]]/Table1[[#This Row],[Value of The House]]</f>
        <v>9.5663327566675838E-2</v>
      </c>
      <c r="BD36" s="4">
        <f t="shared" ca="1" si="22"/>
        <v>1</v>
      </c>
      <c r="BE36" s="5"/>
    </row>
    <row r="37" spans="4:57" x14ac:dyDescent="0.3">
      <c r="D37">
        <f t="shared" ca="1" si="1"/>
        <v>1</v>
      </c>
      <c r="E37" t="str">
        <f t="shared" ca="1" si="2"/>
        <v>Male</v>
      </c>
      <c r="F37">
        <f t="shared" ca="1" si="3"/>
        <v>37</v>
      </c>
      <c r="G37">
        <f t="shared" ca="1" si="4"/>
        <v>2</v>
      </c>
      <c r="H37" t="str">
        <f t="shared" ca="1" si="5"/>
        <v>Construction</v>
      </c>
      <c r="I37">
        <f t="shared" ca="1" si="6"/>
        <v>3</v>
      </c>
      <c r="J37" t="str">
        <f t="shared" ca="1" si="7"/>
        <v>University</v>
      </c>
      <c r="K37">
        <f t="shared" ca="1" si="8"/>
        <v>0</v>
      </c>
      <c r="L37">
        <f t="shared" ca="1" si="9"/>
        <v>2</v>
      </c>
      <c r="M37">
        <f t="shared" ca="1" si="10"/>
        <v>73045</v>
      </c>
      <c r="N37">
        <f t="shared" ca="1" si="11"/>
        <v>2</v>
      </c>
      <c r="O37" t="str">
        <f t="shared" ca="1" si="12"/>
        <v>BC</v>
      </c>
      <c r="P37">
        <f t="shared" ref="P37:P100" ca="1" si="23">M37*RANDBETWEEN(4,6)</f>
        <v>438270</v>
      </c>
      <c r="Q37">
        <f t="shared" ca="1" si="14"/>
        <v>13081.327189264794</v>
      </c>
      <c r="R37">
        <f t="shared" ca="1" si="0"/>
        <v>117835.84170201841</v>
      </c>
      <c r="S37">
        <f t="shared" ca="1" si="15"/>
        <v>61843</v>
      </c>
      <c r="T37">
        <f t="shared" ref="T37:T100" ca="1" si="24">M37*RAND()*2</f>
        <v>126424.43596107043</v>
      </c>
      <c r="U37">
        <f t="shared" ref="U37:U100" ca="1" si="25">RAND()*M37*1.5</f>
        <v>16166.780035156578</v>
      </c>
      <c r="V37">
        <f t="shared" ref="V37:V100" ca="1" si="26">P37+R37+U37</f>
        <v>572272.62173717492</v>
      </c>
      <c r="W37">
        <f t="shared" ref="W37:W100" ca="1" si="27">Q37+S37+T37</f>
        <v>201348.76315033523</v>
      </c>
      <c r="Z37" s="4">
        <f t="shared" ca="1" si="20"/>
        <v>1</v>
      </c>
      <c r="AA37">
        <f t="shared" ca="1" si="21"/>
        <v>0</v>
      </c>
      <c r="AC37" s="5"/>
      <c r="AX37" s="10">
        <f ca="1">Table1[[#This Row],[Car Value]]/Table1[[#This Row],[No. of Vehicles]]</f>
        <v>58917.920851009207</v>
      </c>
      <c r="AZ37">
        <f ca="1">IF(Table1[[#This Row],[Debts]]&gt;$BA$3,1,0)</f>
        <v>1</v>
      </c>
      <c r="BC37" s="12">
        <f ca="1">Table1[[#This Row],[Mortage left]]/Table1[[#This Row],[Value of The House]]</f>
        <v>2.9847644578147703E-2</v>
      </c>
      <c r="BD37" s="4">
        <f t="shared" ca="1" si="22"/>
        <v>1</v>
      </c>
      <c r="BE37" s="5"/>
    </row>
    <row r="38" spans="4:57" x14ac:dyDescent="0.3">
      <c r="D38">
        <f t="shared" ca="1" si="1"/>
        <v>2</v>
      </c>
      <c r="E38" t="str">
        <f t="shared" ca="1" si="2"/>
        <v>Female</v>
      </c>
      <c r="F38">
        <f t="shared" ca="1" si="3"/>
        <v>27</v>
      </c>
      <c r="G38">
        <f t="shared" ca="1" si="4"/>
        <v>6</v>
      </c>
      <c r="H38" t="str">
        <f t="shared" ca="1" si="5"/>
        <v>General Work</v>
      </c>
      <c r="I38">
        <f t="shared" ca="1" si="6"/>
        <v>1</v>
      </c>
      <c r="J38" t="str">
        <f t="shared" ca="1" si="7"/>
        <v>High School</v>
      </c>
      <c r="K38">
        <f t="shared" ca="1" si="8"/>
        <v>3</v>
      </c>
      <c r="L38">
        <f t="shared" ca="1" si="9"/>
        <v>2</v>
      </c>
      <c r="M38">
        <f t="shared" ca="1" si="10"/>
        <v>33826</v>
      </c>
      <c r="N38">
        <f t="shared" ca="1" si="11"/>
        <v>11</v>
      </c>
      <c r="O38" t="str">
        <f t="shared" ca="1" si="12"/>
        <v>New bruncwick</v>
      </c>
      <c r="P38">
        <f t="shared" ca="1" si="23"/>
        <v>169130</v>
      </c>
      <c r="Q38">
        <f t="shared" ca="1" si="14"/>
        <v>76992.91068187989</v>
      </c>
      <c r="R38">
        <f t="shared" ca="1" si="0"/>
        <v>47840.552533628113</v>
      </c>
      <c r="S38">
        <f t="shared" ca="1" si="15"/>
        <v>20129</v>
      </c>
      <c r="T38">
        <f t="shared" ca="1" si="24"/>
        <v>42544.881317287931</v>
      </c>
      <c r="U38">
        <f t="shared" ca="1" si="25"/>
        <v>30125.930982625589</v>
      </c>
      <c r="V38">
        <f t="shared" ca="1" si="26"/>
        <v>247096.48351625371</v>
      </c>
      <c r="W38">
        <f t="shared" ca="1" si="27"/>
        <v>139666.79199916782</v>
      </c>
      <c r="Z38" s="4">
        <f t="shared" ca="1" si="20"/>
        <v>0</v>
      </c>
      <c r="AA38">
        <f t="shared" ca="1" si="21"/>
        <v>1</v>
      </c>
      <c r="AC38" s="5"/>
      <c r="AX38" s="10">
        <f ca="1">Table1[[#This Row],[Car Value]]/Table1[[#This Row],[No. of Vehicles]]</f>
        <v>23920.276266814057</v>
      </c>
      <c r="AZ38">
        <f ca="1">IF(Table1[[#This Row],[Debts]]&gt;$BA$3,1,0)</f>
        <v>1</v>
      </c>
      <c r="BC38" s="12">
        <f ca="1">Table1[[#This Row],[Mortage left]]/Table1[[#This Row],[Value of The House]]</f>
        <v>0.45522917685732806</v>
      </c>
      <c r="BD38" s="4">
        <f t="shared" ca="1" si="22"/>
        <v>0</v>
      </c>
      <c r="BE38" s="5"/>
    </row>
    <row r="39" spans="4:57" x14ac:dyDescent="0.3">
      <c r="D39">
        <f t="shared" ca="1" si="1"/>
        <v>1</v>
      </c>
      <c r="E39" t="str">
        <f t="shared" ca="1" si="2"/>
        <v>Male</v>
      </c>
      <c r="F39">
        <f t="shared" ca="1" si="3"/>
        <v>33</v>
      </c>
      <c r="G39">
        <f t="shared" ca="1" si="4"/>
        <v>4</v>
      </c>
      <c r="H39" t="str">
        <f t="shared" ca="1" si="5"/>
        <v>IT</v>
      </c>
      <c r="I39">
        <f t="shared" ca="1" si="6"/>
        <v>5</v>
      </c>
      <c r="J39" t="str">
        <f t="shared" ca="1" si="7"/>
        <v>Other</v>
      </c>
      <c r="K39">
        <f t="shared" ca="1" si="8"/>
        <v>2</v>
      </c>
      <c r="L39">
        <f t="shared" ca="1" si="9"/>
        <v>1</v>
      </c>
      <c r="M39">
        <f t="shared" ca="1" si="10"/>
        <v>70528</v>
      </c>
      <c r="N39">
        <f t="shared" ca="1" si="11"/>
        <v>8</v>
      </c>
      <c r="O39" t="str">
        <f t="shared" ca="1" si="12"/>
        <v>Ontario</v>
      </c>
      <c r="P39">
        <f t="shared" ca="1" si="23"/>
        <v>423168</v>
      </c>
      <c r="Q39">
        <f t="shared" ca="1" si="14"/>
        <v>258107.02745154357</v>
      </c>
      <c r="R39">
        <f t="shared" ca="1" si="0"/>
        <v>56743.01989996832</v>
      </c>
      <c r="S39">
        <f t="shared" ca="1" si="15"/>
        <v>1753</v>
      </c>
      <c r="T39">
        <f t="shared" ca="1" si="24"/>
        <v>126770.46437627064</v>
      </c>
      <c r="U39">
        <f t="shared" ca="1" si="25"/>
        <v>80041.974158406039</v>
      </c>
      <c r="V39">
        <f t="shared" ca="1" si="26"/>
        <v>559952.99405837432</v>
      </c>
      <c r="W39">
        <f t="shared" ca="1" si="27"/>
        <v>386630.4918278142</v>
      </c>
      <c r="Z39" s="4">
        <f t="shared" ca="1" si="20"/>
        <v>1</v>
      </c>
      <c r="AA39">
        <f t="shared" ca="1" si="21"/>
        <v>0</v>
      </c>
      <c r="AC39" s="5"/>
      <c r="AX39" s="10">
        <f ca="1">Table1[[#This Row],[Car Value]]/Table1[[#This Row],[No. of Vehicles]]</f>
        <v>56743.01989996832</v>
      </c>
      <c r="AZ39">
        <f ca="1">IF(Table1[[#This Row],[Debts]]&gt;$BA$3,1,0)</f>
        <v>1</v>
      </c>
      <c r="BC39" s="12">
        <f ca="1">Table1[[#This Row],[Mortage left]]/Table1[[#This Row],[Value of The House]]</f>
        <v>0.60993985237906356</v>
      </c>
      <c r="BD39" s="4">
        <f t="shared" ca="1" si="22"/>
        <v>0</v>
      </c>
      <c r="BE39" s="5"/>
    </row>
    <row r="40" spans="4:57" x14ac:dyDescent="0.3">
      <c r="D40">
        <f t="shared" ca="1" si="1"/>
        <v>2</v>
      </c>
      <c r="E40" t="str">
        <f t="shared" ca="1" si="2"/>
        <v>Female</v>
      </c>
      <c r="F40">
        <f t="shared" ca="1" si="3"/>
        <v>28</v>
      </c>
      <c r="G40">
        <f t="shared" ca="1" si="4"/>
        <v>1</v>
      </c>
      <c r="H40" t="str">
        <f t="shared" ca="1" si="5"/>
        <v>Health</v>
      </c>
      <c r="I40">
        <f t="shared" ca="1" si="6"/>
        <v>5</v>
      </c>
      <c r="J40" t="str">
        <f t="shared" ca="1" si="7"/>
        <v>Other</v>
      </c>
      <c r="K40">
        <f t="shared" ca="1" si="8"/>
        <v>2</v>
      </c>
      <c r="L40">
        <f t="shared" ca="1" si="9"/>
        <v>1</v>
      </c>
      <c r="M40">
        <f t="shared" ca="1" si="10"/>
        <v>39524</v>
      </c>
      <c r="N40">
        <f t="shared" ca="1" si="11"/>
        <v>2</v>
      </c>
      <c r="O40" t="str">
        <f t="shared" ca="1" si="12"/>
        <v>BC</v>
      </c>
      <c r="P40">
        <f t="shared" ca="1" si="23"/>
        <v>237144</v>
      </c>
      <c r="Q40">
        <f t="shared" ca="1" si="14"/>
        <v>189934.10061017924</v>
      </c>
      <c r="R40">
        <f t="shared" ca="1" si="0"/>
        <v>36692.477263036162</v>
      </c>
      <c r="S40">
        <f t="shared" ca="1" si="15"/>
        <v>13083</v>
      </c>
      <c r="T40">
        <f t="shared" ca="1" si="24"/>
        <v>52855.469897924973</v>
      </c>
      <c r="U40">
        <f t="shared" ca="1" si="25"/>
        <v>44464.185437112501</v>
      </c>
      <c r="V40">
        <f t="shared" ca="1" si="26"/>
        <v>318300.66270014871</v>
      </c>
      <c r="W40">
        <f t="shared" ca="1" si="27"/>
        <v>255872.57050810423</v>
      </c>
      <c r="Z40" s="4">
        <f t="shared" ca="1" si="20"/>
        <v>0</v>
      </c>
      <c r="AA40">
        <f t="shared" ca="1" si="21"/>
        <v>1</v>
      </c>
      <c r="AC40" s="5"/>
      <c r="AX40" s="10">
        <f ca="1">Table1[[#This Row],[Car Value]]/Table1[[#This Row],[No. of Vehicles]]</f>
        <v>36692.477263036162</v>
      </c>
      <c r="AZ40">
        <f ca="1">IF(Table1[[#This Row],[Debts]]&gt;$BA$3,1,0)</f>
        <v>1</v>
      </c>
      <c r="BC40" s="12">
        <f ca="1">Table1[[#This Row],[Mortage left]]/Table1[[#This Row],[Value of The House]]</f>
        <v>0.8009230704136695</v>
      </c>
      <c r="BD40" s="4">
        <f t="shared" ca="1" si="22"/>
        <v>0</v>
      </c>
      <c r="BE40" s="5"/>
    </row>
    <row r="41" spans="4:57" x14ac:dyDescent="0.3">
      <c r="D41">
        <f t="shared" ca="1" si="1"/>
        <v>2</v>
      </c>
      <c r="E41" t="str">
        <f t="shared" ca="1" si="2"/>
        <v>Female</v>
      </c>
      <c r="F41">
        <f t="shared" ca="1" si="3"/>
        <v>31</v>
      </c>
      <c r="G41">
        <f t="shared" ca="1" si="4"/>
        <v>1</v>
      </c>
      <c r="H41" t="str">
        <f t="shared" ca="1" si="5"/>
        <v>Health</v>
      </c>
      <c r="I41">
        <f t="shared" ca="1" si="6"/>
        <v>1</v>
      </c>
      <c r="J41" t="str">
        <f t="shared" ca="1" si="7"/>
        <v>High School</v>
      </c>
      <c r="K41">
        <f t="shared" ca="1" si="8"/>
        <v>1</v>
      </c>
      <c r="L41">
        <f t="shared" ca="1" si="9"/>
        <v>1</v>
      </c>
      <c r="M41">
        <f t="shared" ca="1" si="10"/>
        <v>34227</v>
      </c>
      <c r="N41">
        <f t="shared" ca="1" si="11"/>
        <v>2</v>
      </c>
      <c r="O41" t="str">
        <f t="shared" ca="1" si="12"/>
        <v>BC</v>
      </c>
      <c r="P41">
        <f t="shared" ca="1" si="23"/>
        <v>171135</v>
      </c>
      <c r="Q41">
        <f t="shared" ca="1" si="14"/>
        <v>67396.575531333772</v>
      </c>
      <c r="R41">
        <f t="shared" ca="1" si="0"/>
        <v>33530.17911882019</v>
      </c>
      <c r="S41">
        <f t="shared" ca="1" si="15"/>
        <v>21642</v>
      </c>
      <c r="T41">
        <f t="shared" ca="1" si="24"/>
        <v>19295.489299506044</v>
      </c>
      <c r="U41">
        <f t="shared" ca="1" si="25"/>
        <v>19147.205365123606</v>
      </c>
      <c r="V41">
        <f t="shared" ca="1" si="26"/>
        <v>223812.38448394378</v>
      </c>
      <c r="W41">
        <f t="shared" ca="1" si="27"/>
        <v>108334.06483083981</v>
      </c>
      <c r="Z41" s="4">
        <f t="shared" ca="1" si="20"/>
        <v>0</v>
      </c>
      <c r="AA41">
        <f t="shared" ca="1" si="21"/>
        <v>1</v>
      </c>
      <c r="AC41" s="5"/>
      <c r="AX41" s="10">
        <f ca="1">Table1[[#This Row],[Car Value]]/Table1[[#This Row],[No. of Vehicles]]</f>
        <v>33530.17911882019</v>
      </c>
      <c r="AZ41">
        <f ca="1">IF(Table1[[#This Row],[Debts]]&gt;$BA$3,1,0)</f>
        <v>0</v>
      </c>
      <c r="BC41" s="12">
        <f ca="1">Table1[[#This Row],[Mortage left]]/Table1[[#This Row],[Value of The House]]</f>
        <v>0.39382110924903596</v>
      </c>
      <c r="BD41" s="4">
        <f t="shared" ca="1" si="22"/>
        <v>0</v>
      </c>
      <c r="BE41" s="5"/>
    </row>
    <row r="42" spans="4:57" x14ac:dyDescent="0.3">
      <c r="D42">
        <f t="shared" ca="1" si="1"/>
        <v>2</v>
      </c>
      <c r="E42" t="str">
        <f t="shared" ca="1" si="2"/>
        <v>Female</v>
      </c>
      <c r="F42">
        <f t="shared" ca="1" si="3"/>
        <v>27</v>
      </c>
      <c r="G42">
        <f t="shared" ca="1" si="4"/>
        <v>3</v>
      </c>
      <c r="H42" t="str">
        <f t="shared" ca="1" si="5"/>
        <v>Teaching</v>
      </c>
      <c r="I42">
        <f t="shared" ca="1" si="6"/>
        <v>1</v>
      </c>
      <c r="J42" t="str">
        <f t="shared" ca="1" si="7"/>
        <v>High School</v>
      </c>
      <c r="K42">
        <f t="shared" ca="1" si="8"/>
        <v>1</v>
      </c>
      <c r="L42">
        <f t="shared" ca="1" si="9"/>
        <v>1</v>
      </c>
      <c r="M42">
        <f t="shared" ca="1" si="10"/>
        <v>25531</v>
      </c>
      <c r="N42">
        <f t="shared" ca="1" si="11"/>
        <v>7</v>
      </c>
      <c r="O42" t="str">
        <f t="shared" ca="1" si="12"/>
        <v>Manitoba</v>
      </c>
      <c r="P42">
        <f t="shared" ca="1" si="23"/>
        <v>153186</v>
      </c>
      <c r="Q42">
        <f t="shared" ca="1" si="14"/>
        <v>24564.63839108713</v>
      </c>
      <c r="R42">
        <f t="shared" ca="1" si="0"/>
        <v>12912.668278366862</v>
      </c>
      <c r="S42">
        <f t="shared" ca="1" si="15"/>
        <v>5394</v>
      </c>
      <c r="T42">
        <f t="shared" ca="1" si="24"/>
        <v>34252.411337204067</v>
      </c>
      <c r="U42">
        <f t="shared" ca="1" si="25"/>
        <v>14198.560371970267</v>
      </c>
      <c r="V42">
        <f t="shared" ca="1" si="26"/>
        <v>180297.22865033711</v>
      </c>
      <c r="W42">
        <f t="shared" ca="1" si="27"/>
        <v>64211.049728291197</v>
      </c>
      <c r="Z42" s="4">
        <f t="shared" ca="1" si="20"/>
        <v>0</v>
      </c>
      <c r="AA42">
        <f t="shared" ca="1" si="21"/>
        <v>1</v>
      </c>
      <c r="AC42" s="5"/>
      <c r="AX42" s="10">
        <f ca="1">Table1[[#This Row],[Car Value]]/Table1[[#This Row],[No. of Vehicles]]</f>
        <v>12912.668278366862</v>
      </c>
      <c r="AZ42">
        <f ca="1">IF(Table1[[#This Row],[Debts]]&gt;$BA$3,1,0)</f>
        <v>1</v>
      </c>
      <c r="BC42" s="12">
        <f ca="1">Table1[[#This Row],[Mortage left]]/Table1[[#This Row],[Value of The House]]</f>
        <v>0.16035824677899502</v>
      </c>
      <c r="BD42" s="4">
        <f t="shared" ca="1" si="22"/>
        <v>1</v>
      </c>
      <c r="BE42" s="5"/>
    </row>
    <row r="43" spans="4:57" x14ac:dyDescent="0.3">
      <c r="D43">
        <f t="shared" ca="1" si="1"/>
        <v>2</v>
      </c>
      <c r="E43" t="str">
        <f t="shared" ca="1" si="2"/>
        <v>Female</v>
      </c>
      <c r="F43">
        <f t="shared" ca="1" si="3"/>
        <v>42</v>
      </c>
      <c r="G43">
        <f t="shared" ca="1" si="4"/>
        <v>1</v>
      </c>
      <c r="H43" t="str">
        <f t="shared" ca="1" si="5"/>
        <v>Health</v>
      </c>
      <c r="I43">
        <f t="shared" ca="1" si="6"/>
        <v>3</v>
      </c>
      <c r="J43" t="str">
        <f t="shared" ca="1" si="7"/>
        <v>University</v>
      </c>
      <c r="K43">
        <f t="shared" ca="1" si="8"/>
        <v>0</v>
      </c>
      <c r="L43">
        <f t="shared" ca="1" si="9"/>
        <v>1</v>
      </c>
      <c r="M43">
        <f t="shared" ca="1" si="10"/>
        <v>36914</v>
      </c>
      <c r="N43">
        <f t="shared" ca="1" si="11"/>
        <v>7</v>
      </c>
      <c r="O43" t="str">
        <f t="shared" ca="1" si="12"/>
        <v>Manitoba</v>
      </c>
      <c r="P43">
        <f t="shared" ca="1" si="23"/>
        <v>184570</v>
      </c>
      <c r="Q43">
        <f t="shared" ca="1" si="14"/>
        <v>168148.7972117163</v>
      </c>
      <c r="R43">
        <f t="shared" ca="1" si="0"/>
        <v>6356.3798470805104</v>
      </c>
      <c r="S43">
        <f t="shared" ca="1" si="15"/>
        <v>4461</v>
      </c>
      <c r="T43">
        <f t="shared" ca="1" si="24"/>
        <v>9700.3823879042811</v>
      </c>
      <c r="U43">
        <f t="shared" ca="1" si="25"/>
        <v>55211.109582268778</v>
      </c>
      <c r="V43">
        <f t="shared" ca="1" si="26"/>
        <v>246137.48942934928</v>
      </c>
      <c r="W43">
        <f t="shared" ca="1" si="27"/>
        <v>182310.17959962058</v>
      </c>
      <c r="Z43" s="4">
        <f t="shared" ca="1" si="20"/>
        <v>0</v>
      </c>
      <c r="AA43">
        <f t="shared" ca="1" si="21"/>
        <v>1</v>
      </c>
      <c r="AC43" s="5"/>
      <c r="AX43" s="10">
        <f ca="1">Table1[[#This Row],[Car Value]]/Table1[[#This Row],[No. of Vehicles]]</f>
        <v>6356.3798470805104</v>
      </c>
      <c r="AZ43">
        <f ca="1">IF(Table1[[#This Row],[Debts]]&gt;$BA$3,1,0)</f>
        <v>0</v>
      </c>
      <c r="BC43" s="12">
        <f ca="1">Table1[[#This Row],[Mortage left]]/Table1[[#This Row],[Value of The House]]</f>
        <v>0.91102994642529289</v>
      </c>
      <c r="BD43" s="4">
        <f t="shared" ca="1" si="22"/>
        <v>0</v>
      </c>
      <c r="BE43" s="5"/>
    </row>
    <row r="44" spans="4:57" x14ac:dyDescent="0.3">
      <c r="D44">
        <f t="shared" ca="1" si="1"/>
        <v>2</v>
      </c>
      <c r="E44" t="str">
        <f t="shared" ca="1" si="2"/>
        <v>Female</v>
      </c>
      <c r="F44">
        <f t="shared" ca="1" si="3"/>
        <v>37</v>
      </c>
      <c r="G44">
        <f t="shared" ca="1" si="4"/>
        <v>6</v>
      </c>
      <c r="H44" t="str">
        <f t="shared" ca="1" si="5"/>
        <v>General Work</v>
      </c>
      <c r="I44">
        <f t="shared" ca="1" si="6"/>
        <v>3</v>
      </c>
      <c r="J44" t="str">
        <f t="shared" ca="1" si="7"/>
        <v>University</v>
      </c>
      <c r="K44">
        <f t="shared" ca="1" si="8"/>
        <v>3</v>
      </c>
      <c r="L44">
        <f t="shared" ca="1" si="9"/>
        <v>2</v>
      </c>
      <c r="M44">
        <f t="shared" ca="1" si="10"/>
        <v>38534</v>
      </c>
      <c r="N44">
        <f t="shared" ca="1" si="11"/>
        <v>2</v>
      </c>
      <c r="O44" t="str">
        <f t="shared" ca="1" si="12"/>
        <v>BC</v>
      </c>
      <c r="P44">
        <f t="shared" ca="1" si="23"/>
        <v>192670</v>
      </c>
      <c r="Q44">
        <f t="shared" ca="1" si="14"/>
        <v>52973.03250284923</v>
      </c>
      <c r="R44">
        <f t="shared" ca="1" si="0"/>
        <v>41965.58029146403</v>
      </c>
      <c r="S44">
        <f t="shared" ca="1" si="15"/>
        <v>23104</v>
      </c>
      <c r="T44">
        <f t="shared" ca="1" si="24"/>
        <v>17451.422535346832</v>
      </c>
      <c r="U44">
        <f t="shared" ca="1" si="25"/>
        <v>5456.3707950059952</v>
      </c>
      <c r="V44">
        <f t="shared" ca="1" si="26"/>
        <v>240091.95108647001</v>
      </c>
      <c r="W44">
        <f t="shared" ca="1" si="27"/>
        <v>93528.455038196073</v>
      </c>
      <c r="Z44" s="4">
        <f t="shared" ca="1" si="20"/>
        <v>0</v>
      </c>
      <c r="AA44">
        <f t="shared" ca="1" si="21"/>
        <v>1</v>
      </c>
      <c r="AC44" s="5"/>
      <c r="AX44" s="10">
        <f ca="1">Table1[[#This Row],[Car Value]]/Table1[[#This Row],[No. of Vehicles]]</f>
        <v>20982.790145732015</v>
      </c>
      <c r="AZ44">
        <f ca="1">IF(Table1[[#This Row],[Debts]]&gt;$BA$3,1,0)</f>
        <v>0</v>
      </c>
      <c r="BC44" s="12">
        <f ca="1">Table1[[#This Row],[Mortage left]]/Table1[[#This Row],[Value of The House]]</f>
        <v>0.27494177870373815</v>
      </c>
      <c r="BD44" s="4">
        <f t="shared" ca="1" si="22"/>
        <v>0</v>
      </c>
      <c r="BE44" s="5"/>
    </row>
    <row r="45" spans="4:57" x14ac:dyDescent="0.3">
      <c r="D45">
        <f t="shared" ca="1" si="1"/>
        <v>2</v>
      </c>
      <c r="E45" t="str">
        <f t="shared" ca="1" si="2"/>
        <v>Female</v>
      </c>
      <c r="F45">
        <f t="shared" ca="1" si="3"/>
        <v>29</v>
      </c>
      <c r="G45">
        <f t="shared" ca="1" si="4"/>
        <v>6</v>
      </c>
      <c r="H45" t="str">
        <f t="shared" ca="1" si="5"/>
        <v>General Work</v>
      </c>
      <c r="I45">
        <f t="shared" ca="1" si="6"/>
        <v>5</v>
      </c>
      <c r="J45" t="str">
        <f t="shared" ca="1" si="7"/>
        <v>Other</v>
      </c>
      <c r="K45">
        <f t="shared" ca="1" si="8"/>
        <v>1</v>
      </c>
      <c r="L45">
        <f t="shared" ca="1" si="9"/>
        <v>2</v>
      </c>
      <c r="M45">
        <f t="shared" ca="1" si="10"/>
        <v>30467</v>
      </c>
      <c r="N45">
        <f t="shared" ca="1" si="11"/>
        <v>6</v>
      </c>
      <c r="O45" t="str">
        <f t="shared" ca="1" si="12"/>
        <v>Saskatchewan</v>
      </c>
      <c r="P45">
        <f t="shared" ca="1" si="23"/>
        <v>121868</v>
      </c>
      <c r="Q45">
        <f t="shared" ca="1" si="14"/>
        <v>37931.293707697121</v>
      </c>
      <c r="R45">
        <f t="shared" ca="1" si="0"/>
        <v>48093.819119892411</v>
      </c>
      <c r="S45">
        <f t="shared" ca="1" si="15"/>
        <v>8263</v>
      </c>
      <c r="T45">
        <f t="shared" ca="1" si="24"/>
        <v>38723.563920573695</v>
      </c>
      <c r="U45">
        <f t="shared" ca="1" si="25"/>
        <v>14513.111874340346</v>
      </c>
      <c r="V45">
        <f t="shared" ca="1" si="26"/>
        <v>184474.93099423274</v>
      </c>
      <c r="W45">
        <f t="shared" ca="1" si="27"/>
        <v>84917.857628270809</v>
      </c>
      <c r="Z45" s="4">
        <f t="shared" ca="1" si="20"/>
        <v>0</v>
      </c>
      <c r="AA45">
        <f t="shared" ca="1" si="21"/>
        <v>1</v>
      </c>
      <c r="AC45" s="5"/>
      <c r="AX45" s="10">
        <f ca="1">Table1[[#This Row],[Car Value]]/Table1[[#This Row],[No. of Vehicles]]</f>
        <v>24046.909559946205</v>
      </c>
      <c r="AZ45">
        <f ca="1">IF(Table1[[#This Row],[Debts]]&gt;$BA$3,1,0)</f>
        <v>1</v>
      </c>
      <c r="BC45" s="12">
        <f ca="1">Table1[[#This Row],[Mortage left]]/Table1[[#This Row],[Value of The House]]</f>
        <v>0.31124900472394001</v>
      </c>
      <c r="BD45" s="4">
        <f t="shared" ca="1" si="22"/>
        <v>0</v>
      </c>
      <c r="BE45" s="5"/>
    </row>
    <row r="46" spans="4:57" x14ac:dyDescent="0.3">
      <c r="D46">
        <f t="shared" ca="1" si="1"/>
        <v>1</v>
      </c>
      <c r="E46" t="str">
        <f t="shared" ca="1" si="2"/>
        <v>Male</v>
      </c>
      <c r="F46">
        <f t="shared" ca="1" si="3"/>
        <v>30</v>
      </c>
      <c r="G46">
        <f t="shared" ca="1" si="4"/>
        <v>1</v>
      </c>
      <c r="H46" t="str">
        <f t="shared" ca="1" si="5"/>
        <v>Health</v>
      </c>
      <c r="I46">
        <f t="shared" ca="1" si="6"/>
        <v>1</v>
      </c>
      <c r="J46" t="str">
        <f t="shared" ca="1" si="7"/>
        <v>High School</v>
      </c>
      <c r="K46">
        <f t="shared" ca="1" si="8"/>
        <v>4</v>
      </c>
      <c r="L46">
        <f t="shared" ca="1" si="9"/>
        <v>1</v>
      </c>
      <c r="M46">
        <f t="shared" ca="1" si="10"/>
        <v>43169</v>
      </c>
      <c r="N46">
        <f t="shared" ca="1" si="11"/>
        <v>7</v>
      </c>
      <c r="O46" t="str">
        <f t="shared" ca="1" si="12"/>
        <v>Manitoba</v>
      </c>
      <c r="P46">
        <f t="shared" ca="1" si="23"/>
        <v>215845</v>
      </c>
      <c r="Q46">
        <f t="shared" ca="1" si="14"/>
        <v>113734.49480077067</v>
      </c>
      <c r="R46">
        <f t="shared" ca="1" si="0"/>
        <v>32757.957796938266</v>
      </c>
      <c r="S46">
        <f t="shared" ca="1" si="15"/>
        <v>29324</v>
      </c>
      <c r="T46">
        <f t="shared" ca="1" si="24"/>
        <v>32107.370201990412</v>
      </c>
      <c r="U46">
        <f t="shared" ca="1" si="25"/>
        <v>2087.8166450524391</v>
      </c>
      <c r="V46">
        <f t="shared" ca="1" si="26"/>
        <v>250690.77444199068</v>
      </c>
      <c r="W46">
        <f t="shared" ca="1" si="27"/>
        <v>175165.86500276107</v>
      </c>
      <c r="Z46" s="4">
        <f t="shared" ca="1" si="20"/>
        <v>1</v>
      </c>
      <c r="AA46">
        <f t="shared" ca="1" si="21"/>
        <v>0</v>
      </c>
      <c r="AC46" s="5"/>
      <c r="AX46" s="10">
        <f ca="1">Table1[[#This Row],[Car Value]]/Table1[[#This Row],[No. of Vehicles]]</f>
        <v>32757.957796938266</v>
      </c>
      <c r="AZ46">
        <f ca="1">IF(Table1[[#This Row],[Debts]]&gt;$BA$3,1,0)</f>
        <v>1</v>
      </c>
      <c r="BC46" s="12">
        <f ca="1">Table1[[#This Row],[Mortage left]]/Table1[[#This Row],[Value of The House]]</f>
        <v>0.52692670574148426</v>
      </c>
      <c r="BD46" s="4">
        <f t="shared" ca="1" si="22"/>
        <v>0</v>
      </c>
      <c r="BE46" s="5"/>
    </row>
    <row r="47" spans="4:57" x14ac:dyDescent="0.3">
      <c r="D47">
        <f t="shared" ca="1" si="1"/>
        <v>2</v>
      </c>
      <c r="E47" t="str">
        <f t="shared" ca="1" si="2"/>
        <v>Female</v>
      </c>
      <c r="F47">
        <f t="shared" ca="1" si="3"/>
        <v>38</v>
      </c>
      <c r="G47">
        <f t="shared" ca="1" si="4"/>
        <v>6</v>
      </c>
      <c r="H47" t="str">
        <f t="shared" ca="1" si="5"/>
        <v>General Work</v>
      </c>
      <c r="I47">
        <f t="shared" ca="1" si="6"/>
        <v>3</v>
      </c>
      <c r="J47" t="str">
        <f t="shared" ca="1" si="7"/>
        <v>University</v>
      </c>
      <c r="K47">
        <f t="shared" ca="1" si="8"/>
        <v>4</v>
      </c>
      <c r="L47">
        <f t="shared" ca="1" si="9"/>
        <v>2</v>
      </c>
      <c r="M47">
        <f t="shared" ca="1" si="10"/>
        <v>53891</v>
      </c>
      <c r="N47">
        <f t="shared" ca="1" si="11"/>
        <v>8</v>
      </c>
      <c r="O47" t="str">
        <f t="shared" ca="1" si="12"/>
        <v>Ontario</v>
      </c>
      <c r="P47">
        <f t="shared" ca="1" si="23"/>
        <v>323346</v>
      </c>
      <c r="Q47">
        <f t="shared" ca="1" si="14"/>
        <v>147605.40469370512</v>
      </c>
      <c r="R47">
        <f t="shared" ca="1" si="0"/>
        <v>91408.404184456769</v>
      </c>
      <c r="S47">
        <f t="shared" ca="1" si="15"/>
        <v>55055</v>
      </c>
      <c r="T47">
        <f t="shared" ca="1" si="24"/>
        <v>9363.6667591674395</v>
      </c>
      <c r="U47">
        <f t="shared" ca="1" si="25"/>
        <v>11196.384781495095</v>
      </c>
      <c r="V47">
        <f t="shared" ca="1" si="26"/>
        <v>425950.78896595188</v>
      </c>
      <c r="W47">
        <f t="shared" ca="1" si="27"/>
        <v>212024.07145287257</v>
      </c>
      <c r="Z47" s="4">
        <f t="shared" ca="1" si="20"/>
        <v>0</v>
      </c>
      <c r="AA47">
        <f t="shared" ca="1" si="21"/>
        <v>1</v>
      </c>
      <c r="AC47" s="5"/>
      <c r="AX47" s="10">
        <f ca="1">Table1[[#This Row],[Car Value]]/Table1[[#This Row],[No. of Vehicles]]</f>
        <v>45704.202092228385</v>
      </c>
      <c r="AZ47">
        <f ca="1">IF(Table1[[#This Row],[Debts]]&gt;$BA$3,1,0)</f>
        <v>0</v>
      </c>
      <c r="BC47" s="12">
        <f ca="1">Table1[[#This Row],[Mortage left]]/Table1[[#This Row],[Value of The House]]</f>
        <v>0.45649367765089138</v>
      </c>
      <c r="BD47" s="4">
        <f t="shared" ca="1" si="22"/>
        <v>0</v>
      </c>
      <c r="BE47" s="5"/>
    </row>
    <row r="48" spans="4:57" x14ac:dyDescent="0.3">
      <c r="D48">
        <f t="shared" ca="1" si="1"/>
        <v>2</v>
      </c>
      <c r="E48" t="str">
        <f t="shared" ca="1" si="2"/>
        <v>Female</v>
      </c>
      <c r="F48">
        <f t="shared" ca="1" si="3"/>
        <v>29</v>
      </c>
      <c r="G48">
        <f t="shared" ca="1" si="4"/>
        <v>1</v>
      </c>
      <c r="H48" t="str">
        <f t="shared" ca="1" si="5"/>
        <v>Health</v>
      </c>
      <c r="I48">
        <f t="shared" ca="1" si="6"/>
        <v>1</v>
      </c>
      <c r="J48" t="str">
        <f t="shared" ca="1" si="7"/>
        <v>High School</v>
      </c>
      <c r="K48">
        <f t="shared" ca="1" si="8"/>
        <v>0</v>
      </c>
      <c r="L48">
        <f t="shared" ca="1" si="9"/>
        <v>2</v>
      </c>
      <c r="M48">
        <f t="shared" ca="1" si="10"/>
        <v>53750</v>
      </c>
      <c r="N48">
        <f t="shared" ca="1" si="11"/>
        <v>1</v>
      </c>
      <c r="O48" t="str">
        <f t="shared" ca="1" si="12"/>
        <v>Yukon</v>
      </c>
      <c r="P48">
        <f t="shared" ca="1" si="23"/>
        <v>322500</v>
      </c>
      <c r="Q48">
        <f t="shared" ca="1" si="14"/>
        <v>261940.26380292312</v>
      </c>
      <c r="R48">
        <f t="shared" ca="1" si="0"/>
        <v>27402.321483764408</v>
      </c>
      <c r="S48">
        <f t="shared" ca="1" si="15"/>
        <v>14800</v>
      </c>
      <c r="T48">
        <f t="shared" ca="1" si="24"/>
        <v>18565.375215580021</v>
      </c>
      <c r="U48">
        <f t="shared" ca="1" si="25"/>
        <v>54907.832642967544</v>
      </c>
      <c r="V48">
        <f t="shared" ca="1" si="26"/>
        <v>404810.15412673191</v>
      </c>
      <c r="W48">
        <f t="shared" ca="1" si="27"/>
        <v>295305.63901850319</v>
      </c>
      <c r="Z48" s="4">
        <f t="shared" ca="1" si="20"/>
        <v>0</v>
      </c>
      <c r="AA48">
        <f t="shared" ca="1" si="21"/>
        <v>1</v>
      </c>
      <c r="AC48" s="5"/>
      <c r="AX48" s="10">
        <f ca="1">Table1[[#This Row],[Car Value]]/Table1[[#This Row],[No. of Vehicles]]</f>
        <v>13701.160741882204</v>
      </c>
      <c r="AZ48">
        <f ca="1">IF(Table1[[#This Row],[Debts]]&gt;$BA$3,1,0)</f>
        <v>0</v>
      </c>
      <c r="BC48" s="12">
        <f ca="1">Table1[[#This Row],[Mortage left]]/Table1[[#This Row],[Value of The House]]</f>
        <v>0.81221787225712594</v>
      </c>
      <c r="BD48" s="4">
        <f t="shared" ca="1" si="22"/>
        <v>0</v>
      </c>
      <c r="BE48" s="5"/>
    </row>
    <row r="49" spans="4:57" x14ac:dyDescent="0.3">
      <c r="D49">
        <f t="shared" ca="1" si="1"/>
        <v>1</v>
      </c>
      <c r="E49" t="str">
        <f t="shared" ca="1" si="2"/>
        <v>Male</v>
      </c>
      <c r="F49">
        <f t="shared" ca="1" si="3"/>
        <v>42</v>
      </c>
      <c r="G49">
        <f t="shared" ca="1" si="4"/>
        <v>2</v>
      </c>
      <c r="H49" t="str">
        <f t="shared" ca="1" si="5"/>
        <v>Construction</v>
      </c>
      <c r="I49">
        <f t="shared" ca="1" si="6"/>
        <v>1</v>
      </c>
      <c r="J49" t="str">
        <f t="shared" ca="1" si="7"/>
        <v>High School</v>
      </c>
      <c r="K49">
        <f t="shared" ca="1" si="8"/>
        <v>3</v>
      </c>
      <c r="L49">
        <f t="shared" ca="1" si="9"/>
        <v>2</v>
      </c>
      <c r="M49">
        <f t="shared" ca="1" si="10"/>
        <v>44917</v>
      </c>
      <c r="N49">
        <f t="shared" ca="1" si="11"/>
        <v>11</v>
      </c>
      <c r="O49" t="str">
        <f t="shared" ca="1" si="12"/>
        <v>New bruncwick</v>
      </c>
      <c r="P49">
        <f t="shared" ca="1" si="23"/>
        <v>179668</v>
      </c>
      <c r="Q49">
        <f t="shared" ca="1" si="14"/>
        <v>137054.62451943516</v>
      </c>
      <c r="R49">
        <f t="shared" ca="1" si="0"/>
        <v>11481.172195973073</v>
      </c>
      <c r="S49">
        <f t="shared" ca="1" si="15"/>
        <v>7454</v>
      </c>
      <c r="T49">
        <f t="shared" ca="1" si="24"/>
        <v>19381.832814763882</v>
      </c>
      <c r="U49">
        <f t="shared" ca="1" si="25"/>
        <v>47858.227883033374</v>
      </c>
      <c r="V49">
        <f t="shared" ca="1" si="26"/>
        <v>239007.40007900645</v>
      </c>
      <c r="W49">
        <f t="shared" ca="1" si="27"/>
        <v>163890.45733419905</v>
      </c>
      <c r="Z49" s="4">
        <f t="shared" ca="1" si="20"/>
        <v>1</v>
      </c>
      <c r="AA49">
        <f t="shared" ca="1" si="21"/>
        <v>0</v>
      </c>
      <c r="AC49" s="5"/>
      <c r="AX49" s="10">
        <f ca="1">Table1[[#This Row],[Car Value]]/Table1[[#This Row],[No. of Vehicles]]</f>
        <v>5740.5860979865365</v>
      </c>
      <c r="AZ49">
        <f ca="1">IF(Table1[[#This Row],[Debts]]&gt;$BA$3,1,0)</f>
        <v>0</v>
      </c>
      <c r="BC49" s="12">
        <f ca="1">Table1[[#This Row],[Mortage left]]/Table1[[#This Row],[Value of The House]]</f>
        <v>0.76282156265687362</v>
      </c>
      <c r="BD49" s="4">
        <f t="shared" ca="1" si="22"/>
        <v>0</v>
      </c>
      <c r="BE49" s="5"/>
    </row>
    <row r="50" spans="4:57" x14ac:dyDescent="0.3">
      <c r="D50">
        <f t="shared" ca="1" si="1"/>
        <v>2</v>
      </c>
      <c r="E50" t="str">
        <f t="shared" ca="1" si="2"/>
        <v>Female</v>
      </c>
      <c r="F50">
        <f t="shared" ca="1" si="3"/>
        <v>33</v>
      </c>
      <c r="G50">
        <f t="shared" ca="1" si="4"/>
        <v>4</v>
      </c>
      <c r="H50" t="str">
        <f t="shared" ca="1" si="5"/>
        <v>IT</v>
      </c>
      <c r="I50">
        <f t="shared" ca="1" si="6"/>
        <v>2</v>
      </c>
      <c r="J50" t="str">
        <f t="shared" ca="1" si="7"/>
        <v>College</v>
      </c>
      <c r="K50">
        <f t="shared" ca="1" si="8"/>
        <v>0</v>
      </c>
      <c r="L50">
        <f t="shared" ca="1" si="9"/>
        <v>2</v>
      </c>
      <c r="M50">
        <f t="shared" ca="1" si="10"/>
        <v>57536</v>
      </c>
      <c r="N50">
        <f t="shared" ca="1" si="11"/>
        <v>12</v>
      </c>
      <c r="O50" t="str">
        <f t="shared" ca="1" si="12"/>
        <v>Nova scotia</v>
      </c>
      <c r="P50">
        <f t="shared" ca="1" si="23"/>
        <v>345216</v>
      </c>
      <c r="Q50">
        <f t="shared" ca="1" si="14"/>
        <v>152877.96033980403</v>
      </c>
      <c r="R50">
        <f t="shared" ca="1" si="0"/>
        <v>86543.200502000152</v>
      </c>
      <c r="S50">
        <f t="shared" ca="1" si="15"/>
        <v>15702</v>
      </c>
      <c r="T50">
        <f t="shared" ca="1" si="24"/>
        <v>61674.712464256423</v>
      </c>
      <c r="U50">
        <f t="shared" ca="1" si="25"/>
        <v>12270.467939117778</v>
      </c>
      <c r="V50">
        <f t="shared" ca="1" si="26"/>
        <v>444029.66844111797</v>
      </c>
      <c r="W50">
        <f t="shared" ca="1" si="27"/>
        <v>230254.67280406045</v>
      </c>
      <c r="Z50" s="4">
        <f t="shared" ca="1" si="20"/>
        <v>0</v>
      </c>
      <c r="AA50">
        <f t="shared" ca="1" si="21"/>
        <v>1</v>
      </c>
      <c r="AC50" s="5"/>
      <c r="AX50" s="10">
        <f ca="1">Table1[[#This Row],[Car Value]]/Table1[[#This Row],[No. of Vehicles]]</f>
        <v>43271.600251000076</v>
      </c>
      <c r="AZ50">
        <f ca="1">IF(Table1[[#This Row],[Debts]]&gt;$BA$3,1,0)</f>
        <v>1</v>
      </c>
      <c r="BC50" s="12">
        <f ca="1">Table1[[#This Row],[Mortage left]]/Table1[[#This Row],[Value of The House]]</f>
        <v>0.44284726182970674</v>
      </c>
      <c r="BD50" s="4">
        <f t="shared" ca="1" si="22"/>
        <v>0</v>
      </c>
      <c r="BE50" s="5"/>
    </row>
    <row r="51" spans="4:57" x14ac:dyDescent="0.3">
      <c r="D51">
        <f t="shared" ca="1" si="1"/>
        <v>2</v>
      </c>
      <c r="E51" t="str">
        <f t="shared" ca="1" si="2"/>
        <v>Female</v>
      </c>
      <c r="F51">
        <f t="shared" ca="1" si="3"/>
        <v>25</v>
      </c>
      <c r="G51">
        <f t="shared" ca="1" si="4"/>
        <v>3</v>
      </c>
      <c r="H51" t="str">
        <f t="shared" ca="1" si="5"/>
        <v>Teaching</v>
      </c>
      <c r="I51">
        <f t="shared" ca="1" si="6"/>
        <v>2</v>
      </c>
      <c r="J51" t="str">
        <f t="shared" ca="1" si="7"/>
        <v>College</v>
      </c>
      <c r="K51">
        <f t="shared" ca="1" si="8"/>
        <v>3</v>
      </c>
      <c r="L51">
        <f t="shared" ca="1" si="9"/>
        <v>2</v>
      </c>
      <c r="M51">
        <f t="shared" ca="1" si="10"/>
        <v>25032</v>
      </c>
      <c r="N51">
        <f t="shared" ca="1" si="11"/>
        <v>12</v>
      </c>
      <c r="O51" t="str">
        <f t="shared" ca="1" si="12"/>
        <v>Nova scotia</v>
      </c>
      <c r="P51">
        <f t="shared" ca="1" si="23"/>
        <v>100128</v>
      </c>
      <c r="Q51">
        <f t="shared" ca="1" si="14"/>
        <v>7743.8327548107409</v>
      </c>
      <c r="R51">
        <f t="shared" ca="1" si="0"/>
        <v>35467.453414528798</v>
      </c>
      <c r="S51">
        <f t="shared" ca="1" si="15"/>
        <v>7982</v>
      </c>
      <c r="T51">
        <f t="shared" ca="1" si="24"/>
        <v>32540.858232033381</v>
      </c>
      <c r="U51">
        <f t="shared" ca="1" si="25"/>
        <v>31695.471485718859</v>
      </c>
      <c r="V51">
        <f t="shared" ca="1" si="26"/>
        <v>167290.92490024766</v>
      </c>
      <c r="W51">
        <f t="shared" ca="1" si="27"/>
        <v>48266.690986844122</v>
      </c>
      <c r="Z51" s="4">
        <f t="shared" ca="1" si="20"/>
        <v>0</v>
      </c>
      <c r="AA51">
        <f t="shared" ca="1" si="21"/>
        <v>1</v>
      </c>
      <c r="AC51" s="5"/>
      <c r="AX51" s="10">
        <f ca="1">Table1[[#This Row],[Car Value]]/Table1[[#This Row],[No. of Vehicles]]</f>
        <v>17733.726707264399</v>
      </c>
      <c r="AZ51">
        <f ca="1">IF(Table1[[#This Row],[Debts]]&gt;$BA$3,1,0)</f>
        <v>1</v>
      </c>
      <c r="BC51" s="12">
        <f ca="1">Table1[[#This Row],[Mortage left]]/Table1[[#This Row],[Value of The House]]</f>
        <v>7.733933320160935E-2</v>
      </c>
      <c r="BD51" s="4">
        <f t="shared" ca="1" si="22"/>
        <v>1</v>
      </c>
      <c r="BE51" s="5"/>
    </row>
    <row r="52" spans="4:57" x14ac:dyDescent="0.3">
      <c r="D52">
        <f t="shared" ca="1" si="1"/>
        <v>2</v>
      </c>
      <c r="E52" t="str">
        <f t="shared" ca="1" si="2"/>
        <v>Female</v>
      </c>
      <c r="F52">
        <f t="shared" ca="1" si="3"/>
        <v>40</v>
      </c>
      <c r="G52">
        <f t="shared" ca="1" si="4"/>
        <v>2</v>
      </c>
      <c r="H52" t="str">
        <f t="shared" ca="1" si="5"/>
        <v>Construction</v>
      </c>
      <c r="I52">
        <f t="shared" ca="1" si="6"/>
        <v>1</v>
      </c>
      <c r="J52" t="str">
        <f t="shared" ca="1" si="7"/>
        <v>High School</v>
      </c>
      <c r="K52">
        <f t="shared" ca="1" si="8"/>
        <v>0</v>
      </c>
      <c r="L52">
        <f t="shared" ca="1" si="9"/>
        <v>1</v>
      </c>
      <c r="M52">
        <f t="shared" ca="1" si="10"/>
        <v>47561</v>
      </c>
      <c r="N52">
        <f t="shared" ca="1" si="11"/>
        <v>4</v>
      </c>
      <c r="O52" t="str">
        <f t="shared" ca="1" si="12"/>
        <v>Alberta</v>
      </c>
      <c r="P52">
        <f t="shared" ca="1" si="23"/>
        <v>190244</v>
      </c>
      <c r="Q52">
        <f t="shared" ca="1" si="14"/>
        <v>14092.948892130507</v>
      </c>
      <c r="R52">
        <f t="shared" ca="1" si="0"/>
        <v>37123.689198358508</v>
      </c>
      <c r="S52">
        <f t="shared" ca="1" si="15"/>
        <v>13622</v>
      </c>
      <c r="T52">
        <f t="shared" ca="1" si="24"/>
        <v>47790.961301333453</v>
      </c>
      <c r="U52">
        <f t="shared" ca="1" si="25"/>
        <v>53038.549597174868</v>
      </c>
      <c r="V52">
        <f t="shared" ca="1" si="26"/>
        <v>280406.23879553337</v>
      </c>
      <c r="W52">
        <f t="shared" ca="1" si="27"/>
        <v>75505.910193463962</v>
      </c>
      <c r="Z52" s="4">
        <f t="shared" ca="1" si="20"/>
        <v>0</v>
      </c>
      <c r="AA52">
        <f t="shared" ca="1" si="21"/>
        <v>1</v>
      </c>
      <c r="AC52" s="5"/>
      <c r="AX52" s="10">
        <f ca="1">Table1[[#This Row],[Car Value]]/Table1[[#This Row],[No. of Vehicles]]</f>
        <v>37123.689198358508</v>
      </c>
      <c r="AZ52">
        <f ca="1">IF(Table1[[#This Row],[Debts]]&gt;$BA$3,1,0)</f>
        <v>1</v>
      </c>
      <c r="BC52" s="12">
        <f ca="1">Table1[[#This Row],[Mortage left]]/Table1[[#This Row],[Value of The House]]</f>
        <v>7.4078283110797227E-2</v>
      </c>
      <c r="BD52" s="4">
        <f t="shared" ca="1" si="22"/>
        <v>1</v>
      </c>
      <c r="BE52" s="5"/>
    </row>
    <row r="53" spans="4:57" x14ac:dyDescent="0.3">
      <c r="D53">
        <f t="shared" ca="1" si="1"/>
        <v>1</v>
      </c>
      <c r="E53" t="str">
        <f t="shared" ca="1" si="2"/>
        <v>Male</v>
      </c>
      <c r="F53">
        <f t="shared" ca="1" si="3"/>
        <v>38</v>
      </c>
      <c r="G53">
        <f t="shared" ca="1" si="4"/>
        <v>5</v>
      </c>
      <c r="H53" t="str">
        <f t="shared" ca="1" si="5"/>
        <v>Agriculture</v>
      </c>
      <c r="I53">
        <f t="shared" ca="1" si="6"/>
        <v>5</v>
      </c>
      <c r="J53" t="str">
        <f t="shared" ca="1" si="7"/>
        <v>Other</v>
      </c>
      <c r="K53">
        <f t="shared" ca="1" si="8"/>
        <v>0</v>
      </c>
      <c r="L53">
        <f t="shared" ca="1" si="9"/>
        <v>2</v>
      </c>
      <c r="M53">
        <f t="shared" ca="1" si="10"/>
        <v>65296</v>
      </c>
      <c r="N53">
        <f t="shared" ca="1" si="11"/>
        <v>6</v>
      </c>
      <c r="O53" t="str">
        <f t="shared" ca="1" si="12"/>
        <v>Saskatchewan</v>
      </c>
      <c r="P53">
        <f t="shared" ca="1" si="23"/>
        <v>391776</v>
      </c>
      <c r="Q53">
        <f t="shared" ca="1" si="14"/>
        <v>112621.32511277385</v>
      </c>
      <c r="R53">
        <f t="shared" ca="1" si="0"/>
        <v>17580.444894189102</v>
      </c>
      <c r="S53">
        <f t="shared" ca="1" si="15"/>
        <v>14981</v>
      </c>
      <c r="T53">
        <f t="shared" ca="1" si="24"/>
        <v>87282.661206743433</v>
      </c>
      <c r="U53">
        <f t="shared" ca="1" si="25"/>
        <v>58111.88124185121</v>
      </c>
      <c r="V53">
        <f t="shared" ca="1" si="26"/>
        <v>467468.32613604033</v>
      </c>
      <c r="W53">
        <f t="shared" ca="1" si="27"/>
        <v>214884.98631951728</v>
      </c>
      <c r="Z53" s="4">
        <f t="shared" ca="1" si="20"/>
        <v>1</v>
      </c>
      <c r="AA53">
        <f t="shared" ca="1" si="21"/>
        <v>0</v>
      </c>
      <c r="AC53" s="5"/>
      <c r="AX53" s="10">
        <f ca="1">Table1[[#This Row],[Car Value]]/Table1[[#This Row],[No. of Vehicles]]</f>
        <v>8790.2224470945512</v>
      </c>
      <c r="AZ53">
        <f ca="1">IF(Table1[[#This Row],[Debts]]&gt;$BA$3,1,0)</f>
        <v>1</v>
      </c>
      <c r="BC53" s="12">
        <f ca="1">Table1[[#This Row],[Mortage left]]/Table1[[#This Row],[Value of The House]]</f>
        <v>0.28746356365059078</v>
      </c>
      <c r="BD53" s="4">
        <f t="shared" ca="1" si="22"/>
        <v>0</v>
      </c>
      <c r="BE53" s="5"/>
    </row>
    <row r="54" spans="4:57" x14ac:dyDescent="0.3">
      <c r="D54">
        <f t="shared" ca="1" si="1"/>
        <v>2</v>
      </c>
      <c r="E54" t="str">
        <f t="shared" ca="1" si="2"/>
        <v>Female</v>
      </c>
      <c r="F54">
        <f t="shared" ca="1" si="3"/>
        <v>34</v>
      </c>
      <c r="G54">
        <f t="shared" ca="1" si="4"/>
        <v>6</v>
      </c>
      <c r="H54" t="str">
        <f t="shared" ca="1" si="5"/>
        <v>General Work</v>
      </c>
      <c r="I54">
        <f t="shared" ca="1" si="6"/>
        <v>2</v>
      </c>
      <c r="J54" t="str">
        <f t="shared" ca="1" si="7"/>
        <v>College</v>
      </c>
      <c r="K54">
        <f t="shared" ca="1" si="8"/>
        <v>3</v>
      </c>
      <c r="L54">
        <f t="shared" ca="1" si="9"/>
        <v>2</v>
      </c>
      <c r="M54">
        <f t="shared" ca="1" si="10"/>
        <v>75652</v>
      </c>
      <c r="N54">
        <f t="shared" ca="1" si="11"/>
        <v>13</v>
      </c>
      <c r="O54" t="str">
        <f t="shared" ca="1" si="12"/>
        <v>Prince Edward Islnd</v>
      </c>
      <c r="P54">
        <f t="shared" ca="1" si="23"/>
        <v>453912</v>
      </c>
      <c r="Q54">
        <f t="shared" ca="1" si="14"/>
        <v>448847.44856681657</v>
      </c>
      <c r="R54">
        <f t="shared" ca="1" si="0"/>
        <v>20078.516459025217</v>
      </c>
      <c r="S54">
        <f t="shared" ca="1" si="15"/>
        <v>19463</v>
      </c>
      <c r="T54">
        <f t="shared" ca="1" si="24"/>
        <v>80348.269985670719</v>
      </c>
      <c r="U54">
        <f t="shared" ca="1" si="25"/>
        <v>6378.8996708426357</v>
      </c>
      <c r="V54">
        <f t="shared" ca="1" si="26"/>
        <v>480369.41612986784</v>
      </c>
      <c r="W54">
        <f t="shared" ca="1" si="27"/>
        <v>548658.71855248732</v>
      </c>
      <c r="Z54" s="4">
        <f t="shared" ca="1" si="20"/>
        <v>0</v>
      </c>
      <c r="AA54">
        <f t="shared" ca="1" si="21"/>
        <v>1</v>
      </c>
      <c r="AC54" s="5"/>
      <c r="AX54" s="10">
        <f ca="1">Table1[[#This Row],[Car Value]]/Table1[[#This Row],[No. of Vehicles]]</f>
        <v>10039.258229512609</v>
      </c>
      <c r="AZ54">
        <f ca="1">IF(Table1[[#This Row],[Debts]]&gt;$BA$3,1,0)</f>
        <v>1</v>
      </c>
      <c r="BC54" s="12">
        <f ca="1">Table1[[#This Row],[Mortage left]]/Table1[[#This Row],[Value of The House]]</f>
        <v>0.98884243766813074</v>
      </c>
      <c r="BD54" s="4">
        <f t="shared" ca="1" si="22"/>
        <v>0</v>
      </c>
      <c r="BE54" s="5"/>
    </row>
    <row r="55" spans="4:57" x14ac:dyDescent="0.3">
      <c r="D55">
        <f t="shared" ca="1" si="1"/>
        <v>1</v>
      </c>
      <c r="E55" t="str">
        <f t="shared" ca="1" si="2"/>
        <v>Male</v>
      </c>
      <c r="F55">
        <f t="shared" ca="1" si="3"/>
        <v>41</v>
      </c>
      <c r="G55">
        <f t="shared" ca="1" si="4"/>
        <v>3</v>
      </c>
      <c r="H55" t="str">
        <f t="shared" ca="1" si="5"/>
        <v>Teaching</v>
      </c>
      <c r="I55">
        <f t="shared" ca="1" si="6"/>
        <v>1</v>
      </c>
      <c r="J55" t="str">
        <f t="shared" ca="1" si="7"/>
        <v>High School</v>
      </c>
      <c r="K55">
        <f t="shared" ca="1" si="8"/>
        <v>1</v>
      </c>
      <c r="L55">
        <f t="shared" ca="1" si="9"/>
        <v>1</v>
      </c>
      <c r="M55">
        <f t="shared" ca="1" si="10"/>
        <v>75921</v>
      </c>
      <c r="N55">
        <f t="shared" ca="1" si="11"/>
        <v>8</v>
      </c>
      <c r="O55" t="str">
        <f t="shared" ca="1" si="12"/>
        <v>Ontario</v>
      </c>
      <c r="P55">
        <f t="shared" ca="1" si="23"/>
        <v>303684</v>
      </c>
      <c r="Q55">
        <f t="shared" ca="1" si="14"/>
        <v>250271.79073944662</v>
      </c>
      <c r="R55">
        <f t="shared" ca="1" si="0"/>
        <v>2512.8581928432131</v>
      </c>
      <c r="S55">
        <f t="shared" ca="1" si="15"/>
        <v>2362</v>
      </c>
      <c r="T55">
        <f t="shared" ca="1" si="24"/>
        <v>94119.400175492468</v>
      </c>
      <c r="U55">
        <f t="shared" ca="1" si="25"/>
        <v>104703.31784884076</v>
      </c>
      <c r="V55">
        <f t="shared" ca="1" si="26"/>
        <v>410900.176041684</v>
      </c>
      <c r="W55">
        <f t="shared" ca="1" si="27"/>
        <v>346753.1909149391</v>
      </c>
      <c r="Z55" s="4">
        <f t="shared" ca="1" si="20"/>
        <v>1</v>
      </c>
      <c r="AA55">
        <f t="shared" ca="1" si="21"/>
        <v>0</v>
      </c>
      <c r="AC55" s="5"/>
      <c r="AX55" s="10">
        <f ca="1">Table1[[#This Row],[Car Value]]/Table1[[#This Row],[No. of Vehicles]]</f>
        <v>2512.8581928432131</v>
      </c>
      <c r="AZ55">
        <f ca="1">IF(Table1[[#This Row],[Debts]]&gt;$BA$3,1,0)</f>
        <v>1</v>
      </c>
      <c r="BC55" s="12">
        <f ca="1">Table1[[#This Row],[Mortage left]]/Table1[[#This Row],[Value of The House]]</f>
        <v>0.82411911967521045</v>
      </c>
      <c r="BD55" s="4">
        <f t="shared" ca="1" si="22"/>
        <v>0</v>
      </c>
      <c r="BE55" s="5"/>
    </row>
    <row r="56" spans="4:57" x14ac:dyDescent="0.3">
      <c r="D56">
        <f t="shared" ca="1" si="1"/>
        <v>1</v>
      </c>
      <c r="E56" t="str">
        <f t="shared" ca="1" si="2"/>
        <v>Male</v>
      </c>
      <c r="F56">
        <f t="shared" ca="1" si="3"/>
        <v>27</v>
      </c>
      <c r="G56">
        <f t="shared" ca="1" si="4"/>
        <v>6</v>
      </c>
      <c r="H56" t="str">
        <f t="shared" ca="1" si="5"/>
        <v>General Work</v>
      </c>
      <c r="I56">
        <f t="shared" ca="1" si="6"/>
        <v>3</v>
      </c>
      <c r="J56" t="str">
        <f t="shared" ca="1" si="7"/>
        <v>University</v>
      </c>
      <c r="K56">
        <f t="shared" ca="1" si="8"/>
        <v>4</v>
      </c>
      <c r="L56">
        <f t="shared" ca="1" si="9"/>
        <v>1</v>
      </c>
      <c r="M56">
        <f t="shared" ca="1" si="10"/>
        <v>79295</v>
      </c>
      <c r="N56">
        <f t="shared" ca="1" si="11"/>
        <v>6</v>
      </c>
      <c r="O56" t="str">
        <f t="shared" ca="1" si="12"/>
        <v>Saskatchewan</v>
      </c>
      <c r="P56">
        <f t="shared" ca="1" si="23"/>
        <v>317180</v>
      </c>
      <c r="Q56">
        <f t="shared" ca="1" si="14"/>
        <v>28184.395477697653</v>
      </c>
      <c r="R56">
        <f t="shared" ca="1" si="0"/>
        <v>31088.465837147607</v>
      </c>
      <c r="S56">
        <f t="shared" ca="1" si="15"/>
        <v>8985</v>
      </c>
      <c r="T56">
        <f t="shared" ca="1" si="24"/>
        <v>79022.033000759897</v>
      </c>
      <c r="U56">
        <f t="shared" ca="1" si="25"/>
        <v>6003.446263709724</v>
      </c>
      <c r="V56">
        <f t="shared" ca="1" si="26"/>
        <v>354271.91210085736</v>
      </c>
      <c r="W56">
        <f t="shared" ca="1" si="27"/>
        <v>116191.42847845756</v>
      </c>
      <c r="Z56" s="4">
        <f t="shared" ca="1" si="20"/>
        <v>1</v>
      </c>
      <c r="AA56">
        <f t="shared" ca="1" si="21"/>
        <v>0</v>
      </c>
      <c r="AC56" s="5"/>
      <c r="AX56" s="10">
        <f ca="1">Table1[[#This Row],[Car Value]]/Table1[[#This Row],[No. of Vehicles]]</f>
        <v>31088.465837147607</v>
      </c>
      <c r="AZ56">
        <f ca="1">IF(Table1[[#This Row],[Debts]]&gt;$BA$3,1,0)</f>
        <v>1</v>
      </c>
      <c r="BC56" s="12">
        <f ca="1">Table1[[#This Row],[Mortage left]]/Table1[[#This Row],[Value of The House]]</f>
        <v>8.8859308524174452E-2</v>
      </c>
      <c r="BD56" s="4">
        <f t="shared" ca="1" si="22"/>
        <v>1</v>
      </c>
      <c r="BE56" s="5"/>
    </row>
    <row r="57" spans="4:57" x14ac:dyDescent="0.3">
      <c r="D57">
        <f t="shared" ca="1" si="1"/>
        <v>2</v>
      </c>
      <c r="E57" t="str">
        <f t="shared" ca="1" si="2"/>
        <v>Female</v>
      </c>
      <c r="F57">
        <f t="shared" ca="1" si="3"/>
        <v>27</v>
      </c>
      <c r="G57">
        <f t="shared" ca="1" si="4"/>
        <v>6</v>
      </c>
      <c r="H57" t="str">
        <f t="shared" ca="1" si="5"/>
        <v>General Work</v>
      </c>
      <c r="I57">
        <f t="shared" ca="1" si="6"/>
        <v>1</v>
      </c>
      <c r="J57" t="str">
        <f t="shared" ca="1" si="7"/>
        <v>High School</v>
      </c>
      <c r="K57">
        <f t="shared" ca="1" si="8"/>
        <v>2</v>
      </c>
      <c r="L57">
        <f t="shared" ca="1" si="9"/>
        <v>2</v>
      </c>
      <c r="M57">
        <f t="shared" ca="1" si="10"/>
        <v>47390</v>
      </c>
      <c r="N57">
        <f t="shared" ca="1" si="11"/>
        <v>9</v>
      </c>
      <c r="O57" t="str">
        <f t="shared" ca="1" si="12"/>
        <v>Quebec</v>
      </c>
      <c r="P57">
        <f t="shared" ca="1" si="23"/>
        <v>189560</v>
      </c>
      <c r="Q57">
        <f t="shared" ca="1" si="14"/>
        <v>141943.90241514923</v>
      </c>
      <c r="R57">
        <f t="shared" ca="1" si="0"/>
        <v>42272.561255971494</v>
      </c>
      <c r="S57">
        <f t="shared" ca="1" si="15"/>
        <v>5435</v>
      </c>
      <c r="T57">
        <f t="shared" ca="1" si="24"/>
        <v>15912.946060464885</v>
      </c>
      <c r="U57">
        <f t="shared" ca="1" si="25"/>
        <v>3966.3788885468971</v>
      </c>
      <c r="V57">
        <f t="shared" ca="1" si="26"/>
        <v>235798.94014451839</v>
      </c>
      <c r="W57">
        <f t="shared" ca="1" si="27"/>
        <v>163291.84847561413</v>
      </c>
      <c r="Z57" s="4">
        <f t="shared" ca="1" si="20"/>
        <v>0</v>
      </c>
      <c r="AA57">
        <f t="shared" ca="1" si="21"/>
        <v>1</v>
      </c>
      <c r="AC57" s="5"/>
      <c r="AX57" s="10">
        <f ca="1">Table1[[#This Row],[Car Value]]/Table1[[#This Row],[No. of Vehicles]]</f>
        <v>21136.280627985747</v>
      </c>
      <c r="AZ57">
        <f ca="1">IF(Table1[[#This Row],[Debts]]&gt;$BA$3,1,0)</f>
        <v>0</v>
      </c>
      <c r="BC57" s="12">
        <f ca="1">Table1[[#This Row],[Mortage left]]/Table1[[#This Row],[Value of The House]]</f>
        <v>0.74880725055470154</v>
      </c>
      <c r="BD57" s="4">
        <f t="shared" ca="1" si="22"/>
        <v>0</v>
      </c>
      <c r="BE57" s="5"/>
    </row>
    <row r="58" spans="4:57" x14ac:dyDescent="0.3">
      <c r="D58">
        <f t="shared" ca="1" si="1"/>
        <v>2</v>
      </c>
      <c r="E58" t="str">
        <f t="shared" ca="1" si="2"/>
        <v>Female</v>
      </c>
      <c r="F58">
        <f t="shared" ca="1" si="3"/>
        <v>38</v>
      </c>
      <c r="G58">
        <f t="shared" ca="1" si="4"/>
        <v>1</v>
      </c>
      <c r="H58" t="str">
        <f t="shared" ca="1" si="5"/>
        <v>Health</v>
      </c>
      <c r="I58">
        <f t="shared" ca="1" si="6"/>
        <v>4</v>
      </c>
      <c r="J58" t="str">
        <f t="shared" ca="1" si="7"/>
        <v>Technical</v>
      </c>
      <c r="K58">
        <f t="shared" ca="1" si="8"/>
        <v>4</v>
      </c>
      <c r="L58">
        <f t="shared" ca="1" si="9"/>
        <v>1</v>
      </c>
      <c r="M58">
        <f t="shared" ca="1" si="10"/>
        <v>88572</v>
      </c>
      <c r="N58">
        <f t="shared" ca="1" si="11"/>
        <v>7</v>
      </c>
      <c r="O58" t="str">
        <f t="shared" ca="1" si="12"/>
        <v>Manitoba</v>
      </c>
      <c r="P58">
        <f t="shared" ca="1" si="23"/>
        <v>442860</v>
      </c>
      <c r="Q58">
        <f t="shared" ca="1" si="14"/>
        <v>362860.86818147247</v>
      </c>
      <c r="R58">
        <f t="shared" ca="1" si="0"/>
        <v>76924.900475196118</v>
      </c>
      <c r="S58">
        <f t="shared" ca="1" si="15"/>
        <v>74301</v>
      </c>
      <c r="T58">
        <f t="shared" ca="1" si="24"/>
        <v>111624.57704219104</v>
      </c>
      <c r="U58">
        <f t="shared" ca="1" si="25"/>
        <v>87081.868745473766</v>
      </c>
      <c r="V58">
        <f t="shared" ca="1" si="26"/>
        <v>606866.76922066987</v>
      </c>
      <c r="W58">
        <f t="shared" ca="1" si="27"/>
        <v>548786.44522366347</v>
      </c>
      <c r="Z58" s="4">
        <f t="shared" ca="1" si="20"/>
        <v>0</v>
      </c>
      <c r="AA58">
        <f t="shared" ca="1" si="21"/>
        <v>1</v>
      </c>
      <c r="AC58" s="5"/>
      <c r="AX58" s="10">
        <f ca="1">Table1[[#This Row],[Car Value]]/Table1[[#This Row],[No. of Vehicles]]</f>
        <v>76924.900475196118</v>
      </c>
      <c r="AZ58">
        <f ca="1">IF(Table1[[#This Row],[Debts]]&gt;$BA$3,1,0)</f>
        <v>1</v>
      </c>
      <c r="BC58" s="12">
        <f ca="1">Table1[[#This Row],[Mortage left]]/Table1[[#This Row],[Value of The House]]</f>
        <v>0.81935796455194077</v>
      </c>
      <c r="BD58" s="4">
        <f t="shared" ca="1" si="22"/>
        <v>0</v>
      </c>
      <c r="BE58" s="5"/>
    </row>
    <row r="59" spans="4:57" x14ac:dyDescent="0.3">
      <c r="D59">
        <f t="shared" ca="1" si="1"/>
        <v>2</v>
      </c>
      <c r="E59" t="str">
        <f t="shared" ca="1" si="2"/>
        <v>Female</v>
      </c>
      <c r="F59">
        <f t="shared" ca="1" si="3"/>
        <v>31</v>
      </c>
      <c r="G59">
        <f t="shared" ca="1" si="4"/>
        <v>1</v>
      </c>
      <c r="H59" t="str">
        <f t="shared" ca="1" si="5"/>
        <v>Health</v>
      </c>
      <c r="I59">
        <f t="shared" ca="1" si="6"/>
        <v>5</v>
      </c>
      <c r="J59" t="str">
        <f t="shared" ca="1" si="7"/>
        <v>Other</v>
      </c>
      <c r="K59">
        <f t="shared" ca="1" si="8"/>
        <v>1</v>
      </c>
      <c r="L59">
        <f t="shared" ca="1" si="9"/>
        <v>2</v>
      </c>
      <c r="M59">
        <f t="shared" ca="1" si="10"/>
        <v>46622</v>
      </c>
      <c r="N59">
        <f t="shared" ca="1" si="11"/>
        <v>13</v>
      </c>
      <c r="O59" t="str">
        <f t="shared" ca="1" si="12"/>
        <v>Prince Edward Islnd</v>
      </c>
      <c r="P59">
        <f t="shared" ca="1" si="23"/>
        <v>186488</v>
      </c>
      <c r="Q59">
        <f t="shared" ca="1" si="14"/>
        <v>62709.351609185993</v>
      </c>
      <c r="R59">
        <f t="shared" ca="1" si="0"/>
        <v>6166.4433726931484</v>
      </c>
      <c r="S59">
        <f t="shared" ca="1" si="15"/>
        <v>1495</v>
      </c>
      <c r="T59">
        <f t="shared" ca="1" si="24"/>
        <v>71103.312821397165</v>
      </c>
      <c r="U59">
        <f t="shared" ca="1" si="25"/>
        <v>29696.676230694044</v>
      </c>
      <c r="V59">
        <f t="shared" ca="1" si="26"/>
        <v>222351.1196033872</v>
      </c>
      <c r="W59">
        <f t="shared" ca="1" si="27"/>
        <v>135307.66443058316</v>
      </c>
      <c r="Z59" s="4">
        <f t="shared" ca="1" si="20"/>
        <v>0</v>
      </c>
      <c r="AA59">
        <f t="shared" ca="1" si="21"/>
        <v>1</v>
      </c>
      <c r="AC59" s="5"/>
      <c r="AX59" s="10">
        <f ca="1">Table1[[#This Row],[Car Value]]/Table1[[#This Row],[No. of Vehicles]]</f>
        <v>3083.2216863465742</v>
      </c>
      <c r="AZ59">
        <f ca="1">IF(Table1[[#This Row],[Debts]]&gt;$BA$3,1,0)</f>
        <v>1</v>
      </c>
      <c r="BC59" s="12">
        <f ca="1">Table1[[#This Row],[Mortage left]]/Table1[[#This Row],[Value of The House]]</f>
        <v>0.33626480850878337</v>
      </c>
      <c r="BD59" s="4">
        <f t="shared" ca="1" si="22"/>
        <v>0</v>
      </c>
      <c r="BE59" s="5"/>
    </row>
    <row r="60" spans="4:57" x14ac:dyDescent="0.3">
      <c r="D60">
        <f t="shared" ca="1" si="1"/>
        <v>1</v>
      </c>
      <c r="E60" t="str">
        <f t="shared" ca="1" si="2"/>
        <v>Male</v>
      </c>
      <c r="F60">
        <f t="shared" ca="1" si="3"/>
        <v>31</v>
      </c>
      <c r="G60">
        <f t="shared" ca="1" si="4"/>
        <v>1</v>
      </c>
      <c r="H60" t="str">
        <f t="shared" ca="1" si="5"/>
        <v>Health</v>
      </c>
      <c r="I60">
        <f t="shared" ca="1" si="6"/>
        <v>3</v>
      </c>
      <c r="J60" t="str">
        <f t="shared" ca="1" si="7"/>
        <v>University</v>
      </c>
      <c r="K60">
        <f t="shared" ca="1" si="8"/>
        <v>2</v>
      </c>
      <c r="L60">
        <f t="shared" ca="1" si="9"/>
        <v>1</v>
      </c>
      <c r="M60">
        <f t="shared" ca="1" si="10"/>
        <v>46675</v>
      </c>
      <c r="N60">
        <f t="shared" ca="1" si="11"/>
        <v>3</v>
      </c>
      <c r="O60" t="str">
        <f t="shared" ca="1" si="12"/>
        <v>Northwest Ter</v>
      </c>
      <c r="P60">
        <f t="shared" ca="1" si="23"/>
        <v>280050</v>
      </c>
      <c r="Q60">
        <f t="shared" ca="1" si="14"/>
        <v>239288.50967566416</v>
      </c>
      <c r="R60">
        <f t="shared" ca="1" si="0"/>
        <v>38359.558608537918</v>
      </c>
      <c r="S60">
        <f t="shared" ca="1" si="15"/>
        <v>25256</v>
      </c>
      <c r="T60">
        <f t="shared" ca="1" si="24"/>
        <v>39826.619159413531</v>
      </c>
      <c r="U60">
        <f t="shared" ca="1" si="25"/>
        <v>3495.4224413836691</v>
      </c>
      <c r="V60">
        <f t="shared" ca="1" si="26"/>
        <v>321904.98104992154</v>
      </c>
      <c r="W60">
        <f t="shared" ca="1" si="27"/>
        <v>304371.12883507763</v>
      </c>
      <c r="Z60" s="4">
        <f t="shared" ca="1" si="20"/>
        <v>1</v>
      </c>
      <c r="AA60">
        <f t="shared" ca="1" si="21"/>
        <v>0</v>
      </c>
      <c r="AC60" s="5"/>
      <c r="AX60" s="10">
        <f ca="1">Table1[[#This Row],[Car Value]]/Table1[[#This Row],[No. of Vehicles]]</f>
        <v>38359.558608537918</v>
      </c>
      <c r="AZ60">
        <f ca="1">IF(Table1[[#This Row],[Debts]]&gt;$BA$3,1,0)</f>
        <v>1</v>
      </c>
      <c r="BC60" s="12">
        <f ca="1">Table1[[#This Row],[Mortage left]]/Table1[[#This Row],[Value of The House]]</f>
        <v>0.85444924004879186</v>
      </c>
      <c r="BD60" s="4">
        <f t="shared" ca="1" si="22"/>
        <v>0</v>
      </c>
      <c r="BE60" s="5"/>
    </row>
    <row r="61" spans="4:57" x14ac:dyDescent="0.3">
      <c r="D61">
        <f t="shared" ca="1" si="1"/>
        <v>1</v>
      </c>
      <c r="E61" t="str">
        <f t="shared" ca="1" si="2"/>
        <v>Male</v>
      </c>
      <c r="F61">
        <f t="shared" ca="1" si="3"/>
        <v>42</v>
      </c>
      <c r="G61">
        <f t="shared" ca="1" si="4"/>
        <v>5</v>
      </c>
      <c r="H61" t="str">
        <f t="shared" ca="1" si="5"/>
        <v>Agriculture</v>
      </c>
      <c r="I61">
        <f t="shared" ca="1" si="6"/>
        <v>5</v>
      </c>
      <c r="J61" t="str">
        <f t="shared" ca="1" si="7"/>
        <v>Other</v>
      </c>
      <c r="K61">
        <f t="shared" ca="1" si="8"/>
        <v>3</v>
      </c>
      <c r="L61">
        <f t="shared" ca="1" si="9"/>
        <v>1</v>
      </c>
      <c r="M61">
        <f t="shared" ca="1" si="10"/>
        <v>25399</v>
      </c>
      <c r="N61">
        <f t="shared" ca="1" si="11"/>
        <v>12</v>
      </c>
      <c r="O61" t="str">
        <f t="shared" ca="1" si="12"/>
        <v>Nova scotia</v>
      </c>
      <c r="P61">
        <f t="shared" ca="1" si="23"/>
        <v>101596</v>
      </c>
      <c r="Q61">
        <f t="shared" ca="1" si="14"/>
        <v>93284.080871681974</v>
      </c>
      <c r="R61">
        <f t="shared" ca="1" si="0"/>
        <v>18620.26367113959</v>
      </c>
      <c r="S61">
        <f t="shared" ca="1" si="15"/>
        <v>14640</v>
      </c>
      <c r="T61">
        <f t="shared" ca="1" si="24"/>
        <v>37823.863223249456</v>
      </c>
      <c r="U61">
        <f t="shared" ca="1" si="25"/>
        <v>5384.237594337681</v>
      </c>
      <c r="V61">
        <f t="shared" ca="1" si="26"/>
        <v>125600.50126547727</v>
      </c>
      <c r="W61">
        <f t="shared" ca="1" si="27"/>
        <v>145747.94409493142</v>
      </c>
      <c r="Z61" s="4">
        <f t="shared" ca="1" si="20"/>
        <v>1</v>
      </c>
      <c r="AA61">
        <f t="shared" ca="1" si="21"/>
        <v>0</v>
      </c>
      <c r="AC61" s="5"/>
      <c r="AX61" s="10">
        <f ca="1">Table1[[#This Row],[Car Value]]/Table1[[#This Row],[No. of Vehicles]]</f>
        <v>18620.26367113959</v>
      </c>
      <c r="AZ61">
        <f ca="1">IF(Table1[[#This Row],[Debts]]&gt;$BA$3,1,0)</f>
        <v>1</v>
      </c>
      <c r="BC61" s="12">
        <f ca="1">Table1[[#This Row],[Mortage left]]/Table1[[#This Row],[Value of The House]]</f>
        <v>0.91818655135715943</v>
      </c>
      <c r="BD61" s="4">
        <f t="shared" ca="1" si="22"/>
        <v>0</v>
      </c>
      <c r="BE61" s="5"/>
    </row>
    <row r="62" spans="4:57" x14ac:dyDescent="0.3">
      <c r="D62">
        <f t="shared" ca="1" si="1"/>
        <v>2</v>
      </c>
      <c r="E62" t="str">
        <f t="shared" ca="1" si="2"/>
        <v>Female</v>
      </c>
      <c r="F62">
        <f t="shared" ca="1" si="3"/>
        <v>42</v>
      </c>
      <c r="G62">
        <f t="shared" ca="1" si="4"/>
        <v>6</v>
      </c>
      <c r="H62" t="str">
        <f t="shared" ca="1" si="5"/>
        <v>General Work</v>
      </c>
      <c r="I62">
        <f t="shared" ca="1" si="6"/>
        <v>1</v>
      </c>
      <c r="J62" t="str">
        <f t="shared" ca="1" si="7"/>
        <v>High School</v>
      </c>
      <c r="K62">
        <f t="shared" ca="1" si="8"/>
        <v>1</v>
      </c>
      <c r="L62">
        <f t="shared" ca="1" si="9"/>
        <v>1</v>
      </c>
      <c r="M62">
        <f t="shared" ca="1" si="10"/>
        <v>70028</v>
      </c>
      <c r="N62">
        <f t="shared" ca="1" si="11"/>
        <v>5</v>
      </c>
      <c r="O62" t="str">
        <f t="shared" ca="1" si="12"/>
        <v>Nunavut</v>
      </c>
      <c r="P62">
        <f t="shared" ca="1" si="23"/>
        <v>420168</v>
      </c>
      <c r="Q62">
        <f t="shared" ca="1" si="14"/>
        <v>166556.09161256006</v>
      </c>
      <c r="R62">
        <f t="shared" ca="1" si="0"/>
        <v>64671.372004699719</v>
      </c>
      <c r="S62">
        <f t="shared" ca="1" si="15"/>
        <v>13282</v>
      </c>
      <c r="T62">
        <f t="shared" ca="1" si="24"/>
        <v>84148.821965643307</v>
      </c>
      <c r="U62">
        <f t="shared" ca="1" si="25"/>
        <v>7783.8253544461604</v>
      </c>
      <c r="V62">
        <f t="shared" ca="1" si="26"/>
        <v>492623.19735914585</v>
      </c>
      <c r="W62">
        <f t="shared" ca="1" si="27"/>
        <v>263986.91357820336</v>
      </c>
      <c r="Z62" s="4">
        <f t="shared" ca="1" si="20"/>
        <v>0</v>
      </c>
      <c r="AA62">
        <f t="shared" ca="1" si="21"/>
        <v>1</v>
      </c>
      <c r="AC62" s="5"/>
      <c r="AX62" s="10">
        <f ca="1">Table1[[#This Row],[Car Value]]/Table1[[#This Row],[No. of Vehicles]]</f>
        <v>64671.372004699719</v>
      </c>
      <c r="AZ62">
        <f ca="1">IF(Table1[[#This Row],[Debts]]&gt;$BA$3,1,0)</f>
        <v>1</v>
      </c>
      <c r="BC62" s="12">
        <f ca="1">Table1[[#This Row],[Mortage left]]/Table1[[#This Row],[Value of The House]]</f>
        <v>0.39640356146246281</v>
      </c>
      <c r="BD62" s="4">
        <f t="shared" ca="1" si="22"/>
        <v>0</v>
      </c>
      <c r="BE62" s="5"/>
    </row>
    <row r="63" spans="4:57" x14ac:dyDescent="0.3">
      <c r="D63">
        <f t="shared" ca="1" si="1"/>
        <v>1</v>
      </c>
      <c r="E63" t="str">
        <f t="shared" ca="1" si="2"/>
        <v>Male</v>
      </c>
      <c r="F63">
        <f t="shared" ca="1" si="3"/>
        <v>30</v>
      </c>
      <c r="G63">
        <f t="shared" ca="1" si="4"/>
        <v>4</v>
      </c>
      <c r="H63" t="str">
        <f t="shared" ca="1" si="5"/>
        <v>IT</v>
      </c>
      <c r="I63">
        <f t="shared" ca="1" si="6"/>
        <v>4</v>
      </c>
      <c r="J63" t="str">
        <f t="shared" ca="1" si="7"/>
        <v>Technical</v>
      </c>
      <c r="K63">
        <f t="shared" ca="1" si="8"/>
        <v>1</v>
      </c>
      <c r="L63">
        <f t="shared" ca="1" si="9"/>
        <v>2</v>
      </c>
      <c r="M63">
        <f t="shared" ca="1" si="10"/>
        <v>53647</v>
      </c>
      <c r="N63">
        <f t="shared" ca="1" si="11"/>
        <v>13</v>
      </c>
      <c r="O63" t="str">
        <f t="shared" ca="1" si="12"/>
        <v>Prince Edward Islnd</v>
      </c>
      <c r="P63">
        <f t="shared" ca="1" si="23"/>
        <v>268235</v>
      </c>
      <c r="Q63">
        <f t="shared" ca="1" si="14"/>
        <v>100736.53606670478</v>
      </c>
      <c r="R63">
        <f t="shared" ca="1" si="0"/>
        <v>91368.298498098869</v>
      </c>
      <c r="S63">
        <f t="shared" ca="1" si="15"/>
        <v>78933</v>
      </c>
      <c r="T63">
        <f t="shared" ca="1" si="24"/>
        <v>1250.7023713509511</v>
      </c>
      <c r="U63">
        <f t="shared" ca="1" si="25"/>
        <v>3980.9052503294706</v>
      </c>
      <c r="V63">
        <f t="shared" ca="1" si="26"/>
        <v>363584.20374842832</v>
      </c>
      <c r="W63">
        <f t="shared" ca="1" si="27"/>
        <v>180920.23843805573</v>
      </c>
      <c r="Z63" s="4">
        <f t="shared" ca="1" si="20"/>
        <v>1</v>
      </c>
      <c r="AA63">
        <f t="shared" ca="1" si="21"/>
        <v>0</v>
      </c>
      <c r="AC63" s="5"/>
      <c r="AX63" s="10">
        <f ca="1">Table1[[#This Row],[Car Value]]/Table1[[#This Row],[No. of Vehicles]]</f>
        <v>45684.149249049435</v>
      </c>
      <c r="AZ63">
        <f ca="1">IF(Table1[[#This Row],[Debts]]&gt;$BA$3,1,0)</f>
        <v>0</v>
      </c>
      <c r="BC63" s="12">
        <f ca="1">Table1[[#This Row],[Mortage left]]/Table1[[#This Row],[Value of The House]]</f>
        <v>0.37555328747816197</v>
      </c>
      <c r="BD63" s="4">
        <f t="shared" ca="1" si="22"/>
        <v>0</v>
      </c>
      <c r="BE63" s="5"/>
    </row>
    <row r="64" spans="4:57" x14ac:dyDescent="0.3">
      <c r="D64">
        <f t="shared" ca="1" si="1"/>
        <v>2</v>
      </c>
      <c r="E64" t="str">
        <f t="shared" ca="1" si="2"/>
        <v>Female</v>
      </c>
      <c r="F64">
        <f t="shared" ca="1" si="3"/>
        <v>29</v>
      </c>
      <c r="G64">
        <f t="shared" ca="1" si="4"/>
        <v>3</v>
      </c>
      <c r="H64" t="str">
        <f t="shared" ca="1" si="5"/>
        <v>Teaching</v>
      </c>
      <c r="I64">
        <f t="shared" ca="1" si="6"/>
        <v>3</v>
      </c>
      <c r="J64" t="str">
        <f t="shared" ca="1" si="7"/>
        <v>University</v>
      </c>
      <c r="K64">
        <f t="shared" ca="1" si="8"/>
        <v>2</v>
      </c>
      <c r="L64">
        <f t="shared" ca="1" si="9"/>
        <v>2</v>
      </c>
      <c r="M64">
        <f t="shared" ca="1" si="10"/>
        <v>44578</v>
      </c>
      <c r="N64">
        <f t="shared" ca="1" si="11"/>
        <v>10</v>
      </c>
      <c r="O64" t="str">
        <f t="shared" ca="1" si="12"/>
        <v>Newfouland</v>
      </c>
      <c r="P64">
        <f t="shared" ca="1" si="23"/>
        <v>222890</v>
      </c>
      <c r="Q64">
        <f t="shared" ca="1" si="14"/>
        <v>81374.847093515142</v>
      </c>
      <c r="R64">
        <f t="shared" ca="1" si="0"/>
        <v>6470.0917539073462</v>
      </c>
      <c r="S64">
        <f t="shared" ca="1" si="15"/>
        <v>3966</v>
      </c>
      <c r="T64">
        <f t="shared" ca="1" si="24"/>
        <v>59446.945914980068</v>
      </c>
      <c r="U64">
        <f t="shared" ca="1" si="25"/>
        <v>22093.393944627187</v>
      </c>
      <c r="V64">
        <f t="shared" ca="1" si="26"/>
        <v>251453.48569853455</v>
      </c>
      <c r="W64">
        <f t="shared" ca="1" si="27"/>
        <v>144787.79300849521</v>
      </c>
      <c r="Z64" s="4">
        <f t="shared" ca="1" si="20"/>
        <v>0</v>
      </c>
      <c r="AA64">
        <f t="shared" ca="1" si="21"/>
        <v>1</v>
      </c>
      <c r="AC64" s="5"/>
      <c r="AX64" s="10">
        <f ca="1">Table1[[#This Row],[Car Value]]/Table1[[#This Row],[No. of Vehicles]]</f>
        <v>3235.0458769536731</v>
      </c>
      <c r="AZ64">
        <f ca="1">IF(Table1[[#This Row],[Debts]]&gt;$BA$3,1,0)</f>
        <v>1</v>
      </c>
      <c r="BC64" s="12">
        <f ca="1">Table1[[#This Row],[Mortage left]]/Table1[[#This Row],[Value of The House]]</f>
        <v>0.36508971732027073</v>
      </c>
      <c r="BD64" s="4">
        <f t="shared" ca="1" si="22"/>
        <v>0</v>
      </c>
      <c r="BE64" s="5"/>
    </row>
    <row r="65" spans="4:57" x14ac:dyDescent="0.3">
      <c r="D65">
        <f t="shared" ca="1" si="1"/>
        <v>1</v>
      </c>
      <c r="E65" t="str">
        <f t="shared" ca="1" si="2"/>
        <v>Male</v>
      </c>
      <c r="F65">
        <f t="shared" ca="1" si="3"/>
        <v>30</v>
      </c>
      <c r="G65">
        <f t="shared" ca="1" si="4"/>
        <v>4</v>
      </c>
      <c r="H65" t="str">
        <f t="shared" ca="1" si="5"/>
        <v>IT</v>
      </c>
      <c r="I65">
        <f t="shared" ca="1" si="6"/>
        <v>1</v>
      </c>
      <c r="J65" t="str">
        <f t="shared" ca="1" si="7"/>
        <v>High School</v>
      </c>
      <c r="K65">
        <f t="shared" ca="1" si="8"/>
        <v>1</v>
      </c>
      <c r="L65">
        <f t="shared" ca="1" si="9"/>
        <v>2</v>
      </c>
      <c r="M65">
        <f t="shared" ca="1" si="10"/>
        <v>73543</v>
      </c>
      <c r="N65">
        <f t="shared" ca="1" si="11"/>
        <v>2</v>
      </c>
      <c r="O65" t="str">
        <f t="shared" ca="1" si="12"/>
        <v>BC</v>
      </c>
      <c r="P65">
        <f t="shared" ca="1" si="23"/>
        <v>367715</v>
      </c>
      <c r="Q65">
        <f t="shared" ca="1" si="14"/>
        <v>215431.6228677411</v>
      </c>
      <c r="R65">
        <f t="shared" ca="1" si="0"/>
        <v>61811.512998359212</v>
      </c>
      <c r="S65">
        <f t="shared" ca="1" si="15"/>
        <v>49067</v>
      </c>
      <c r="T65">
        <f t="shared" ca="1" si="24"/>
        <v>141826.27255224012</v>
      </c>
      <c r="U65">
        <f t="shared" ca="1" si="25"/>
        <v>52683.175700847176</v>
      </c>
      <c r="V65">
        <f t="shared" ca="1" si="26"/>
        <v>482209.6886992064</v>
      </c>
      <c r="W65">
        <f t="shared" ca="1" si="27"/>
        <v>406324.89541998121</v>
      </c>
      <c r="Z65" s="4">
        <f t="shared" ca="1" si="20"/>
        <v>1</v>
      </c>
      <c r="AA65">
        <f t="shared" ca="1" si="21"/>
        <v>0</v>
      </c>
      <c r="AC65" s="5"/>
      <c r="AX65" s="10">
        <f ca="1">Table1[[#This Row],[Car Value]]/Table1[[#This Row],[No. of Vehicles]]</f>
        <v>30905.756499179606</v>
      </c>
      <c r="AZ65">
        <f ca="1">IF(Table1[[#This Row],[Debts]]&gt;$BA$3,1,0)</f>
        <v>1</v>
      </c>
      <c r="BC65" s="12">
        <f ca="1">Table1[[#This Row],[Mortage left]]/Table1[[#This Row],[Value of The House]]</f>
        <v>0.58586574621035614</v>
      </c>
      <c r="BD65" s="4">
        <f t="shared" ca="1" si="22"/>
        <v>0</v>
      </c>
      <c r="BE65" s="5"/>
    </row>
    <row r="66" spans="4:57" x14ac:dyDescent="0.3">
      <c r="D66">
        <f t="shared" ca="1" si="1"/>
        <v>1</v>
      </c>
      <c r="E66" t="str">
        <f t="shared" ca="1" si="2"/>
        <v>Male</v>
      </c>
      <c r="F66">
        <f t="shared" ca="1" si="3"/>
        <v>33</v>
      </c>
      <c r="G66">
        <f t="shared" ca="1" si="4"/>
        <v>2</v>
      </c>
      <c r="H66" t="str">
        <f t="shared" ca="1" si="5"/>
        <v>Construction</v>
      </c>
      <c r="I66">
        <f t="shared" ca="1" si="6"/>
        <v>2</v>
      </c>
      <c r="J66" t="str">
        <f t="shared" ca="1" si="7"/>
        <v>College</v>
      </c>
      <c r="K66">
        <f t="shared" ca="1" si="8"/>
        <v>3</v>
      </c>
      <c r="L66">
        <f t="shared" ca="1" si="9"/>
        <v>1</v>
      </c>
      <c r="M66">
        <f t="shared" ca="1" si="10"/>
        <v>40603</v>
      </c>
      <c r="N66">
        <f t="shared" ca="1" si="11"/>
        <v>3</v>
      </c>
      <c r="O66" t="str">
        <f t="shared" ca="1" si="12"/>
        <v>Northwest Ter</v>
      </c>
      <c r="P66">
        <f t="shared" ca="1" si="23"/>
        <v>243618</v>
      </c>
      <c r="Q66">
        <f t="shared" ca="1" si="14"/>
        <v>95505.912613927576</v>
      </c>
      <c r="R66">
        <f t="shared" ca="1" si="0"/>
        <v>4220.2836354233441</v>
      </c>
      <c r="S66">
        <f t="shared" ca="1" si="15"/>
        <v>3697</v>
      </c>
      <c r="T66">
        <f t="shared" ca="1" si="24"/>
        <v>30130.685110797775</v>
      </c>
      <c r="U66">
        <f t="shared" ca="1" si="25"/>
        <v>8495.4611374883534</v>
      </c>
      <c r="V66">
        <f t="shared" ca="1" si="26"/>
        <v>256333.74477291171</v>
      </c>
      <c r="W66">
        <f t="shared" ca="1" si="27"/>
        <v>129333.59772472535</v>
      </c>
      <c r="Z66" s="4">
        <f t="shared" ca="1" si="20"/>
        <v>1</v>
      </c>
      <c r="AA66">
        <f t="shared" ca="1" si="21"/>
        <v>0</v>
      </c>
      <c r="AC66" s="5"/>
      <c r="AX66" s="10">
        <f ca="1">Table1[[#This Row],[Car Value]]/Table1[[#This Row],[No. of Vehicles]]</f>
        <v>4220.2836354233441</v>
      </c>
      <c r="AZ66">
        <f ca="1">IF(Table1[[#This Row],[Debts]]&gt;$BA$3,1,0)</f>
        <v>1</v>
      </c>
      <c r="BC66" s="12">
        <f ca="1">Table1[[#This Row],[Mortage left]]/Table1[[#This Row],[Value of The House]]</f>
        <v>0.39203142876933383</v>
      </c>
      <c r="BD66" s="4">
        <f t="shared" ca="1" si="22"/>
        <v>0</v>
      </c>
      <c r="BE66" s="5"/>
    </row>
    <row r="67" spans="4:57" x14ac:dyDescent="0.3">
      <c r="D67">
        <f t="shared" ca="1" si="1"/>
        <v>2</v>
      </c>
      <c r="E67" t="str">
        <f t="shared" ca="1" si="2"/>
        <v>Female</v>
      </c>
      <c r="F67">
        <f t="shared" ca="1" si="3"/>
        <v>25</v>
      </c>
      <c r="G67">
        <f t="shared" ca="1" si="4"/>
        <v>1</v>
      </c>
      <c r="H67" t="str">
        <f t="shared" ca="1" si="5"/>
        <v>Health</v>
      </c>
      <c r="I67">
        <f t="shared" ca="1" si="6"/>
        <v>3</v>
      </c>
      <c r="J67" t="str">
        <f t="shared" ca="1" si="7"/>
        <v>University</v>
      </c>
      <c r="K67">
        <f t="shared" ca="1" si="8"/>
        <v>2</v>
      </c>
      <c r="L67">
        <f t="shared" ca="1" si="9"/>
        <v>1</v>
      </c>
      <c r="M67">
        <f t="shared" ca="1" si="10"/>
        <v>46775</v>
      </c>
      <c r="N67">
        <f t="shared" ca="1" si="11"/>
        <v>1</v>
      </c>
      <c r="O67" t="str">
        <f t="shared" ca="1" si="12"/>
        <v>Yukon</v>
      </c>
      <c r="P67">
        <f t="shared" ca="1" si="23"/>
        <v>233875</v>
      </c>
      <c r="Q67">
        <f t="shared" ca="1" si="14"/>
        <v>214879.03031750536</v>
      </c>
      <c r="R67">
        <f t="shared" ref="R67:R130" ca="1" si="28">L67*RAND()*M67</f>
        <v>29130.642889095881</v>
      </c>
      <c r="S67">
        <f t="shared" ca="1" si="15"/>
        <v>5666</v>
      </c>
      <c r="T67">
        <f t="shared" ca="1" si="24"/>
        <v>46263.592246142194</v>
      </c>
      <c r="U67">
        <f t="shared" ca="1" si="25"/>
        <v>24074.772862153339</v>
      </c>
      <c r="V67">
        <f t="shared" ca="1" si="26"/>
        <v>287080.41575124924</v>
      </c>
      <c r="W67">
        <f t="shared" ca="1" si="27"/>
        <v>266808.62256364757</v>
      </c>
      <c r="Z67" s="4">
        <f t="shared" ca="1" si="20"/>
        <v>0</v>
      </c>
      <c r="AA67">
        <f t="shared" ca="1" si="21"/>
        <v>1</v>
      </c>
      <c r="AC67" s="5"/>
      <c r="AX67" s="10">
        <f ca="1">Table1[[#This Row],[Car Value]]/Table1[[#This Row],[No. of Vehicles]]</f>
        <v>29130.642889095881</v>
      </c>
      <c r="AZ67">
        <f ca="1">IF(Table1[[#This Row],[Debts]]&gt;$BA$3,1,0)</f>
        <v>1</v>
      </c>
      <c r="BC67" s="12">
        <f ca="1">Table1[[#This Row],[Mortage left]]/Table1[[#This Row],[Value of The House]]</f>
        <v>0.91877725416357181</v>
      </c>
      <c r="BD67" s="4">
        <f t="shared" ca="1" si="22"/>
        <v>0</v>
      </c>
      <c r="BE67" s="5"/>
    </row>
    <row r="68" spans="4:57" x14ac:dyDescent="0.3">
      <c r="D68">
        <f t="shared" ref="D68:D131" ca="1" si="29">RANDBETWEEN(1,2)</f>
        <v>1</v>
      </c>
      <c r="E68" t="str">
        <f t="shared" ref="E68:E131" ca="1" si="30">IF(D68=1,"Male","Female")</f>
        <v>Male</v>
      </c>
      <c r="F68">
        <f t="shared" ref="F68:F131" ca="1" si="31">RANDBETWEEN(25,45)</f>
        <v>40</v>
      </c>
      <c r="G68">
        <f t="shared" ref="G68:G131" ca="1" si="32">RANDBETWEEN(1,6)</f>
        <v>5</v>
      </c>
      <c r="H68" t="str">
        <f t="shared" ref="H68:H131" ca="1" si="33">VLOOKUP(G68,$AI$3:$AJ$8,2)</f>
        <v>Agriculture</v>
      </c>
      <c r="I68">
        <f t="shared" ref="I68:I131" ca="1" si="34">RANDBETWEEN(1,5)</f>
        <v>3</v>
      </c>
      <c r="J68" t="str">
        <f t="shared" ref="J68:J131" ca="1" si="35">+VLOOKUP(I68,$AK$3:$AL$7,2)</f>
        <v>University</v>
      </c>
      <c r="K68">
        <f t="shared" ref="K68:K131" ca="1" si="36">RANDBETWEEN(0,4)</f>
        <v>3</v>
      </c>
      <c r="L68">
        <f t="shared" ref="L68:L131" ca="1" si="37">RANDBETWEEN(1,2)</f>
        <v>2</v>
      </c>
      <c r="M68">
        <f t="shared" ref="M68:M131" ca="1" si="38">RANDBETWEEN(25000,90000)</f>
        <v>26065</v>
      </c>
      <c r="N68">
        <f t="shared" ref="N68:N131" ca="1" si="39">RANDBETWEEN(1,13)</f>
        <v>5</v>
      </c>
      <c r="O68" t="str">
        <f t="shared" ref="O68:O131" ca="1" si="40">VLOOKUP(N68,$AN$3:$AP$15,2)</f>
        <v>Nunavut</v>
      </c>
      <c r="P68">
        <f t="shared" ca="1" si="23"/>
        <v>156390</v>
      </c>
      <c r="Q68">
        <f t="shared" ref="Q68:Q131" ca="1" si="41">RAND()*P68</f>
        <v>103118.08271471808</v>
      </c>
      <c r="R68">
        <f t="shared" ca="1" si="28"/>
        <v>21691.898008012806</v>
      </c>
      <c r="S68">
        <f t="shared" ref="S68:S131" ca="1" si="42">RANDBETWEEN(0,R68)</f>
        <v>21567</v>
      </c>
      <c r="T68">
        <f t="shared" ca="1" si="24"/>
        <v>1525.3269381344833</v>
      </c>
      <c r="U68">
        <f t="shared" ca="1" si="25"/>
        <v>3679.564792740508</v>
      </c>
      <c r="V68">
        <f t="shared" ca="1" si="26"/>
        <v>181761.4628007533</v>
      </c>
      <c r="W68">
        <f t="shared" ca="1" si="27"/>
        <v>126210.40965285257</v>
      </c>
      <c r="Z68" s="4">
        <f t="shared" ref="Z68:Z131" ca="1" si="43">IF(E68="male",1,0)</f>
        <v>1</v>
      </c>
      <c r="AA68">
        <f t="shared" ref="AA68:AA131" ca="1" si="44">IF(E68="male",0,1)</f>
        <v>0</v>
      </c>
      <c r="AC68" s="5"/>
      <c r="AX68" s="10">
        <f ca="1">Table1[[#This Row],[Car Value]]/Table1[[#This Row],[No. of Vehicles]]</f>
        <v>10845.949004006403</v>
      </c>
      <c r="AZ68">
        <f ca="1">IF(Table1[[#This Row],[Debts]]&gt;$BA$3,1,0)</f>
        <v>0</v>
      </c>
      <c r="BC68" s="12">
        <f ca="1">Table1[[#This Row],[Mortage left]]/Table1[[#This Row],[Value of The House]]</f>
        <v>0.6593649383893988</v>
      </c>
      <c r="BD68" s="4">
        <f t="shared" ref="BD68:BD131" ca="1" si="45">IF(BC68&lt;$BE$2,1,0)</f>
        <v>0</v>
      </c>
      <c r="BE68" s="5"/>
    </row>
    <row r="69" spans="4:57" x14ac:dyDescent="0.3">
      <c r="D69">
        <f t="shared" ca="1" si="29"/>
        <v>1</v>
      </c>
      <c r="E69" t="str">
        <f t="shared" ca="1" si="30"/>
        <v>Male</v>
      </c>
      <c r="F69">
        <f t="shared" ca="1" si="31"/>
        <v>32</v>
      </c>
      <c r="G69">
        <f t="shared" ca="1" si="32"/>
        <v>6</v>
      </c>
      <c r="H69" t="str">
        <f t="shared" ca="1" si="33"/>
        <v>General Work</v>
      </c>
      <c r="I69">
        <f t="shared" ca="1" si="34"/>
        <v>5</v>
      </c>
      <c r="J69" t="str">
        <f t="shared" ca="1" si="35"/>
        <v>Other</v>
      </c>
      <c r="K69">
        <f t="shared" ca="1" si="36"/>
        <v>1</v>
      </c>
      <c r="L69">
        <f t="shared" ca="1" si="37"/>
        <v>1</v>
      </c>
      <c r="M69">
        <f t="shared" ca="1" si="38"/>
        <v>42656</v>
      </c>
      <c r="N69">
        <f t="shared" ca="1" si="39"/>
        <v>3</v>
      </c>
      <c r="O69" t="str">
        <f t="shared" ca="1" si="40"/>
        <v>Northwest Ter</v>
      </c>
      <c r="P69">
        <f t="shared" ca="1" si="23"/>
        <v>213280</v>
      </c>
      <c r="Q69">
        <f t="shared" ca="1" si="41"/>
        <v>47793.386228930976</v>
      </c>
      <c r="R69">
        <f t="shared" ca="1" si="28"/>
        <v>41166.237805970355</v>
      </c>
      <c r="S69">
        <f t="shared" ca="1" si="42"/>
        <v>16562</v>
      </c>
      <c r="T69">
        <f t="shared" ca="1" si="24"/>
        <v>51853.995678650957</v>
      </c>
      <c r="U69">
        <f t="shared" ca="1" si="25"/>
        <v>42154.290339276515</v>
      </c>
      <c r="V69">
        <f t="shared" ca="1" si="26"/>
        <v>296600.52814524691</v>
      </c>
      <c r="W69">
        <f t="shared" ca="1" si="27"/>
        <v>116209.38190758193</v>
      </c>
      <c r="Z69" s="4">
        <f t="shared" ca="1" si="43"/>
        <v>1</v>
      </c>
      <c r="AA69">
        <f t="shared" ca="1" si="44"/>
        <v>0</v>
      </c>
      <c r="AC69" s="5"/>
      <c r="AX69" s="10">
        <f ca="1">Table1[[#This Row],[Car Value]]/Table1[[#This Row],[No. of Vehicles]]</f>
        <v>41166.237805970355</v>
      </c>
      <c r="AZ69">
        <f ca="1">IF(Table1[[#This Row],[Debts]]&gt;$BA$3,1,0)</f>
        <v>1</v>
      </c>
      <c r="BC69" s="12">
        <f ca="1">Table1[[#This Row],[Mortage left]]/Table1[[#This Row],[Value of The House]]</f>
        <v>0.22408751982807096</v>
      </c>
      <c r="BD69" s="4">
        <f t="shared" ca="1" si="45"/>
        <v>0</v>
      </c>
      <c r="BE69" s="5"/>
    </row>
    <row r="70" spans="4:57" x14ac:dyDescent="0.3">
      <c r="D70">
        <f t="shared" ca="1" si="29"/>
        <v>2</v>
      </c>
      <c r="E70" t="str">
        <f t="shared" ca="1" si="30"/>
        <v>Female</v>
      </c>
      <c r="F70">
        <f t="shared" ca="1" si="31"/>
        <v>26</v>
      </c>
      <c r="G70">
        <f t="shared" ca="1" si="32"/>
        <v>1</v>
      </c>
      <c r="H70" t="str">
        <f t="shared" ca="1" si="33"/>
        <v>Health</v>
      </c>
      <c r="I70">
        <f t="shared" ca="1" si="34"/>
        <v>5</v>
      </c>
      <c r="J70" t="str">
        <f t="shared" ca="1" si="35"/>
        <v>Other</v>
      </c>
      <c r="K70">
        <f t="shared" ca="1" si="36"/>
        <v>2</v>
      </c>
      <c r="L70">
        <f t="shared" ca="1" si="37"/>
        <v>1</v>
      </c>
      <c r="M70">
        <f t="shared" ca="1" si="38"/>
        <v>44864</v>
      </c>
      <c r="N70">
        <f t="shared" ca="1" si="39"/>
        <v>6</v>
      </c>
      <c r="O70" t="str">
        <f t="shared" ca="1" si="40"/>
        <v>Saskatchewan</v>
      </c>
      <c r="P70">
        <f t="shared" ca="1" si="23"/>
        <v>179456</v>
      </c>
      <c r="Q70">
        <f t="shared" ca="1" si="41"/>
        <v>84081.78744410201</v>
      </c>
      <c r="R70">
        <f t="shared" ca="1" si="28"/>
        <v>41718.50489199852</v>
      </c>
      <c r="S70">
        <f t="shared" ca="1" si="42"/>
        <v>17396</v>
      </c>
      <c r="T70">
        <f t="shared" ca="1" si="24"/>
        <v>84629.177660204397</v>
      </c>
      <c r="U70">
        <f t="shared" ca="1" si="25"/>
        <v>39869.753058914059</v>
      </c>
      <c r="V70">
        <f t="shared" ca="1" si="26"/>
        <v>261044.25795091258</v>
      </c>
      <c r="W70">
        <f t="shared" ca="1" si="27"/>
        <v>186106.96510430641</v>
      </c>
      <c r="Z70" s="4">
        <f t="shared" ca="1" si="43"/>
        <v>0</v>
      </c>
      <c r="AA70">
        <f t="shared" ca="1" si="44"/>
        <v>1</v>
      </c>
      <c r="AC70" s="5"/>
      <c r="AX70" s="10">
        <f ca="1">Table1[[#This Row],[Car Value]]/Table1[[#This Row],[No. of Vehicles]]</f>
        <v>41718.50489199852</v>
      </c>
      <c r="AZ70">
        <f ca="1">IF(Table1[[#This Row],[Debts]]&gt;$BA$3,1,0)</f>
        <v>1</v>
      </c>
      <c r="BC70" s="12">
        <f ca="1">Table1[[#This Row],[Mortage left]]/Table1[[#This Row],[Value of The House]]</f>
        <v>0.46853706448434163</v>
      </c>
      <c r="BD70" s="4">
        <f t="shared" ca="1" si="45"/>
        <v>0</v>
      </c>
      <c r="BE70" s="5"/>
    </row>
    <row r="71" spans="4:57" x14ac:dyDescent="0.3">
      <c r="D71">
        <f t="shared" ca="1" si="29"/>
        <v>1</v>
      </c>
      <c r="E71" t="str">
        <f t="shared" ca="1" si="30"/>
        <v>Male</v>
      </c>
      <c r="F71">
        <f t="shared" ca="1" si="31"/>
        <v>32</v>
      </c>
      <c r="G71">
        <f t="shared" ca="1" si="32"/>
        <v>1</v>
      </c>
      <c r="H71" t="str">
        <f t="shared" ca="1" si="33"/>
        <v>Health</v>
      </c>
      <c r="I71">
        <f t="shared" ca="1" si="34"/>
        <v>1</v>
      </c>
      <c r="J71" t="str">
        <f t="shared" ca="1" si="35"/>
        <v>High School</v>
      </c>
      <c r="K71">
        <f t="shared" ca="1" si="36"/>
        <v>1</v>
      </c>
      <c r="L71">
        <f t="shared" ca="1" si="37"/>
        <v>2</v>
      </c>
      <c r="M71">
        <f t="shared" ca="1" si="38"/>
        <v>74043</v>
      </c>
      <c r="N71">
        <f t="shared" ca="1" si="39"/>
        <v>12</v>
      </c>
      <c r="O71" t="str">
        <f t="shared" ca="1" si="40"/>
        <v>Nova scotia</v>
      </c>
      <c r="P71">
        <f t="shared" ca="1" si="23"/>
        <v>370215</v>
      </c>
      <c r="Q71">
        <f t="shared" ca="1" si="41"/>
        <v>247155.46270518229</v>
      </c>
      <c r="R71">
        <f t="shared" ca="1" si="28"/>
        <v>11235.928328637427</v>
      </c>
      <c r="S71">
        <f t="shared" ca="1" si="42"/>
        <v>1263</v>
      </c>
      <c r="T71">
        <f t="shared" ca="1" si="24"/>
        <v>56660.223967872837</v>
      </c>
      <c r="U71">
        <f t="shared" ca="1" si="25"/>
        <v>106912.73422336346</v>
      </c>
      <c r="V71">
        <f t="shared" ca="1" si="26"/>
        <v>488363.6625520009</v>
      </c>
      <c r="W71">
        <f t="shared" ca="1" si="27"/>
        <v>305078.68667305511</v>
      </c>
      <c r="Z71" s="4">
        <f t="shared" ca="1" si="43"/>
        <v>1</v>
      </c>
      <c r="AA71">
        <f t="shared" ca="1" si="44"/>
        <v>0</v>
      </c>
      <c r="AC71" s="5"/>
      <c r="AX71" s="10">
        <f ca="1">Table1[[#This Row],[Car Value]]/Table1[[#This Row],[No. of Vehicles]]</f>
        <v>5617.9641643187133</v>
      </c>
      <c r="AZ71">
        <f ca="1">IF(Table1[[#This Row],[Debts]]&gt;$BA$3,1,0)</f>
        <v>1</v>
      </c>
      <c r="BC71" s="12">
        <f ca="1">Table1[[#This Row],[Mortage left]]/Table1[[#This Row],[Value of The House]]</f>
        <v>0.66759980742320624</v>
      </c>
      <c r="BD71" s="4">
        <f t="shared" ca="1" si="45"/>
        <v>0</v>
      </c>
      <c r="BE71" s="5"/>
    </row>
    <row r="72" spans="4:57" x14ac:dyDescent="0.3">
      <c r="D72">
        <f t="shared" ca="1" si="29"/>
        <v>2</v>
      </c>
      <c r="E72" t="str">
        <f t="shared" ca="1" si="30"/>
        <v>Female</v>
      </c>
      <c r="F72">
        <f t="shared" ca="1" si="31"/>
        <v>42</v>
      </c>
      <c r="G72">
        <f t="shared" ca="1" si="32"/>
        <v>3</v>
      </c>
      <c r="H72" t="str">
        <f t="shared" ca="1" si="33"/>
        <v>Teaching</v>
      </c>
      <c r="I72">
        <f t="shared" ca="1" si="34"/>
        <v>3</v>
      </c>
      <c r="J72" t="str">
        <f t="shared" ca="1" si="35"/>
        <v>University</v>
      </c>
      <c r="K72">
        <f t="shared" ca="1" si="36"/>
        <v>4</v>
      </c>
      <c r="L72">
        <f t="shared" ca="1" si="37"/>
        <v>2</v>
      </c>
      <c r="M72">
        <f t="shared" ca="1" si="38"/>
        <v>25701</v>
      </c>
      <c r="N72">
        <f t="shared" ca="1" si="39"/>
        <v>1</v>
      </c>
      <c r="O72" t="str">
        <f t="shared" ca="1" si="40"/>
        <v>Yukon</v>
      </c>
      <c r="P72">
        <f t="shared" ca="1" si="23"/>
        <v>102804</v>
      </c>
      <c r="Q72">
        <f t="shared" ca="1" si="41"/>
        <v>55733.647797672427</v>
      </c>
      <c r="R72">
        <f t="shared" ca="1" si="28"/>
        <v>15659.545704376389</v>
      </c>
      <c r="S72">
        <f t="shared" ca="1" si="42"/>
        <v>568</v>
      </c>
      <c r="T72">
        <f t="shared" ca="1" si="24"/>
        <v>32794.234861329162</v>
      </c>
      <c r="U72">
        <f t="shared" ca="1" si="25"/>
        <v>21301.705460581208</v>
      </c>
      <c r="V72">
        <f t="shared" ca="1" si="26"/>
        <v>139765.25116495759</v>
      </c>
      <c r="W72">
        <f t="shared" ca="1" si="27"/>
        <v>89095.882659001596</v>
      </c>
      <c r="Z72" s="4">
        <f t="shared" ca="1" si="43"/>
        <v>0</v>
      </c>
      <c r="AA72">
        <f t="shared" ca="1" si="44"/>
        <v>1</v>
      </c>
      <c r="AC72" s="5"/>
      <c r="AX72" s="10">
        <f ca="1">Table1[[#This Row],[Car Value]]/Table1[[#This Row],[No. of Vehicles]]</f>
        <v>7829.7728521881945</v>
      </c>
      <c r="AZ72">
        <f ca="1">IF(Table1[[#This Row],[Debts]]&gt;$BA$3,1,0)</f>
        <v>1</v>
      </c>
      <c r="BC72" s="12">
        <f ca="1">Table1[[#This Row],[Mortage left]]/Table1[[#This Row],[Value of The House]]</f>
        <v>0.54213501223369154</v>
      </c>
      <c r="BD72" s="4">
        <f t="shared" ca="1" si="45"/>
        <v>0</v>
      </c>
      <c r="BE72" s="5"/>
    </row>
    <row r="73" spans="4:57" x14ac:dyDescent="0.3">
      <c r="D73">
        <f t="shared" ca="1" si="29"/>
        <v>2</v>
      </c>
      <c r="E73" t="str">
        <f t="shared" ca="1" si="30"/>
        <v>Female</v>
      </c>
      <c r="F73">
        <f t="shared" ca="1" si="31"/>
        <v>44</v>
      </c>
      <c r="G73">
        <f t="shared" ca="1" si="32"/>
        <v>5</v>
      </c>
      <c r="H73" t="str">
        <f t="shared" ca="1" si="33"/>
        <v>Agriculture</v>
      </c>
      <c r="I73">
        <f t="shared" ca="1" si="34"/>
        <v>1</v>
      </c>
      <c r="J73" t="str">
        <f t="shared" ca="1" si="35"/>
        <v>High School</v>
      </c>
      <c r="K73">
        <f t="shared" ca="1" si="36"/>
        <v>0</v>
      </c>
      <c r="L73">
        <f t="shared" ca="1" si="37"/>
        <v>2</v>
      </c>
      <c r="M73">
        <f t="shared" ca="1" si="38"/>
        <v>88595</v>
      </c>
      <c r="N73">
        <f t="shared" ca="1" si="39"/>
        <v>3</v>
      </c>
      <c r="O73" t="str">
        <f t="shared" ca="1" si="40"/>
        <v>Northwest Ter</v>
      </c>
      <c r="P73">
        <f t="shared" ca="1" si="23"/>
        <v>531570</v>
      </c>
      <c r="Q73">
        <f t="shared" ca="1" si="41"/>
        <v>297421.46198536729</v>
      </c>
      <c r="R73">
        <f t="shared" ca="1" si="28"/>
        <v>162050.04785676106</v>
      </c>
      <c r="S73">
        <f t="shared" ca="1" si="42"/>
        <v>160186</v>
      </c>
      <c r="T73">
        <f t="shared" ca="1" si="24"/>
        <v>30632.946141439606</v>
      </c>
      <c r="U73">
        <f t="shared" ca="1" si="25"/>
        <v>112552.61933604944</v>
      </c>
      <c r="V73">
        <f t="shared" ca="1" si="26"/>
        <v>806172.66719281045</v>
      </c>
      <c r="W73">
        <f t="shared" ca="1" si="27"/>
        <v>488240.4081268069</v>
      </c>
      <c r="Z73" s="4">
        <f t="shared" ca="1" si="43"/>
        <v>0</v>
      </c>
      <c r="AA73">
        <f t="shared" ca="1" si="44"/>
        <v>1</v>
      </c>
      <c r="AC73" s="5"/>
      <c r="AX73" s="10">
        <f ca="1">Table1[[#This Row],[Car Value]]/Table1[[#This Row],[No. of Vehicles]]</f>
        <v>81025.023928380528</v>
      </c>
      <c r="AZ73">
        <f ca="1">IF(Table1[[#This Row],[Debts]]&gt;$BA$3,1,0)</f>
        <v>1</v>
      </c>
      <c r="BC73" s="12">
        <f ca="1">Table1[[#This Row],[Mortage left]]/Table1[[#This Row],[Value of The House]]</f>
        <v>0.55951513814806575</v>
      </c>
      <c r="BD73" s="4">
        <f t="shared" ca="1" si="45"/>
        <v>0</v>
      </c>
      <c r="BE73" s="5"/>
    </row>
    <row r="74" spans="4:57" x14ac:dyDescent="0.3">
      <c r="D74">
        <f t="shared" ca="1" si="29"/>
        <v>1</v>
      </c>
      <c r="E74" t="str">
        <f t="shared" ca="1" si="30"/>
        <v>Male</v>
      </c>
      <c r="F74">
        <f t="shared" ca="1" si="31"/>
        <v>40</v>
      </c>
      <c r="G74">
        <f t="shared" ca="1" si="32"/>
        <v>1</v>
      </c>
      <c r="H74" t="str">
        <f t="shared" ca="1" si="33"/>
        <v>Health</v>
      </c>
      <c r="I74">
        <f t="shared" ca="1" si="34"/>
        <v>1</v>
      </c>
      <c r="J74" t="str">
        <f t="shared" ca="1" si="35"/>
        <v>High School</v>
      </c>
      <c r="K74">
        <f t="shared" ca="1" si="36"/>
        <v>3</v>
      </c>
      <c r="L74">
        <f t="shared" ca="1" si="37"/>
        <v>1</v>
      </c>
      <c r="M74">
        <f t="shared" ca="1" si="38"/>
        <v>40111</v>
      </c>
      <c r="N74">
        <f t="shared" ca="1" si="39"/>
        <v>10</v>
      </c>
      <c r="O74" t="str">
        <f t="shared" ca="1" si="40"/>
        <v>Newfouland</v>
      </c>
      <c r="P74">
        <f t="shared" ca="1" si="23"/>
        <v>160444</v>
      </c>
      <c r="Q74">
        <f t="shared" ca="1" si="41"/>
        <v>57422.091497507106</v>
      </c>
      <c r="R74">
        <f t="shared" ca="1" si="28"/>
        <v>27594.042892613059</v>
      </c>
      <c r="S74">
        <f t="shared" ca="1" si="42"/>
        <v>26547</v>
      </c>
      <c r="T74">
        <f t="shared" ca="1" si="24"/>
        <v>45758.35749373697</v>
      </c>
      <c r="U74">
        <f t="shared" ca="1" si="25"/>
        <v>4994.2142363562289</v>
      </c>
      <c r="V74">
        <f t="shared" ca="1" si="26"/>
        <v>193032.2571289693</v>
      </c>
      <c r="W74">
        <f t="shared" ca="1" si="27"/>
        <v>129727.44899124408</v>
      </c>
      <c r="Z74" s="4">
        <f t="shared" ca="1" si="43"/>
        <v>1</v>
      </c>
      <c r="AA74">
        <f t="shared" ca="1" si="44"/>
        <v>0</v>
      </c>
      <c r="AC74" s="5"/>
      <c r="AX74" s="10">
        <f ca="1">Table1[[#This Row],[Car Value]]/Table1[[#This Row],[No. of Vehicles]]</f>
        <v>27594.042892613059</v>
      </c>
      <c r="AZ74">
        <f ca="1">IF(Table1[[#This Row],[Debts]]&gt;$BA$3,1,0)</f>
        <v>1</v>
      </c>
      <c r="BC74" s="12">
        <f ca="1">Table1[[#This Row],[Mortage left]]/Table1[[#This Row],[Value of The House]]</f>
        <v>0.35789491347452762</v>
      </c>
      <c r="BD74" s="4">
        <f t="shared" ca="1" si="45"/>
        <v>0</v>
      </c>
      <c r="BE74" s="5"/>
    </row>
    <row r="75" spans="4:57" x14ac:dyDescent="0.3">
      <c r="D75">
        <f t="shared" ca="1" si="29"/>
        <v>1</v>
      </c>
      <c r="E75" t="str">
        <f t="shared" ca="1" si="30"/>
        <v>Male</v>
      </c>
      <c r="F75">
        <f t="shared" ca="1" si="31"/>
        <v>39</v>
      </c>
      <c r="G75">
        <f t="shared" ca="1" si="32"/>
        <v>5</v>
      </c>
      <c r="H75" t="str">
        <f t="shared" ca="1" si="33"/>
        <v>Agriculture</v>
      </c>
      <c r="I75">
        <f t="shared" ca="1" si="34"/>
        <v>4</v>
      </c>
      <c r="J75" t="str">
        <f t="shared" ca="1" si="35"/>
        <v>Technical</v>
      </c>
      <c r="K75">
        <f t="shared" ca="1" si="36"/>
        <v>0</v>
      </c>
      <c r="L75">
        <f t="shared" ca="1" si="37"/>
        <v>1</v>
      </c>
      <c r="M75">
        <f t="shared" ca="1" si="38"/>
        <v>34011</v>
      </c>
      <c r="N75">
        <f t="shared" ca="1" si="39"/>
        <v>1</v>
      </c>
      <c r="O75" t="str">
        <f t="shared" ca="1" si="40"/>
        <v>Yukon</v>
      </c>
      <c r="P75">
        <f t="shared" ca="1" si="23"/>
        <v>204066</v>
      </c>
      <c r="Q75">
        <f t="shared" ca="1" si="41"/>
        <v>34642.514095492319</v>
      </c>
      <c r="R75">
        <f t="shared" ca="1" si="28"/>
        <v>29266.153073490172</v>
      </c>
      <c r="S75">
        <f t="shared" ca="1" si="42"/>
        <v>474</v>
      </c>
      <c r="T75">
        <f t="shared" ca="1" si="24"/>
        <v>1502.6962459765978</v>
      </c>
      <c r="U75">
        <f t="shared" ca="1" si="25"/>
        <v>22050.798664794376</v>
      </c>
      <c r="V75">
        <f t="shared" ca="1" si="26"/>
        <v>255382.95173828455</v>
      </c>
      <c r="W75">
        <f t="shared" ca="1" si="27"/>
        <v>36619.210341468919</v>
      </c>
      <c r="Z75" s="4">
        <f t="shared" ca="1" si="43"/>
        <v>1</v>
      </c>
      <c r="AA75">
        <f t="shared" ca="1" si="44"/>
        <v>0</v>
      </c>
      <c r="AC75" s="5"/>
      <c r="AX75" s="10">
        <f ca="1">Table1[[#This Row],[Car Value]]/Table1[[#This Row],[No. of Vehicles]]</f>
        <v>29266.153073490172</v>
      </c>
      <c r="AZ75">
        <f ca="1">IF(Table1[[#This Row],[Debts]]&gt;$BA$3,1,0)</f>
        <v>0</v>
      </c>
      <c r="BC75" s="12">
        <f ca="1">Table1[[#This Row],[Mortage left]]/Table1[[#This Row],[Value of The House]]</f>
        <v>0.1697613227852377</v>
      </c>
      <c r="BD75" s="4">
        <f t="shared" ca="1" si="45"/>
        <v>1</v>
      </c>
      <c r="BE75" s="5"/>
    </row>
    <row r="76" spans="4:57" x14ac:dyDescent="0.3">
      <c r="D76">
        <f t="shared" ca="1" si="29"/>
        <v>1</v>
      </c>
      <c r="E76" t="str">
        <f t="shared" ca="1" si="30"/>
        <v>Male</v>
      </c>
      <c r="F76">
        <f t="shared" ca="1" si="31"/>
        <v>32</v>
      </c>
      <c r="G76">
        <f t="shared" ca="1" si="32"/>
        <v>1</v>
      </c>
      <c r="H76" t="str">
        <f t="shared" ca="1" si="33"/>
        <v>Health</v>
      </c>
      <c r="I76">
        <f t="shared" ca="1" si="34"/>
        <v>2</v>
      </c>
      <c r="J76" t="str">
        <f t="shared" ca="1" si="35"/>
        <v>College</v>
      </c>
      <c r="K76">
        <f t="shared" ca="1" si="36"/>
        <v>2</v>
      </c>
      <c r="L76">
        <f t="shared" ca="1" si="37"/>
        <v>2</v>
      </c>
      <c r="M76">
        <f t="shared" ca="1" si="38"/>
        <v>80949</v>
      </c>
      <c r="N76">
        <f t="shared" ca="1" si="39"/>
        <v>13</v>
      </c>
      <c r="O76" t="str">
        <f t="shared" ca="1" si="40"/>
        <v>Prince Edward Islnd</v>
      </c>
      <c r="P76">
        <f t="shared" ca="1" si="23"/>
        <v>485694</v>
      </c>
      <c r="Q76">
        <f t="shared" ca="1" si="41"/>
        <v>420929.61218277778</v>
      </c>
      <c r="R76">
        <f t="shared" ca="1" si="28"/>
        <v>109741.67242065833</v>
      </c>
      <c r="S76">
        <f t="shared" ca="1" si="42"/>
        <v>3083</v>
      </c>
      <c r="T76">
        <f t="shared" ca="1" si="24"/>
        <v>45458.453639188374</v>
      </c>
      <c r="U76">
        <f t="shared" ca="1" si="25"/>
        <v>42498.160734137018</v>
      </c>
      <c r="V76">
        <f t="shared" ca="1" si="26"/>
        <v>637933.83315479534</v>
      </c>
      <c r="W76">
        <f t="shared" ca="1" si="27"/>
        <v>469471.06582196616</v>
      </c>
      <c r="Z76" s="4">
        <f t="shared" ca="1" si="43"/>
        <v>1</v>
      </c>
      <c r="AA76">
        <f t="shared" ca="1" si="44"/>
        <v>0</v>
      </c>
      <c r="AC76" s="5"/>
      <c r="AX76" s="10">
        <f ca="1">Table1[[#This Row],[Car Value]]/Table1[[#This Row],[No. of Vehicles]]</f>
        <v>54870.836210329166</v>
      </c>
      <c r="AZ76">
        <f ca="1">IF(Table1[[#This Row],[Debts]]&gt;$BA$3,1,0)</f>
        <v>1</v>
      </c>
      <c r="BC76" s="12">
        <f ca="1">Table1[[#This Row],[Mortage left]]/Table1[[#This Row],[Value of The House]]</f>
        <v>0.86665598542040412</v>
      </c>
      <c r="BD76" s="4">
        <f t="shared" ca="1" si="45"/>
        <v>0</v>
      </c>
      <c r="BE76" s="5"/>
    </row>
    <row r="77" spans="4:57" x14ac:dyDescent="0.3">
      <c r="D77">
        <f t="shared" ca="1" si="29"/>
        <v>1</v>
      </c>
      <c r="E77" t="str">
        <f t="shared" ca="1" si="30"/>
        <v>Male</v>
      </c>
      <c r="F77">
        <f t="shared" ca="1" si="31"/>
        <v>44</v>
      </c>
      <c r="G77">
        <f t="shared" ca="1" si="32"/>
        <v>4</v>
      </c>
      <c r="H77" t="str">
        <f t="shared" ca="1" si="33"/>
        <v>IT</v>
      </c>
      <c r="I77">
        <f t="shared" ca="1" si="34"/>
        <v>3</v>
      </c>
      <c r="J77" t="str">
        <f t="shared" ca="1" si="35"/>
        <v>University</v>
      </c>
      <c r="K77">
        <f t="shared" ca="1" si="36"/>
        <v>0</v>
      </c>
      <c r="L77">
        <f t="shared" ca="1" si="37"/>
        <v>1</v>
      </c>
      <c r="M77">
        <f t="shared" ca="1" si="38"/>
        <v>37103</v>
      </c>
      <c r="N77">
        <f t="shared" ca="1" si="39"/>
        <v>1</v>
      </c>
      <c r="O77" t="str">
        <f t="shared" ca="1" si="40"/>
        <v>Yukon</v>
      </c>
      <c r="P77">
        <f t="shared" ca="1" si="23"/>
        <v>222618</v>
      </c>
      <c r="Q77">
        <f t="shared" ca="1" si="41"/>
        <v>181754.4515176414</v>
      </c>
      <c r="R77">
        <f t="shared" ca="1" si="28"/>
        <v>8764.7379439980141</v>
      </c>
      <c r="S77">
        <f t="shared" ca="1" si="42"/>
        <v>1137</v>
      </c>
      <c r="T77">
        <f t="shared" ca="1" si="24"/>
        <v>23586.66180561683</v>
      </c>
      <c r="U77">
        <f t="shared" ca="1" si="25"/>
        <v>37410.778833889461</v>
      </c>
      <c r="V77">
        <f t="shared" ca="1" si="26"/>
        <v>268793.51677788747</v>
      </c>
      <c r="W77">
        <f t="shared" ca="1" si="27"/>
        <v>206478.11332325824</v>
      </c>
      <c r="Z77" s="4">
        <f t="shared" ca="1" si="43"/>
        <v>1</v>
      </c>
      <c r="AA77">
        <f t="shared" ca="1" si="44"/>
        <v>0</v>
      </c>
      <c r="AC77" s="5"/>
      <c r="AX77" s="10">
        <f ca="1">Table1[[#This Row],[Car Value]]/Table1[[#This Row],[No. of Vehicles]]</f>
        <v>8764.7379439980141</v>
      </c>
      <c r="AZ77">
        <f ca="1">IF(Table1[[#This Row],[Debts]]&gt;$BA$3,1,0)</f>
        <v>1</v>
      </c>
      <c r="BC77" s="12">
        <f ca="1">Table1[[#This Row],[Mortage left]]/Table1[[#This Row],[Value of The House]]</f>
        <v>0.81644095049655196</v>
      </c>
      <c r="BD77" s="4">
        <f t="shared" ca="1" si="45"/>
        <v>0</v>
      </c>
      <c r="BE77" s="5"/>
    </row>
    <row r="78" spans="4:57" x14ac:dyDescent="0.3">
      <c r="D78">
        <f t="shared" ca="1" si="29"/>
        <v>1</v>
      </c>
      <c r="E78" t="str">
        <f t="shared" ca="1" si="30"/>
        <v>Male</v>
      </c>
      <c r="F78">
        <f t="shared" ca="1" si="31"/>
        <v>44</v>
      </c>
      <c r="G78">
        <f t="shared" ca="1" si="32"/>
        <v>4</v>
      </c>
      <c r="H78" t="str">
        <f t="shared" ca="1" si="33"/>
        <v>IT</v>
      </c>
      <c r="I78">
        <f t="shared" ca="1" si="34"/>
        <v>4</v>
      </c>
      <c r="J78" t="str">
        <f t="shared" ca="1" si="35"/>
        <v>Technical</v>
      </c>
      <c r="K78">
        <f t="shared" ca="1" si="36"/>
        <v>0</v>
      </c>
      <c r="L78">
        <f t="shared" ca="1" si="37"/>
        <v>1</v>
      </c>
      <c r="M78">
        <f t="shared" ca="1" si="38"/>
        <v>33279</v>
      </c>
      <c r="N78">
        <f t="shared" ca="1" si="39"/>
        <v>3</v>
      </c>
      <c r="O78" t="str">
        <f t="shared" ca="1" si="40"/>
        <v>Northwest Ter</v>
      </c>
      <c r="P78">
        <f t="shared" ca="1" si="23"/>
        <v>166395</v>
      </c>
      <c r="Q78">
        <f t="shared" ca="1" si="41"/>
        <v>96460.728802094367</v>
      </c>
      <c r="R78">
        <f t="shared" ca="1" si="28"/>
        <v>33132.465236591226</v>
      </c>
      <c r="S78">
        <f t="shared" ca="1" si="42"/>
        <v>16397</v>
      </c>
      <c r="T78">
        <f t="shared" ca="1" si="24"/>
        <v>14662.443626361486</v>
      </c>
      <c r="U78">
        <f t="shared" ca="1" si="25"/>
        <v>36905.387509691667</v>
      </c>
      <c r="V78">
        <f t="shared" ca="1" si="26"/>
        <v>236432.85274628291</v>
      </c>
      <c r="W78">
        <f t="shared" ca="1" si="27"/>
        <v>127520.17242845586</v>
      </c>
      <c r="Z78" s="4">
        <f t="shared" ca="1" si="43"/>
        <v>1</v>
      </c>
      <c r="AA78">
        <f t="shared" ca="1" si="44"/>
        <v>0</v>
      </c>
      <c r="AC78" s="5"/>
      <c r="AX78" s="10">
        <f ca="1">Table1[[#This Row],[Car Value]]/Table1[[#This Row],[No. of Vehicles]]</f>
        <v>33132.465236591226</v>
      </c>
      <c r="AZ78">
        <f ca="1">IF(Table1[[#This Row],[Debts]]&gt;$BA$3,1,0)</f>
        <v>0</v>
      </c>
      <c r="BC78" s="12">
        <f ca="1">Table1[[#This Row],[Mortage left]]/Table1[[#This Row],[Value of The House]]</f>
        <v>0.5797092989698871</v>
      </c>
      <c r="BD78" s="4">
        <f t="shared" ca="1" si="45"/>
        <v>0</v>
      </c>
      <c r="BE78" s="5"/>
    </row>
    <row r="79" spans="4:57" x14ac:dyDescent="0.3">
      <c r="D79">
        <f t="shared" ca="1" si="29"/>
        <v>2</v>
      </c>
      <c r="E79" t="str">
        <f t="shared" ca="1" si="30"/>
        <v>Female</v>
      </c>
      <c r="F79">
        <f t="shared" ca="1" si="31"/>
        <v>45</v>
      </c>
      <c r="G79">
        <f t="shared" ca="1" si="32"/>
        <v>2</v>
      </c>
      <c r="H79" t="str">
        <f t="shared" ca="1" si="33"/>
        <v>Construction</v>
      </c>
      <c r="I79">
        <f t="shared" ca="1" si="34"/>
        <v>3</v>
      </c>
      <c r="J79" t="str">
        <f t="shared" ca="1" si="35"/>
        <v>University</v>
      </c>
      <c r="K79">
        <f t="shared" ca="1" si="36"/>
        <v>3</v>
      </c>
      <c r="L79">
        <f t="shared" ca="1" si="37"/>
        <v>1</v>
      </c>
      <c r="M79">
        <f t="shared" ca="1" si="38"/>
        <v>72828</v>
      </c>
      <c r="N79">
        <f t="shared" ca="1" si="39"/>
        <v>8</v>
      </c>
      <c r="O79" t="str">
        <f t="shared" ca="1" si="40"/>
        <v>Ontario</v>
      </c>
      <c r="P79">
        <f t="shared" ca="1" si="23"/>
        <v>364140</v>
      </c>
      <c r="Q79">
        <f t="shared" ca="1" si="41"/>
        <v>360414.92922583153</v>
      </c>
      <c r="R79">
        <f t="shared" ca="1" si="28"/>
        <v>56588.965941067436</v>
      </c>
      <c r="S79">
        <f t="shared" ca="1" si="42"/>
        <v>115</v>
      </c>
      <c r="T79">
        <f t="shared" ca="1" si="24"/>
        <v>115700.85570906602</v>
      </c>
      <c r="U79">
        <f t="shared" ca="1" si="25"/>
        <v>23303.214273868471</v>
      </c>
      <c r="V79">
        <f t="shared" ca="1" si="26"/>
        <v>444032.18021493591</v>
      </c>
      <c r="W79">
        <f t="shared" ca="1" si="27"/>
        <v>476230.78493489756</v>
      </c>
      <c r="Z79" s="4">
        <f t="shared" ca="1" si="43"/>
        <v>0</v>
      </c>
      <c r="AA79">
        <f t="shared" ca="1" si="44"/>
        <v>1</v>
      </c>
      <c r="AC79" s="5"/>
      <c r="AX79" s="10">
        <f ca="1">Table1[[#This Row],[Car Value]]/Table1[[#This Row],[No. of Vehicles]]</f>
        <v>56588.965941067436</v>
      </c>
      <c r="AZ79">
        <f ca="1">IF(Table1[[#This Row],[Debts]]&gt;$BA$3,1,0)</f>
        <v>1</v>
      </c>
      <c r="BC79" s="12">
        <f ca="1">Table1[[#This Row],[Mortage left]]/Table1[[#This Row],[Value of The House]]</f>
        <v>0.98977022361133504</v>
      </c>
      <c r="BD79" s="4">
        <f t="shared" ca="1" si="45"/>
        <v>0</v>
      </c>
      <c r="BE79" s="5"/>
    </row>
    <row r="80" spans="4:57" x14ac:dyDescent="0.3">
      <c r="D80">
        <f t="shared" ca="1" si="29"/>
        <v>2</v>
      </c>
      <c r="E80" t="str">
        <f t="shared" ca="1" si="30"/>
        <v>Female</v>
      </c>
      <c r="F80">
        <f t="shared" ca="1" si="31"/>
        <v>30</v>
      </c>
      <c r="G80">
        <f t="shared" ca="1" si="32"/>
        <v>1</v>
      </c>
      <c r="H80" t="str">
        <f t="shared" ca="1" si="33"/>
        <v>Health</v>
      </c>
      <c r="I80">
        <f t="shared" ca="1" si="34"/>
        <v>4</v>
      </c>
      <c r="J80" t="str">
        <f t="shared" ca="1" si="35"/>
        <v>Technical</v>
      </c>
      <c r="K80">
        <f t="shared" ca="1" si="36"/>
        <v>1</v>
      </c>
      <c r="L80">
        <f t="shared" ca="1" si="37"/>
        <v>2</v>
      </c>
      <c r="M80">
        <f t="shared" ca="1" si="38"/>
        <v>49379</v>
      </c>
      <c r="N80">
        <f t="shared" ca="1" si="39"/>
        <v>3</v>
      </c>
      <c r="O80" t="str">
        <f t="shared" ca="1" si="40"/>
        <v>Northwest Ter</v>
      </c>
      <c r="P80">
        <f t="shared" ca="1" si="23"/>
        <v>296274</v>
      </c>
      <c r="Q80">
        <f t="shared" ca="1" si="41"/>
        <v>104254.88559204419</v>
      </c>
      <c r="R80">
        <f t="shared" ca="1" si="28"/>
        <v>42719.648468078602</v>
      </c>
      <c r="S80">
        <f t="shared" ca="1" si="42"/>
        <v>28443</v>
      </c>
      <c r="T80">
        <f t="shared" ca="1" si="24"/>
        <v>92189.187180411987</v>
      </c>
      <c r="U80">
        <f t="shared" ca="1" si="25"/>
        <v>20467.071312358563</v>
      </c>
      <c r="V80">
        <f t="shared" ca="1" si="26"/>
        <v>359460.71978043712</v>
      </c>
      <c r="W80">
        <f t="shared" ca="1" si="27"/>
        <v>224887.07277245616</v>
      </c>
      <c r="Z80" s="4">
        <f t="shared" ca="1" si="43"/>
        <v>0</v>
      </c>
      <c r="AA80">
        <f t="shared" ca="1" si="44"/>
        <v>1</v>
      </c>
      <c r="AC80" s="5"/>
      <c r="AX80" s="10">
        <f ca="1">Table1[[#This Row],[Car Value]]/Table1[[#This Row],[No. of Vehicles]]</f>
        <v>21359.824234039301</v>
      </c>
      <c r="AZ80">
        <f ca="1">IF(Table1[[#This Row],[Debts]]&gt;$BA$3,1,0)</f>
        <v>1</v>
      </c>
      <c r="BC80" s="12">
        <f ca="1">Table1[[#This Row],[Mortage left]]/Table1[[#This Row],[Value of The House]]</f>
        <v>0.35188671834870489</v>
      </c>
      <c r="BD80" s="4">
        <f t="shared" ca="1" si="45"/>
        <v>0</v>
      </c>
      <c r="BE80" s="5"/>
    </row>
    <row r="81" spans="4:57" x14ac:dyDescent="0.3">
      <c r="D81">
        <f t="shared" ca="1" si="29"/>
        <v>2</v>
      </c>
      <c r="E81" t="str">
        <f t="shared" ca="1" si="30"/>
        <v>Female</v>
      </c>
      <c r="F81">
        <f t="shared" ca="1" si="31"/>
        <v>42</v>
      </c>
      <c r="G81">
        <f t="shared" ca="1" si="32"/>
        <v>1</v>
      </c>
      <c r="H81" t="str">
        <f t="shared" ca="1" si="33"/>
        <v>Health</v>
      </c>
      <c r="I81">
        <f t="shared" ca="1" si="34"/>
        <v>3</v>
      </c>
      <c r="J81" t="str">
        <f t="shared" ca="1" si="35"/>
        <v>University</v>
      </c>
      <c r="K81">
        <f t="shared" ca="1" si="36"/>
        <v>0</v>
      </c>
      <c r="L81">
        <f t="shared" ca="1" si="37"/>
        <v>1</v>
      </c>
      <c r="M81">
        <f t="shared" ca="1" si="38"/>
        <v>75278</v>
      </c>
      <c r="N81">
        <f t="shared" ca="1" si="39"/>
        <v>1</v>
      </c>
      <c r="O81" t="str">
        <f t="shared" ca="1" si="40"/>
        <v>Yukon</v>
      </c>
      <c r="P81">
        <f t="shared" ca="1" si="23"/>
        <v>376390</v>
      </c>
      <c r="Q81">
        <f t="shared" ca="1" si="41"/>
        <v>206980.87336336766</v>
      </c>
      <c r="R81">
        <f t="shared" ca="1" si="28"/>
        <v>60633.261376651266</v>
      </c>
      <c r="S81">
        <f t="shared" ca="1" si="42"/>
        <v>16681</v>
      </c>
      <c r="T81">
        <f t="shared" ca="1" si="24"/>
        <v>50198.040197496266</v>
      </c>
      <c r="U81">
        <f t="shared" ca="1" si="25"/>
        <v>756.07858591219269</v>
      </c>
      <c r="V81">
        <f t="shared" ca="1" si="26"/>
        <v>437779.33996256342</v>
      </c>
      <c r="W81">
        <f t="shared" ca="1" si="27"/>
        <v>273859.91356086393</v>
      </c>
      <c r="Z81" s="4">
        <f t="shared" ca="1" si="43"/>
        <v>0</v>
      </c>
      <c r="AA81">
        <f t="shared" ca="1" si="44"/>
        <v>1</v>
      </c>
      <c r="AC81" s="5"/>
      <c r="AX81" s="10">
        <f ca="1">Table1[[#This Row],[Car Value]]/Table1[[#This Row],[No. of Vehicles]]</f>
        <v>60633.261376651266</v>
      </c>
      <c r="AZ81">
        <f ca="1">IF(Table1[[#This Row],[Debts]]&gt;$BA$3,1,0)</f>
        <v>1</v>
      </c>
      <c r="BC81" s="12">
        <f ca="1">Table1[[#This Row],[Mortage left]]/Table1[[#This Row],[Value of The House]]</f>
        <v>0.54991066012212775</v>
      </c>
      <c r="BD81" s="4">
        <f t="shared" ca="1" si="45"/>
        <v>0</v>
      </c>
      <c r="BE81" s="5"/>
    </row>
    <row r="82" spans="4:57" x14ac:dyDescent="0.3">
      <c r="D82">
        <f t="shared" ca="1" si="29"/>
        <v>2</v>
      </c>
      <c r="E82" t="str">
        <f t="shared" ca="1" si="30"/>
        <v>Female</v>
      </c>
      <c r="F82">
        <f t="shared" ca="1" si="31"/>
        <v>43</v>
      </c>
      <c r="G82">
        <f t="shared" ca="1" si="32"/>
        <v>6</v>
      </c>
      <c r="H82" t="str">
        <f t="shared" ca="1" si="33"/>
        <v>General Work</v>
      </c>
      <c r="I82">
        <f t="shared" ca="1" si="34"/>
        <v>5</v>
      </c>
      <c r="J82" t="str">
        <f t="shared" ca="1" si="35"/>
        <v>Other</v>
      </c>
      <c r="K82">
        <f t="shared" ca="1" si="36"/>
        <v>1</v>
      </c>
      <c r="L82">
        <f t="shared" ca="1" si="37"/>
        <v>2</v>
      </c>
      <c r="M82">
        <f t="shared" ca="1" si="38"/>
        <v>52554</v>
      </c>
      <c r="N82">
        <f t="shared" ca="1" si="39"/>
        <v>5</v>
      </c>
      <c r="O82" t="str">
        <f t="shared" ca="1" si="40"/>
        <v>Nunavut</v>
      </c>
      <c r="P82">
        <f t="shared" ca="1" si="23"/>
        <v>315324</v>
      </c>
      <c r="Q82">
        <f t="shared" ca="1" si="41"/>
        <v>252265.65674922409</v>
      </c>
      <c r="R82">
        <f t="shared" ca="1" si="28"/>
        <v>14310.094747781211</v>
      </c>
      <c r="S82">
        <f t="shared" ca="1" si="42"/>
        <v>9992</v>
      </c>
      <c r="T82">
        <f t="shared" ca="1" si="24"/>
        <v>27491.489504940131</v>
      </c>
      <c r="U82">
        <f t="shared" ca="1" si="25"/>
        <v>34262.577469871081</v>
      </c>
      <c r="V82">
        <f t="shared" ca="1" si="26"/>
        <v>363896.67221765232</v>
      </c>
      <c r="W82">
        <f t="shared" ca="1" si="27"/>
        <v>289749.14625416417</v>
      </c>
      <c r="Z82" s="4">
        <f t="shared" ca="1" si="43"/>
        <v>0</v>
      </c>
      <c r="AA82">
        <f t="shared" ca="1" si="44"/>
        <v>1</v>
      </c>
      <c r="AC82" s="5"/>
      <c r="AX82" s="10">
        <f ca="1">Table1[[#This Row],[Car Value]]/Table1[[#This Row],[No. of Vehicles]]</f>
        <v>7155.0473738906057</v>
      </c>
      <c r="AZ82">
        <f ca="1">IF(Table1[[#This Row],[Debts]]&gt;$BA$3,1,0)</f>
        <v>1</v>
      </c>
      <c r="BC82" s="12">
        <f ca="1">Table1[[#This Row],[Mortage left]]/Table1[[#This Row],[Value of The House]]</f>
        <v>0.80002047655498498</v>
      </c>
      <c r="BD82" s="4">
        <f t="shared" ca="1" si="45"/>
        <v>0</v>
      </c>
      <c r="BE82" s="5"/>
    </row>
    <row r="83" spans="4:57" x14ac:dyDescent="0.3">
      <c r="D83">
        <f t="shared" ca="1" si="29"/>
        <v>2</v>
      </c>
      <c r="E83" t="str">
        <f t="shared" ca="1" si="30"/>
        <v>Female</v>
      </c>
      <c r="F83">
        <f t="shared" ca="1" si="31"/>
        <v>35</v>
      </c>
      <c r="G83">
        <f t="shared" ca="1" si="32"/>
        <v>3</v>
      </c>
      <c r="H83" t="str">
        <f t="shared" ca="1" si="33"/>
        <v>Teaching</v>
      </c>
      <c r="I83">
        <f t="shared" ca="1" si="34"/>
        <v>4</v>
      </c>
      <c r="J83" t="str">
        <f t="shared" ca="1" si="35"/>
        <v>Technical</v>
      </c>
      <c r="K83">
        <f t="shared" ca="1" si="36"/>
        <v>4</v>
      </c>
      <c r="L83">
        <f t="shared" ca="1" si="37"/>
        <v>1</v>
      </c>
      <c r="M83">
        <f t="shared" ca="1" si="38"/>
        <v>85443</v>
      </c>
      <c r="N83">
        <f t="shared" ca="1" si="39"/>
        <v>10</v>
      </c>
      <c r="O83" t="str">
        <f t="shared" ca="1" si="40"/>
        <v>Newfouland</v>
      </c>
      <c r="P83">
        <f t="shared" ca="1" si="23"/>
        <v>427215</v>
      </c>
      <c r="Q83">
        <f t="shared" ca="1" si="41"/>
        <v>140555.96361016098</v>
      </c>
      <c r="R83">
        <f t="shared" ca="1" si="28"/>
        <v>70198.380167360083</v>
      </c>
      <c r="S83">
        <f t="shared" ca="1" si="42"/>
        <v>20421</v>
      </c>
      <c r="T83">
        <f t="shared" ca="1" si="24"/>
        <v>2052.2201207382368</v>
      </c>
      <c r="U83">
        <f t="shared" ca="1" si="25"/>
        <v>17622.361215729416</v>
      </c>
      <c r="V83">
        <f t="shared" ca="1" si="26"/>
        <v>515035.74138308951</v>
      </c>
      <c r="W83">
        <f t="shared" ca="1" si="27"/>
        <v>163029.18373089921</v>
      </c>
      <c r="Z83" s="4">
        <f t="shared" ca="1" si="43"/>
        <v>0</v>
      </c>
      <c r="AA83">
        <f t="shared" ca="1" si="44"/>
        <v>1</v>
      </c>
      <c r="AC83" s="5"/>
      <c r="AX83" s="10">
        <f ca="1">Table1[[#This Row],[Car Value]]/Table1[[#This Row],[No. of Vehicles]]</f>
        <v>70198.380167360083</v>
      </c>
      <c r="AZ83">
        <f ca="1">IF(Table1[[#This Row],[Debts]]&gt;$BA$3,1,0)</f>
        <v>0</v>
      </c>
      <c r="BC83" s="12">
        <f ca="1">Table1[[#This Row],[Mortage left]]/Table1[[#This Row],[Value of The House]]</f>
        <v>0.32900521660091753</v>
      </c>
      <c r="BD83" s="4">
        <f t="shared" ca="1" si="45"/>
        <v>0</v>
      </c>
      <c r="BE83" s="5"/>
    </row>
    <row r="84" spans="4:57" x14ac:dyDescent="0.3">
      <c r="D84">
        <f t="shared" ca="1" si="29"/>
        <v>1</v>
      </c>
      <c r="E84" t="str">
        <f t="shared" ca="1" si="30"/>
        <v>Male</v>
      </c>
      <c r="F84">
        <f t="shared" ca="1" si="31"/>
        <v>28</v>
      </c>
      <c r="G84">
        <f t="shared" ca="1" si="32"/>
        <v>5</v>
      </c>
      <c r="H84" t="str">
        <f t="shared" ca="1" si="33"/>
        <v>Agriculture</v>
      </c>
      <c r="I84">
        <f t="shared" ca="1" si="34"/>
        <v>5</v>
      </c>
      <c r="J84" t="str">
        <f t="shared" ca="1" si="35"/>
        <v>Other</v>
      </c>
      <c r="K84">
        <f t="shared" ca="1" si="36"/>
        <v>1</v>
      </c>
      <c r="L84">
        <f t="shared" ca="1" si="37"/>
        <v>1</v>
      </c>
      <c r="M84">
        <f t="shared" ca="1" si="38"/>
        <v>83887</v>
      </c>
      <c r="N84">
        <f t="shared" ca="1" si="39"/>
        <v>6</v>
      </c>
      <c r="O84" t="str">
        <f t="shared" ca="1" si="40"/>
        <v>Saskatchewan</v>
      </c>
      <c r="P84">
        <f t="shared" ca="1" si="23"/>
        <v>419435</v>
      </c>
      <c r="Q84">
        <f t="shared" ca="1" si="41"/>
        <v>225174.99943345549</v>
      </c>
      <c r="R84">
        <f t="shared" ca="1" si="28"/>
        <v>40449.047011086521</v>
      </c>
      <c r="S84">
        <f t="shared" ca="1" si="42"/>
        <v>20616</v>
      </c>
      <c r="T84">
        <f t="shared" ca="1" si="24"/>
        <v>122299.02487418495</v>
      </c>
      <c r="U84">
        <f t="shared" ca="1" si="25"/>
        <v>42428.816126558078</v>
      </c>
      <c r="V84">
        <f t="shared" ca="1" si="26"/>
        <v>502312.8631376446</v>
      </c>
      <c r="W84">
        <f t="shared" ca="1" si="27"/>
        <v>368090.02430764044</v>
      </c>
      <c r="Z84" s="4">
        <f t="shared" ca="1" si="43"/>
        <v>1</v>
      </c>
      <c r="AA84">
        <f t="shared" ca="1" si="44"/>
        <v>0</v>
      </c>
      <c r="AC84" s="5"/>
      <c r="AX84" s="10">
        <f ca="1">Table1[[#This Row],[Car Value]]/Table1[[#This Row],[No. of Vehicles]]</f>
        <v>40449.047011086521</v>
      </c>
      <c r="AZ84">
        <f ca="1">IF(Table1[[#This Row],[Debts]]&gt;$BA$3,1,0)</f>
        <v>1</v>
      </c>
      <c r="BC84" s="12">
        <f ca="1">Table1[[#This Row],[Mortage left]]/Table1[[#This Row],[Value of The House]]</f>
        <v>0.53685314633603654</v>
      </c>
      <c r="BD84" s="4">
        <f t="shared" ca="1" si="45"/>
        <v>0</v>
      </c>
      <c r="BE84" s="5"/>
    </row>
    <row r="85" spans="4:57" x14ac:dyDescent="0.3">
      <c r="D85">
        <f t="shared" ca="1" si="29"/>
        <v>2</v>
      </c>
      <c r="E85" t="str">
        <f t="shared" ca="1" si="30"/>
        <v>Female</v>
      </c>
      <c r="F85">
        <f t="shared" ca="1" si="31"/>
        <v>35</v>
      </c>
      <c r="G85">
        <f t="shared" ca="1" si="32"/>
        <v>2</v>
      </c>
      <c r="H85" t="str">
        <f t="shared" ca="1" si="33"/>
        <v>Construction</v>
      </c>
      <c r="I85">
        <f t="shared" ca="1" si="34"/>
        <v>5</v>
      </c>
      <c r="J85" t="str">
        <f t="shared" ca="1" si="35"/>
        <v>Other</v>
      </c>
      <c r="K85">
        <f t="shared" ca="1" si="36"/>
        <v>3</v>
      </c>
      <c r="L85">
        <f t="shared" ca="1" si="37"/>
        <v>1</v>
      </c>
      <c r="M85">
        <f t="shared" ca="1" si="38"/>
        <v>58620</v>
      </c>
      <c r="N85">
        <f t="shared" ca="1" si="39"/>
        <v>10</v>
      </c>
      <c r="O85" t="str">
        <f t="shared" ca="1" si="40"/>
        <v>Newfouland</v>
      </c>
      <c r="P85">
        <f t="shared" ca="1" si="23"/>
        <v>234480</v>
      </c>
      <c r="Q85">
        <f t="shared" ca="1" si="41"/>
        <v>34556.896330676267</v>
      </c>
      <c r="R85">
        <f t="shared" ca="1" si="28"/>
        <v>23469.88781191114</v>
      </c>
      <c r="S85">
        <f t="shared" ca="1" si="42"/>
        <v>22441</v>
      </c>
      <c r="T85">
        <f t="shared" ca="1" si="24"/>
        <v>94791.234912475411</v>
      </c>
      <c r="U85">
        <f t="shared" ca="1" si="25"/>
        <v>5879.7092203843149</v>
      </c>
      <c r="V85">
        <f t="shared" ca="1" si="26"/>
        <v>263829.59703229548</v>
      </c>
      <c r="W85">
        <f t="shared" ca="1" si="27"/>
        <v>151789.13124315167</v>
      </c>
      <c r="Z85" s="4">
        <f t="shared" ca="1" si="43"/>
        <v>0</v>
      </c>
      <c r="AA85">
        <f t="shared" ca="1" si="44"/>
        <v>1</v>
      </c>
      <c r="AC85" s="5"/>
      <c r="AX85" s="10">
        <f ca="1">Table1[[#This Row],[Car Value]]/Table1[[#This Row],[No. of Vehicles]]</f>
        <v>23469.88781191114</v>
      </c>
      <c r="AZ85">
        <f ca="1">IF(Table1[[#This Row],[Debts]]&gt;$BA$3,1,0)</f>
        <v>1</v>
      </c>
      <c r="BC85" s="12">
        <f ca="1">Table1[[#This Row],[Mortage left]]/Table1[[#This Row],[Value of The House]]</f>
        <v>0.14737673290121234</v>
      </c>
      <c r="BD85" s="4">
        <f t="shared" ca="1" si="45"/>
        <v>1</v>
      </c>
      <c r="BE85" s="5"/>
    </row>
    <row r="86" spans="4:57" x14ac:dyDescent="0.3">
      <c r="D86">
        <f t="shared" ca="1" si="29"/>
        <v>2</v>
      </c>
      <c r="E86" t="str">
        <f t="shared" ca="1" si="30"/>
        <v>Female</v>
      </c>
      <c r="F86">
        <f t="shared" ca="1" si="31"/>
        <v>44</v>
      </c>
      <c r="G86">
        <f t="shared" ca="1" si="32"/>
        <v>1</v>
      </c>
      <c r="H86" t="str">
        <f t="shared" ca="1" si="33"/>
        <v>Health</v>
      </c>
      <c r="I86">
        <f t="shared" ca="1" si="34"/>
        <v>5</v>
      </c>
      <c r="J86" t="str">
        <f t="shared" ca="1" si="35"/>
        <v>Other</v>
      </c>
      <c r="K86">
        <f t="shared" ca="1" si="36"/>
        <v>3</v>
      </c>
      <c r="L86">
        <f t="shared" ca="1" si="37"/>
        <v>2</v>
      </c>
      <c r="M86">
        <f t="shared" ca="1" si="38"/>
        <v>28741</v>
      </c>
      <c r="N86">
        <f t="shared" ca="1" si="39"/>
        <v>7</v>
      </c>
      <c r="O86" t="str">
        <f t="shared" ca="1" si="40"/>
        <v>Manitoba</v>
      </c>
      <c r="P86">
        <f t="shared" ca="1" si="23"/>
        <v>114964</v>
      </c>
      <c r="Q86">
        <f t="shared" ca="1" si="41"/>
        <v>48254.478915021165</v>
      </c>
      <c r="R86">
        <f t="shared" ca="1" si="28"/>
        <v>45386.756959285034</v>
      </c>
      <c r="S86">
        <f t="shared" ca="1" si="42"/>
        <v>26366</v>
      </c>
      <c r="T86">
        <f t="shared" ca="1" si="24"/>
        <v>13422.567314766924</v>
      </c>
      <c r="U86">
        <f t="shared" ca="1" si="25"/>
        <v>8007.8094644372632</v>
      </c>
      <c r="V86">
        <f t="shared" ca="1" si="26"/>
        <v>168358.56642372231</v>
      </c>
      <c r="W86">
        <f t="shared" ca="1" si="27"/>
        <v>88043.046229788102</v>
      </c>
      <c r="Z86" s="4">
        <f t="shared" ca="1" si="43"/>
        <v>0</v>
      </c>
      <c r="AA86">
        <f t="shared" ca="1" si="44"/>
        <v>1</v>
      </c>
      <c r="AC86" s="5"/>
      <c r="AX86" s="10">
        <f ca="1">Table1[[#This Row],[Car Value]]/Table1[[#This Row],[No. of Vehicles]]</f>
        <v>22693.378479642517</v>
      </c>
      <c r="AZ86">
        <f ca="1">IF(Table1[[#This Row],[Debts]]&gt;$BA$3,1,0)</f>
        <v>0</v>
      </c>
      <c r="BC86" s="12">
        <f ca="1">Table1[[#This Row],[Mortage left]]/Table1[[#This Row],[Value of The House]]</f>
        <v>0.41973555995808398</v>
      </c>
      <c r="BD86" s="4">
        <f t="shared" ca="1" si="45"/>
        <v>0</v>
      </c>
      <c r="BE86" s="5"/>
    </row>
    <row r="87" spans="4:57" x14ac:dyDescent="0.3">
      <c r="D87">
        <f t="shared" ca="1" si="29"/>
        <v>1</v>
      </c>
      <c r="E87" t="str">
        <f t="shared" ca="1" si="30"/>
        <v>Male</v>
      </c>
      <c r="F87">
        <f t="shared" ca="1" si="31"/>
        <v>40</v>
      </c>
      <c r="G87">
        <f t="shared" ca="1" si="32"/>
        <v>6</v>
      </c>
      <c r="H87" t="str">
        <f t="shared" ca="1" si="33"/>
        <v>General Work</v>
      </c>
      <c r="I87">
        <f t="shared" ca="1" si="34"/>
        <v>3</v>
      </c>
      <c r="J87" t="str">
        <f t="shared" ca="1" si="35"/>
        <v>University</v>
      </c>
      <c r="K87">
        <f t="shared" ca="1" si="36"/>
        <v>2</v>
      </c>
      <c r="L87">
        <f t="shared" ca="1" si="37"/>
        <v>2</v>
      </c>
      <c r="M87">
        <f t="shared" ca="1" si="38"/>
        <v>25291</v>
      </c>
      <c r="N87">
        <f t="shared" ca="1" si="39"/>
        <v>12</v>
      </c>
      <c r="O87" t="str">
        <f t="shared" ca="1" si="40"/>
        <v>Nova scotia</v>
      </c>
      <c r="P87">
        <f t="shared" ca="1" si="23"/>
        <v>151746</v>
      </c>
      <c r="Q87">
        <f t="shared" ca="1" si="41"/>
        <v>25752.805302986799</v>
      </c>
      <c r="R87">
        <f t="shared" ca="1" si="28"/>
        <v>43839.978654978957</v>
      </c>
      <c r="S87">
        <f t="shared" ca="1" si="42"/>
        <v>41715</v>
      </c>
      <c r="T87">
        <f t="shared" ca="1" si="24"/>
        <v>15481.880683644689</v>
      </c>
      <c r="U87">
        <f t="shared" ca="1" si="25"/>
        <v>6796.2919584951178</v>
      </c>
      <c r="V87">
        <f t="shared" ca="1" si="26"/>
        <v>202382.2706134741</v>
      </c>
      <c r="W87">
        <f t="shared" ca="1" si="27"/>
        <v>82949.685986631492</v>
      </c>
      <c r="Z87" s="4">
        <f t="shared" ca="1" si="43"/>
        <v>1</v>
      </c>
      <c r="AA87">
        <f t="shared" ca="1" si="44"/>
        <v>0</v>
      </c>
      <c r="AC87" s="5"/>
      <c r="AX87" s="10">
        <f ca="1">Table1[[#This Row],[Car Value]]/Table1[[#This Row],[No. of Vehicles]]</f>
        <v>21919.989327489478</v>
      </c>
      <c r="AZ87">
        <f ca="1">IF(Table1[[#This Row],[Debts]]&gt;$BA$3,1,0)</f>
        <v>0</v>
      </c>
      <c r="BC87" s="12">
        <f ca="1">Table1[[#This Row],[Mortage left]]/Table1[[#This Row],[Value of The House]]</f>
        <v>0.16970994492762115</v>
      </c>
      <c r="BD87" s="4">
        <f t="shared" ca="1" si="45"/>
        <v>1</v>
      </c>
      <c r="BE87" s="5"/>
    </row>
    <row r="88" spans="4:57" x14ac:dyDescent="0.3">
      <c r="D88">
        <f t="shared" ca="1" si="29"/>
        <v>1</v>
      </c>
      <c r="E88" t="str">
        <f t="shared" ca="1" si="30"/>
        <v>Male</v>
      </c>
      <c r="F88">
        <f t="shared" ca="1" si="31"/>
        <v>40</v>
      </c>
      <c r="G88">
        <f t="shared" ca="1" si="32"/>
        <v>2</v>
      </c>
      <c r="H88" t="str">
        <f t="shared" ca="1" si="33"/>
        <v>Construction</v>
      </c>
      <c r="I88">
        <f t="shared" ca="1" si="34"/>
        <v>5</v>
      </c>
      <c r="J88" t="str">
        <f t="shared" ca="1" si="35"/>
        <v>Other</v>
      </c>
      <c r="K88">
        <f t="shared" ca="1" si="36"/>
        <v>2</v>
      </c>
      <c r="L88">
        <f t="shared" ca="1" si="37"/>
        <v>1</v>
      </c>
      <c r="M88">
        <f t="shared" ca="1" si="38"/>
        <v>27222</v>
      </c>
      <c r="N88">
        <f t="shared" ca="1" si="39"/>
        <v>8</v>
      </c>
      <c r="O88" t="str">
        <f t="shared" ca="1" si="40"/>
        <v>Ontario</v>
      </c>
      <c r="P88">
        <f t="shared" ca="1" si="23"/>
        <v>108888</v>
      </c>
      <c r="Q88">
        <f t="shared" ca="1" si="41"/>
        <v>82725.520135259547</v>
      </c>
      <c r="R88">
        <f t="shared" ca="1" si="28"/>
        <v>20625.924794561219</v>
      </c>
      <c r="S88">
        <f t="shared" ca="1" si="42"/>
        <v>4235</v>
      </c>
      <c r="T88">
        <f t="shared" ca="1" si="24"/>
        <v>44304.801304741181</v>
      </c>
      <c r="U88">
        <f t="shared" ca="1" si="25"/>
        <v>5660.1581859587832</v>
      </c>
      <c r="V88">
        <f t="shared" ca="1" si="26"/>
        <v>135174.08298052</v>
      </c>
      <c r="W88">
        <f t="shared" ca="1" si="27"/>
        <v>131265.32144000073</v>
      </c>
      <c r="Z88" s="4">
        <f t="shared" ca="1" si="43"/>
        <v>1</v>
      </c>
      <c r="AA88">
        <f t="shared" ca="1" si="44"/>
        <v>0</v>
      </c>
      <c r="AC88" s="5"/>
      <c r="AX88" s="10">
        <f ca="1">Table1[[#This Row],[Car Value]]/Table1[[#This Row],[No. of Vehicles]]</f>
        <v>20625.924794561219</v>
      </c>
      <c r="AZ88">
        <f ca="1">IF(Table1[[#This Row],[Debts]]&gt;$BA$3,1,0)</f>
        <v>1</v>
      </c>
      <c r="BC88" s="12">
        <f ca="1">Table1[[#This Row],[Mortage left]]/Table1[[#This Row],[Value of The House]]</f>
        <v>0.7597303663880276</v>
      </c>
      <c r="BD88" s="4">
        <f t="shared" ca="1" si="45"/>
        <v>0</v>
      </c>
      <c r="BE88" s="5"/>
    </row>
    <row r="89" spans="4:57" x14ac:dyDescent="0.3">
      <c r="D89">
        <f t="shared" ca="1" si="29"/>
        <v>1</v>
      </c>
      <c r="E89" t="str">
        <f t="shared" ca="1" si="30"/>
        <v>Male</v>
      </c>
      <c r="F89">
        <f t="shared" ca="1" si="31"/>
        <v>38</v>
      </c>
      <c r="G89">
        <f t="shared" ca="1" si="32"/>
        <v>6</v>
      </c>
      <c r="H89" t="str">
        <f t="shared" ca="1" si="33"/>
        <v>General Work</v>
      </c>
      <c r="I89">
        <f t="shared" ca="1" si="34"/>
        <v>5</v>
      </c>
      <c r="J89" t="str">
        <f t="shared" ca="1" si="35"/>
        <v>Other</v>
      </c>
      <c r="K89">
        <f t="shared" ca="1" si="36"/>
        <v>0</v>
      </c>
      <c r="L89">
        <f t="shared" ca="1" si="37"/>
        <v>2</v>
      </c>
      <c r="M89">
        <f t="shared" ca="1" si="38"/>
        <v>61744</v>
      </c>
      <c r="N89">
        <f t="shared" ca="1" si="39"/>
        <v>13</v>
      </c>
      <c r="O89" t="str">
        <f t="shared" ca="1" si="40"/>
        <v>Prince Edward Islnd</v>
      </c>
      <c r="P89">
        <f t="shared" ca="1" si="23"/>
        <v>308720</v>
      </c>
      <c r="Q89">
        <f t="shared" ca="1" si="41"/>
        <v>2458.0827706816522</v>
      </c>
      <c r="R89">
        <f t="shared" ca="1" si="28"/>
        <v>31958.926734564986</v>
      </c>
      <c r="S89">
        <f t="shared" ca="1" si="42"/>
        <v>5990</v>
      </c>
      <c r="T89">
        <f t="shared" ca="1" si="24"/>
        <v>107982.17537162406</v>
      </c>
      <c r="U89">
        <f t="shared" ca="1" si="25"/>
        <v>40202.551139918171</v>
      </c>
      <c r="V89">
        <f t="shared" ca="1" si="26"/>
        <v>380881.47787448316</v>
      </c>
      <c r="W89">
        <f t="shared" ca="1" si="27"/>
        <v>116430.25814230571</v>
      </c>
      <c r="Z89" s="4">
        <f t="shared" ca="1" si="43"/>
        <v>1</v>
      </c>
      <c r="AA89">
        <f t="shared" ca="1" si="44"/>
        <v>0</v>
      </c>
      <c r="AC89" s="5"/>
      <c r="AX89" s="10">
        <f ca="1">Table1[[#This Row],[Car Value]]/Table1[[#This Row],[No. of Vehicles]]</f>
        <v>15979.463367282493</v>
      </c>
      <c r="AZ89">
        <f ca="1">IF(Table1[[#This Row],[Debts]]&gt;$BA$3,1,0)</f>
        <v>1</v>
      </c>
      <c r="BC89" s="12">
        <f ca="1">Table1[[#This Row],[Mortage left]]/Table1[[#This Row],[Value of The House]]</f>
        <v>7.9621753390828331E-3</v>
      </c>
      <c r="BD89" s="4">
        <f t="shared" ca="1" si="45"/>
        <v>1</v>
      </c>
      <c r="BE89" s="5"/>
    </row>
    <row r="90" spans="4:57" x14ac:dyDescent="0.3">
      <c r="D90">
        <f t="shared" ca="1" si="29"/>
        <v>1</v>
      </c>
      <c r="E90" t="str">
        <f t="shared" ca="1" si="30"/>
        <v>Male</v>
      </c>
      <c r="F90">
        <f t="shared" ca="1" si="31"/>
        <v>41</v>
      </c>
      <c r="G90">
        <f t="shared" ca="1" si="32"/>
        <v>5</v>
      </c>
      <c r="H90" t="str">
        <f t="shared" ca="1" si="33"/>
        <v>Agriculture</v>
      </c>
      <c r="I90">
        <f t="shared" ca="1" si="34"/>
        <v>2</v>
      </c>
      <c r="J90" t="str">
        <f t="shared" ca="1" si="35"/>
        <v>College</v>
      </c>
      <c r="K90">
        <f t="shared" ca="1" si="36"/>
        <v>1</v>
      </c>
      <c r="L90">
        <f t="shared" ca="1" si="37"/>
        <v>1</v>
      </c>
      <c r="M90">
        <f t="shared" ca="1" si="38"/>
        <v>80504</v>
      </c>
      <c r="N90">
        <f t="shared" ca="1" si="39"/>
        <v>10</v>
      </c>
      <c r="O90" t="str">
        <f t="shared" ca="1" si="40"/>
        <v>Newfouland</v>
      </c>
      <c r="P90">
        <f t="shared" ca="1" si="23"/>
        <v>483024</v>
      </c>
      <c r="Q90">
        <f t="shared" ca="1" si="41"/>
        <v>473701.32740931277</v>
      </c>
      <c r="R90">
        <f t="shared" ca="1" si="28"/>
        <v>21080.678925672386</v>
      </c>
      <c r="S90">
        <f t="shared" ca="1" si="42"/>
        <v>5476</v>
      </c>
      <c r="T90">
        <f t="shared" ca="1" si="24"/>
        <v>143545.36291793163</v>
      </c>
      <c r="U90">
        <f t="shared" ca="1" si="25"/>
        <v>102029.61775462069</v>
      </c>
      <c r="V90">
        <f t="shared" ca="1" si="26"/>
        <v>606134.29668029305</v>
      </c>
      <c r="W90">
        <f t="shared" ca="1" si="27"/>
        <v>622722.69032724435</v>
      </c>
      <c r="Z90" s="4">
        <f t="shared" ca="1" si="43"/>
        <v>1</v>
      </c>
      <c r="AA90">
        <f t="shared" ca="1" si="44"/>
        <v>0</v>
      </c>
      <c r="AC90" s="5"/>
      <c r="AX90" s="10">
        <f ca="1">Table1[[#This Row],[Car Value]]/Table1[[#This Row],[No. of Vehicles]]</f>
        <v>21080.678925672386</v>
      </c>
      <c r="AZ90">
        <f ca="1">IF(Table1[[#This Row],[Debts]]&gt;$BA$3,1,0)</f>
        <v>1</v>
      </c>
      <c r="BC90" s="12">
        <f ca="1">Table1[[#This Row],[Mortage left]]/Table1[[#This Row],[Value of The House]]</f>
        <v>0.98069935947139841</v>
      </c>
      <c r="BD90" s="4">
        <f t="shared" ca="1" si="45"/>
        <v>0</v>
      </c>
      <c r="BE90" s="5"/>
    </row>
    <row r="91" spans="4:57" x14ac:dyDescent="0.3">
      <c r="D91">
        <f t="shared" ca="1" si="29"/>
        <v>2</v>
      </c>
      <c r="E91" t="str">
        <f t="shared" ca="1" si="30"/>
        <v>Female</v>
      </c>
      <c r="F91">
        <f t="shared" ca="1" si="31"/>
        <v>28</v>
      </c>
      <c r="G91">
        <f t="shared" ca="1" si="32"/>
        <v>5</v>
      </c>
      <c r="H91" t="str">
        <f t="shared" ca="1" si="33"/>
        <v>Agriculture</v>
      </c>
      <c r="I91">
        <f t="shared" ca="1" si="34"/>
        <v>1</v>
      </c>
      <c r="J91" t="str">
        <f t="shared" ca="1" si="35"/>
        <v>High School</v>
      </c>
      <c r="K91">
        <f t="shared" ca="1" si="36"/>
        <v>4</v>
      </c>
      <c r="L91">
        <f t="shared" ca="1" si="37"/>
        <v>1</v>
      </c>
      <c r="M91">
        <f t="shared" ca="1" si="38"/>
        <v>37674</v>
      </c>
      <c r="N91">
        <f t="shared" ca="1" si="39"/>
        <v>13</v>
      </c>
      <c r="O91" t="str">
        <f t="shared" ca="1" si="40"/>
        <v>Prince Edward Islnd</v>
      </c>
      <c r="P91">
        <f t="shared" ca="1" si="23"/>
        <v>226044</v>
      </c>
      <c r="Q91">
        <f t="shared" ca="1" si="41"/>
        <v>212294.62829031824</v>
      </c>
      <c r="R91">
        <f t="shared" ca="1" si="28"/>
        <v>22468.951686844757</v>
      </c>
      <c r="S91">
        <f t="shared" ca="1" si="42"/>
        <v>21009</v>
      </c>
      <c r="T91">
        <f t="shared" ca="1" si="24"/>
        <v>17287.893997802301</v>
      </c>
      <c r="U91">
        <f t="shared" ca="1" si="25"/>
        <v>1504.7985593937547</v>
      </c>
      <c r="V91">
        <f t="shared" ca="1" si="26"/>
        <v>250017.75024623852</v>
      </c>
      <c r="W91">
        <f t="shared" ca="1" si="27"/>
        <v>250591.52228812056</v>
      </c>
      <c r="Z91" s="4">
        <f t="shared" ca="1" si="43"/>
        <v>0</v>
      </c>
      <c r="AA91">
        <f t="shared" ca="1" si="44"/>
        <v>1</v>
      </c>
      <c r="AC91" s="5"/>
      <c r="AX91" s="10">
        <f ca="1">Table1[[#This Row],[Car Value]]/Table1[[#This Row],[No. of Vehicles]]</f>
        <v>22468.951686844757</v>
      </c>
      <c r="AZ91">
        <f ca="1">IF(Table1[[#This Row],[Debts]]&gt;$BA$3,1,0)</f>
        <v>0</v>
      </c>
      <c r="BC91" s="12">
        <f ca="1">Table1[[#This Row],[Mortage left]]/Table1[[#This Row],[Value of The House]]</f>
        <v>0.93917391432782216</v>
      </c>
      <c r="BD91" s="4">
        <f t="shared" ca="1" si="45"/>
        <v>0</v>
      </c>
      <c r="BE91" s="5"/>
    </row>
    <row r="92" spans="4:57" x14ac:dyDescent="0.3">
      <c r="D92">
        <f t="shared" ca="1" si="29"/>
        <v>1</v>
      </c>
      <c r="E92" t="str">
        <f t="shared" ca="1" si="30"/>
        <v>Male</v>
      </c>
      <c r="F92">
        <f t="shared" ca="1" si="31"/>
        <v>38</v>
      </c>
      <c r="G92">
        <f t="shared" ca="1" si="32"/>
        <v>3</v>
      </c>
      <c r="H92" t="str">
        <f t="shared" ca="1" si="33"/>
        <v>Teaching</v>
      </c>
      <c r="I92">
        <f t="shared" ca="1" si="34"/>
        <v>2</v>
      </c>
      <c r="J92" t="str">
        <f t="shared" ca="1" si="35"/>
        <v>College</v>
      </c>
      <c r="K92">
        <f t="shared" ca="1" si="36"/>
        <v>1</v>
      </c>
      <c r="L92">
        <f t="shared" ca="1" si="37"/>
        <v>2</v>
      </c>
      <c r="M92">
        <f t="shared" ca="1" si="38"/>
        <v>83056</v>
      </c>
      <c r="N92">
        <f t="shared" ca="1" si="39"/>
        <v>13</v>
      </c>
      <c r="O92" t="str">
        <f t="shared" ca="1" si="40"/>
        <v>Prince Edward Islnd</v>
      </c>
      <c r="P92">
        <f t="shared" ca="1" si="23"/>
        <v>332224</v>
      </c>
      <c r="Q92">
        <f t="shared" ca="1" si="41"/>
        <v>87569.553182463394</v>
      </c>
      <c r="R92">
        <f t="shared" ca="1" si="28"/>
        <v>155671.00917104536</v>
      </c>
      <c r="S92">
        <f t="shared" ca="1" si="42"/>
        <v>104436</v>
      </c>
      <c r="T92">
        <f t="shared" ca="1" si="24"/>
        <v>29611.42508834428</v>
      </c>
      <c r="U92">
        <f t="shared" ca="1" si="25"/>
        <v>41970.286438088908</v>
      </c>
      <c r="V92">
        <f t="shared" ca="1" si="26"/>
        <v>529865.29560913425</v>
      </c>
      <c r="W92">
        <f t="shared" ca="1" si="27"/>
        <v>221616.97827080768</v>
      </c>
      <c r="Z92" s="4">
        <f t="shared" ca="1" si="43"/>
        <v>1</v>
      </c>
      <c r="AA92">
        <f t="shared" ca="1" si="44"/>
        <v>0</v>
      </c>
      <c r="AC92" s="5"/>
      <c r="AX92" s="10">
        <f ca="1">Table1[[#This Row],[Car Value]]/Table1[[#This Row],[No. of Vehicles]]</f>
        <v>77835.504585522678</v>
      </c>
      <c r="AZ92">
        <f ca="1">IF(Table1[[#This Row],[Debts]]&gt;$BA$3,1,0)</f>
        <v>1</v>
      </c>
      <c r="BC92" s="12">
        <f ca="1">Table1[[#This Row],[Mortage left]]/Table1[[#This Row],[Value of The House]]</f>
        <v>0.2635858733338452</v>
      </c>
      <c r="BD92" s="4">
        <f t="shared" ca="1" si="45"/>
        <v>0</v>
      </c>
      <c r="BE92" s="5"/>
    </row>
    <row r="93" spans="4:57" x14ac:dyDescent="0.3">
      <c r="D93">
        <f t="shared" ca="1" si="29"/>
        <v>2</v>
      </c>
      <c r="E93" t="str">
        <f t="shared" ca="1" si="30"/>
        <v>Female</v>
      </c>
      <c r="F93">
        <f t="shared" ca="1" si="31"/>
        <v>45</v>
      </c>
      <c r="G93">
        <f t="shared" ca="1" si="32"/>
        <v>2</v>
      </c>
      <c r="H93" t="str">
        <f t="shared" ca="1" si="33"/>
        <v>Construction</v>
      </c>
      <c r="I93">
        <f t="shared" ca="1" si="34"/>
        <v>4</v>
      </c>
      <c r="J93" t="str">
        <f t="shared" ca="1" si="35"/>
        <v>Technical</v>
      </c>
      <c r="K93">
        <f t="shared" ca="1" si="36"/>
        <v>3</v>
      </c>
      <c r="L93">
        <f t="shared" ca="1" si="37"/>
        <v>2</v>
      </c>
      <c r="M93">
        <f t="shared" ca="1" si="38"/>
        <v>35575</v>
      </c>
      <c r="N93">
        <f t="shared" ca="1" si="39"/>
        <v>11</v>
      </c>
      <c r="O93" t="str">
        <f t="shared" ca="1" si="40"/>
        <v>New bruncwick</v>
      </c>
      <c r="P93">
        <f t="shared" ca="1" si="23"/>
        <v>177875</v>
      </c>
      <c r="Q93">
        <f t="shared" ca="1" si="41"/>
        <v>163433.33336375168</v>
      </c>
      <c r="R93">
        <f t="shared" ca="1" si="28"/>
        <v>50697.772023839891</v>
      </c>
      <c r="S93">
        <f t="shared" ca="1" si="42"/>
        <v>6322</v>
      </c>
      <c r="T93">
        <f t="shared" ca="1" si="24"/>
        <v>51617.432002395966</v>
      </c>
      <c r="U93">
        <f t="shared" ca="1" si="25"/>
        <v>40665.754741460303</v>
      </c>
      <c r="V93">
        <f t="shared" ca="1" si="26"/>
        <v>269238.52676530019</v>
      </c>
      <c r="W93">
        <f t="shared" ca="1" si="27"/>
        <v>221372.76536614765</v>
      </c>
      <c r="Z93" s="4">
        <f t="shared" ca="1" si="43"/>
        <v>0</v>
      </c>
      <c r="AA93">
        <f t="shared" ca="1" si="44"/>
        <v>1</v>
      </c>
      <c r="AC93" s="5"/>
      <c r="AX93" s="10">
        <f ca="1">Table1[[#This Row],[Car Value]]/Table1[[#This Row],[No. of Vehicles]]</f>
        <v>25348.886011919945</v>
      </c>
      <c r="AZ93">
        <f ca="1">IF(Table1[[#This Row],[Debts]]&gt;$BA$3,1,0)</f>
        <v>1</v>
      </c>
      <c r="BC93" s="12">
        <f ca="1">Table1[[#This Row],[Mortage left]]/Table1[[#This Row],[Value of The House]]</f>
        <v>0.9188100259381683</v>
      </c>
      <c r="BD93" s="4">
        <f t="shared" ca="1" si="45"/>
        <v>0</v>
      </c>
      <c r="BE93" s="5"/>
    </row>
    <row r="94" spans="4:57" x14ac:dyDescent="0.3">
      <c r="D94">
        <f t="shared" ca="1" si="29"/>
        <v>2</v>
      </c>
      <c r="E94" t="str">
        <f t="shared" ca="1" si="30"/>
        <v>Female</v>
      </c>
      <c r="F94">
        <f t="shared" ca="1" si="31"/>
        <v>37</v>
      </c>
      <c r="G94">
        <f t="shared" ca="1" si="32"/>
        <v>6</v>
      </c>
      <c r="H94" t="str">
        <f t="shared" ca="1" si="33"/>
        <v>General Work</v>
      </c>
      <c r="I94">
        <f t="shared" ca="1" si="34"/>
        <v>1</v>
      </c>
      <c r="J94" t="str">
        <f t="shared" ca="1" si="35"/>
        <v>High School</v>
      </c>
      <c r="K94">
        <f t="shared" ca="1" si="36"/>
        <v>4</v>
      </c>
      <c r="L94">
        <f t="shared" ca="1" si="37"/>
        <v>1</v>
      </c>
      <c r="M94">
        <f t="shared" ca="1" si="38"/>
        <v>52918</v>
      </c>
      <c r="N94">
        <f t="shared" ca="1" si="39"/>
        <v>11</v>
      </c>
      <c r="O94" t="str">
        <f t="shared" ca="1" si="40"/>
        <v>New bruncwick</v>
      </c>
      <c r="P94">
        <f t="shared" ca="1" si="23"/>
        <v>317508</v>
      </c>
      <c r="Q94">
        <f t="shared" ca="1" si="41"/>
        <v>159241.61157743557</v>
      </c>
      <c r="R94">
        <f t="shared" ca="1" si="28"/>
        <v>42834.72847282458</v>
      </c>
      <c r="S94">
        <f t="shared" ca="1" si="42"/>
        <v>15790</v>
      </c>
      <c r="T94">
        <f t="shared" ca="1" si="24"/>
        <v>72697.574010174445</v>
      </c>
      <c r="U94">
        <f t="shared" ca="1" si="25"/>
        <v>23534.106029212449</v>
      </c>
      <c r="V94">
        <f t="shared" ca="1" si="26"/>
        <v>383876.83450203703</v>
      </c>
      <c r="W94">
        <f t="shared" ca="1" si="27"/>
        <v>247729.18558761</v>
      </c>
      <c r="Z94" s="4">
        <f t="shared" ca="1" si="43"/>
        <v>0</v>
      </c>
      <c r="AA94">
        <f t="shared" ca="1" si="44"/>
        <v>1</v>
      </c>
      <c r="AC94" s="5"/>
      <c r="AX94" s="10">
        <f ca="1">Table1[[#This Row],[Car Value]]/Table1[[#This Row],[No. of Vehicles]]</f>
        <v>42834.72847282458</v>
      </c>
      <c r="AZ94">
        <f ca="1">IF(Table1[[#This Row],[Debts]]&gt;$BA$3,1,0)</f>
        <v>1</v>
      </c>
      <c r="BC94" s="12">
        <f ca="1">Table1[[#This Row],[Mortage left]]/Table1[[#This Row],[Value of The House]]</f>
        <v>0.5015357457999029</v>
      </c>
      <c r="BD94" s="4">
        <f t="shared" ca="1" si="45"/>
        <v>0</v>
      </c>
      <c r="BE94" s="5"/>
    </row>
    <row r="95" spans="4:57" x14ac:dyDescent="0.3">
      <c r="D95">
        <f t="shared" ca="1" si="29"/>
        <v>1</v>
      </c>
      <c r="E95" t="str">
        <f t="shared" ca="1" si="30"/>
        <v>Male</v>
      </c>
      <c r="F95">
        <f t="shared" ca="1" si="31"/>
        <v>40</v>
      </c>
      <c r="G95">
        <f t="shared" ca="1" si="32"/>
        <v>3</v>
      </c>
      <c r="H95" t="str">
        <f t="shared" ca="1" si="33"/>
        <v>Teaching</v>
      </c>
      <c r="I95">
        <f t="shared" ca="1" si="34"/>
        <v>5</v>
      </c>
      <c r="J95" t="str">
        <f t="shared" ca="1" si="35"/>
        <v>Other</v>
      </c>
      <c r="K95">
        <f t="shared" ca="1" si="36"/>
        <v>4</v>
      </c>
      <c r="L95">
        <f t="shared" ca="1" si="37"/>
        <v>2</v>
      </c>
      <c r="M95">
        <f t="shared" ca="1" si="38"/>
        <v>68682</v>
      </c>
      <c r="N95">
        <f t="shared" ca="1" si="39"/>
        <v>10</v>
      </c>
      <c r="O95" t="str">
        <f t="shared" ca="1" si="40"/>
        <v>Newfouland</v>
      </c>
      <c r="P95">
        <f t="shared" ca="1" si="23"/>
        <v>412092</v>
      </c>
      <c r="Q95">
        <f t="shared" ca="1" si="41"/>
        <v>262549.74040907709</v>
      </c>
      <c r="R95">
        <f t="shared" ca="1" si="28"/>
        <v>80895.151103339682</v>
      </c>
      <c r="S95">
        <f t="shared" ca="1" si="42"/>
        <v>62461</v>
      </c>
      <c r="T95">
        <f t="shared" ca="1" si="24"/>
        <v>62248.959588087928</v>
      </c>
      <c r="U95">
        <f t="shared" ca="1" si="25"/>
        <v>22769.394428396659</v>
      </c>
      <c r="V95">
        <f t="shared" ca="1" si="26"/>
        <v>515756.54553173634</v>
      </c>
      <c r="W95">
        <f t="shared" ca="1" si="27"/>
        <v>387259.69999716501</v>
      </c>
      <c r="Z95" s="4">
        <f t="shared" ca="1" si="43"/>
        <v>1</v>
      </c>
      <c r="AA95">
        <f t="shared" ca="1" si="44"/>
        <v>0</v>
      </c>
      <c r="AC95" s="5"/>
      <c r="AX95" s="10">
        <f ca="1">Table1[[#This Row],[Car Value]]/Table1[[#This Row],[No. of Vehicles]]</f>
        <v>40447.575551669841</v>
      </c>
      <c r="AZ95">
        <f ca="1">IF(Table1[[#This Row],[Debts]]&gt;$BA$3,1,0)</f>
        <v>1</v>
      </c>
      <c r="BC95" s="12">
        <f ca="1">Table1[[#This Row],[Mortage left]]/Table1[[#This Row],[Value of The House]]</f>
        <v>0.63711438321801217</v>
      </c>
      <c r="BD95" s="4">
        <f t="shared" ca="1" si="45"/>
        <v>0</v>
      </c>
      <c r="BE95" s="5"/>
    </row>
    <row r="96" spans="4:57" x14ac:dyDescent="0.3">
      <c r="D96">
        <f t="shared" ca="1" si="29"/>
        <v>2</v>
      </c>
      <c r="E96" t="str">
        <f t="shared" ca="1" si="30"/>
        <v>Female</v>
      </c>
      <c r="F96">
        <f t="shared" ca="1" si="31"/>
        <v>30</v>
      </c>
      <c r="G96">
        <f t="shared" ca="1" si="32"/>
        <v>4</v>
      </c>
      <c r="H96" t="str">
        <f t="shared" ca="1" si="33"/>
        <v>IT</v>
      </c>
      <c r="I96">
        <f t="shared" ca="1" si="34"/>
        <v>4</v>
      </c>
      <c r="J96" t="str">
        <f t="shared" ca="1" si="35"/>
        <v>Technical</v>
      </c>
      <c r="K96">
        <f t="shared" ca="1" si="36"/>
        <v>2</v>
      </c>
      <c r="L96">
        <f t="shared" ca="1" si="37"/>
        <v>1</v>
      </c>
      <c r="M96">
        <f t="shared" ca="1" si="38"/>
        <v>60579</v>
      </c>
      <c r="N96">
        <f t="shared" ca="1" si="39"/>
        <v>10</v>
      </c>
      <c r="O96" t="str">
        <f t="shared" ca="1" si="40"/>
        <v>Newfouland</v>
      </c>
      <c r="P96">
        <f t="shared" ca="1" si="23"/>
        <v>302895</v>
      </c>
      <c r="Q96">
        <f t="shared" ca="1" si="41"/>
        <v>289966.60616714734</v>
      </c>
      <c r="R96">
        <f t="shared" ca="1" si="28"/>
        <v>30669.285567767689</v>
      </c>
      <c r="S96">
        <f t="shared" ca="1" si="42"/>
        <v>26230</v>
      </c>
      <c r="T96">
        <f t="shared" ca="1" si="24"/>
        <v>49808.844509963703</v>
      </c>
      <c r="U96">
        <f t="shared" ca="1" si="25"/>
        <v>13031.61610996741</v>
      </c>
      <c r="V96">
        <f t="shared" ca="1" si="26"/>
        <v>346595.90167773509</v>
      </c>
      <c r="W96">
        <f t="shared" ca="1" si="27"/>
        <v>366005.45067711105</v>
      </c>
      <c r="Z96" s="4">
        <f t="shared" ca="1" si="43"/>
        <v>0</v>
      </c>
      <c r="AA96">
        <f t="shared" ca="1" si="44"/>
        <v>1</v>
      </c>
      <c r="AC96" s="5"/>
      <c r="AX96" s="10">
        <f ca="1">Table1[[#This Row],[Car Value]]/Table1[[#This Row],[No. of Vehicles]]</f>
        <v>30669.285567767689</v>
      </c>
      <c r="AZ96">
        <f ca="1">IF(Table1[[#This Row],[Debts]]&gt;$BA$3,1,0)</f>
        <v>1</v>
      </c>
      <c r="BC96" s="12">
        <f ca="1">Table1[[#This Row],[Mortage left]]/Table1[[#This Row],[Value of The House]]</f>
        <v>0.95731724250036265</v>
      </c>
      <c r="BD96" s="4">
        <f t="shared" ca="1" si="45"/>
        <v>0</v>
      </c>
      <c r="BE96" s="5"/>
    </row>
    <row r="97" spans="4:57" x14ac:dyDescent="0.3">
      <c r="D97">
        <f t="shared" ca="1" si="29"/>
        <v>2</v>
      </c>
      <c r="E97" t="str">
        <f t="shared" ca="1" si="30"/>
        <v>Female</v>
      </c>
      <c r="F97">
        <f t="shared" ca="1" si="31"/>
        <v>45</v>
      </c>
      <c r="G97">
        <f t="shared" ca="1" si="32"/>
        <v>6</v>
      </c>
      <c r="H97" t="str">
        <f t="shared" ca="1" si="33"/>
        <v>General Work</v>
      </c>
      <c r="I97">
        <f t="shared" ca="1" si="34"/>
        <v>2</v>
      </c>
      <c r="J97" t="str">
        <f t="shared" ca="1" si="35"/>
        <v>College</v>
      </c>
      <c r="K97">
        <f t="shared" ca="1" si="36"/>
        <v>2</v>
      </c>
      <c r="L97">
        <f t="shared" ca="1" si="37"/>
        <v>2</v>
      </c>
      <c r="M97">
        <f t="shared" ca="1" si="38"/>
        <v>35387</v>
      </c>
      <c r="N97">
        <f t="shared" ca="1" si="39"/>
        <v>12</v>
      </c>
      <c r="O97" t="str">
        <f t="shared" ca="1" si="40"/>
        <v>Nova scotia</v>
      </c>
      <c r="P97">
        <f t="shared" ca="1" si="23"/>
        <v>176935</v>
      </c>
      <c r="Q97">
        <f t="shared" ca="1" si="41"/>
        <v>61022.393715710692</v>
      </c>
      <c r="R97">
        <f t="shared" ca="1" si="28"/>
        <v>1320.6753063751123</v>
      </c>
      <c r="S97">
        <f t="shared" ca="1" si="42"/>
        <v>542</v>
      </c>
      <c r="T97">
        <f t="shared" ca="1" si="24"/>
        <v>39542.209136804653</v>
      </c>
      <c r="U97">
        <f t="shared" ca="1" si="25"/>
        <v>10869.523678109055</v>
      </c>
      <c r="V97">
        <f t="shared" ca="1" si="26"/>
        <v>189125.19898448416</v>
      </c>
      <c r="W97">
        <f t="shared" ca="1" si="27"/>
        <v>101106.60285251535</v>
      </c>
      <c r="Z97" s="4">
        <f t="shared" ca="1" si="43"/>
        <v>0</v>
      </c>
      <c r="AA97">
        <f t="shared" ca="1" si="44"/>
        <v>1</v>
      </c>
      <c r="AC97" s="5"/>
      <c r="AX97" s="10">
        <f ca="1">Table1[[#This Row],[Car Value]]/Table1[[#This Row],[No. of Vehicles]]</f>
        <v>660.33765318755616</v>
      </c>
      <c r="AZ97">
        <f ca="1">IF(Table1[[#This Row],[Debts]]&gt;$BA$3,1,0)</f>
        <v>1</v>
      </c>
      <c r="BC97" s="12">
        <f ca="1">Table1[[#This Row],[Mortage left]]/Table1[[#This Row],[Value of The House]]</f>
        <v>0.34488593955809022</v>
      </c>
      <c r="BD97" s="4">
        <f t="shared" ca="1" si="45"/>
        <v>0</v>
      </c>
      <c r="BE97" s="5"/>
    </row>
    <row r="98" spans="4:57" x14ac:dyDescent="0.3">
      <c r="D98">
        <f t="shared" ca="1" si="29"/>
        <v>2</v>
      </c>
      <c r="E98" t="str">
        <f t="shared" ca="1" si="30"/>
        <v>Female</v>
      </c>
      <c r="F98">
        <f t="shared" ca="1" si="31"/>
        <v>33</v>
      </c>
      <c r="G98">
        <f t="shared" ca="1" si="32"/>
        <v>6</v>
      </c>
      <c r="H98" t="str">
        <f t="shared" ca="1" si="33"/>
        <v>General Work</v>
      </c>
      <c r="I98">
        <f t="shared" ca="1" si="34"/>
        <v>5</v>
      </c>
      <c r="J98" t="str">
        <f t="shared" ca="1" si="35"/>
        <v>Other</v>
      </c>
      <c r="K98">
        <f t="shared" ca="1" si="36"/>
        <v>3</v>
      </c>
      <c r="L98">
        <f t="shared" ca="1" si="37"/>
        <v>2</v>
      </c>
      <c r="M98">
        <f t="shared" ca="1" si="38"/>
        <v>49549</v>
      </c>
      <c r="N98">
        <f t="shared" ca="1" si="39"/>
        <v>6</v>
      </c>
      <c r="O98" t="str">
        <f t="shared" ca="1" si="40"/>
        <v>Saskatchewan</v>
      </c>
      <c r="P98">
        <f t="shared" ca="1" si="23"/>
        <v>198196</v>
      </c>
      <c r="Q98">
        <f t="shared" ca="1" si="41"/>
        <v>48229.032524285751</v>
      </c>
      <c r="R98">
        <f t="shared" ca="1" si="28"/>
        <v>36971.539160833054</v>
      </c>
      <c r="S98">
        <f t="shared" ca="1" si="42"/>
        <v>9645</v>
      </c>
      <c r="T98">
        <f t="shared" ca="1" si="24"/>
        <v>62720.059396133714</v>
      </c>
      <c r="U98">
        <f t="shared" ca="1" si="25"/>
        <v>22095.998566087896</v>
      </c>
      <c r="V98">
        <f t="shared" ca="1" si="26"/>
        <v>257263.53772692094</v>
      </c>
      <c r="W98">
        <f t="shared" ca="1" si="27"/>
        <v>120594.09192041947</v>
      </c>
      <c r="Z98" s="4">
        <f t="shared" ca="1" si="43"/>
        <v>0</v>
      </c>
      <c r="AA98">
        <f t="shared" ca="1" si="44"/>
        <v>1</v>
      </c>
      <c r="AC98" s="5"/>
      <c r="AX98" s="10">
        <f ca="1">Table1[[#This Row],[Car Value]]/Table1[[#This Row],[No. of Vehicles]]</f>
        <v>18485.769580416527</v>
      </c>
      <c r="AZ98">
        <f ca="1">IF(Table1[[#This Row],[Debts]]&gt;$BA$3,1,0)</f>
        <v>1</v>
      </c>
      <c r="BC98" s="12">
        <f ca="1">Table1[[#This Row],[Mortage left]]/Table1[[#This Row],[Value of The House]]</f>
        <v>0.24334009023535164</v>
      </c>
      <c r="BD98" s="4">
        <f t="shared" ca="1" si="45"/>
        <v>0</v>
      </c>
      <c r="BE98" s="5"/>
    </row>
    <row r="99" spans="4:57" x14ac:dyDescent="0.3">
      <c r="D99">
        <f t="shared" ca="1" si="29"/>
        <v>2</v>
      </c>
      <c r="E99" t="str">
        <f t="shared" ca="1" si="30"/>
        <v>Female</v>
      </c>
      <c r="F99">
        <f t="shared" ca="1" si="31"/>
        <v>35</v>
      </c>
      <c r="G99">
        <f t="shared" ca="1" si="32"/>
        <v>2</v>
      </c>
      <c r="H99" t="str">
        <f t="shared" ca="1" si="33"/>
        <v>Construction</v>
      </c>
      <c r="I99">
        <f t="shared" ca="1" si="34"/>
        <v>3</v>
      </c>
      <c r="J99" t="str">
        <f t="shared" ca="1" si="35"/>
        <v>University</v>
      </c>
      <c r="K99">
        <f t="shared" ca="1" si="36"/>
        <v>1</v>
      </c>
      <c r="L99">
        <f t="shared" ca="1" si="37"/>
        <v>1</v>
      </c>
      <c r="M99">
        <f t="shared" ca="1" si="38"/>
        <v>63720</v>
      </c>
      <c r="N99">
        <f t="shared" ca="1" si="39"/>
        <v>9</v>
      </c>
      <c r="O99" t="str">
        <f t="shared" ca="1" si="40"/>
        <v>Quebec</v>
      </c>
      <c r="P99">
        <f t="shared" ca="1" si="23"/>
        <v>382320</v>
      </c>
      <c r="Q99">
        <f t="shared" ca="1" si="41"/>
        <v>352656.10189239425</v>
      </c>
      <c r="R99">
        <f t="shared" ca="1" si="28"/>
        <v>15828.649427369779</v>
      </c>
      <c r="S99">
        <f t="shared" ca="1" si="42"/>
        <v>7938</v>
      </c>
      <c r="T99">
        <f t="shared" ca="1" si="24"/>
        <v>89105.742907177162</v>
      </c>
      <c r="U99">
        <f t="shared" ca="1" si="25"/>
        <v>52978.893731074946</v>
      </c>
      <c r="V99">
        <f t="shared" ca="1" si="26"/>
        <v>451127.54315844469</v>
      </c>
      <c r="W99">
        <f t="shared" ca="1" si="27"/>
        <v>449699.84479957144</v>
      </c>
      <c r="Z99" s="4">
        <f t="shared" ca="1" si="43"/>
        <v>0</v>
      </c>
      <c r="AA99">
        <f t="shared" ca="1" si="44"/>
        <v>1</v>
      </c>
      <c r="AC99" s="5"/>
      <c r="AX99" s="10">
        <f ca="1">Table1[[#This Row],[Car Value]]/Table1[[#This Row],[No. of Vehicles]]</f>
        <v>15828.649427369779</v>
      </c>
      <c r="AZ99">
        <f ca="1">IF(Table1[[#This Row],[Debts]]&gt;$BA$3,1,0)</f>
        <v>1</v>
      </c>
      <c r="BC99" s="12">
        <f ca="1">Table1[[#This Row],[Mortage left]]/Table1[[#This Row],[Value of The House]]</f>
        <v>0.92241081265012093</v>
      </c>
      <c r="BD99" s="4">
        <f t="shared" ca="1" si="45"/>
        <v>0</v>
      </c>
      <c r="BE99" s="5"/>
    </row>
    <row r="100" spans="4:57" x14ac:dyDescent="0.3">
      <c r="D100">
        <f t="shared" ca="1" si="29"/>
        <v>2</v>
      </c>
      <c r="E100" t="str">
        <f t="shared" ca="1" si="30"/>
        <v>Female</v>
      </c>
      <c r="F100">
        <f t="shared" ca="1" si="31"/>
        <v>26</v>
      </c>
      <c r="G100">
        <f t="shared" ca="1" si="32"/>
        <v>3</v>
      </c>
      <c r="H100" t="str">
        <f t="shared" ca="1" si="33"/>
        <v>Teaching</v>
      </c>
      <c r="I100">
        <f t="shared" ca="1" si="34"/>
        <v>1</v>
      </c>
      <c r="J100" t="str">
        <f t="shared" ca="1" si="35"/>
        <v>High School</v>
      </c>
      <c r="K100">
        <f t="shared" ca="1" si="36"/>
        <v>0</v>
      </c>
      <c r="L100">
        <f t="shared" ca="1" si="37"/>
        <v>1</v>
      </c>
      <c r="M100">
        <f t="shared" ca="1" si="38"/>
        <v>41984</v>
      </c>
      <c r="N100">
        <f t="shared" ca="1" si="39"/>
        <v>1</v>
      </c>
      <c r="O100" t="str">
        <f t="shared" ca="1" si="40"/>
        <v>Yukon</v>
      </c>
      <c r="P100">
        <f t="shared" ca="1" si="23"/>
        <v>167936</v>
      </c>
      <c r="Q100">
        <f t="shared" ca="1" si="41"/>
        <v>21208.327583615079</v>
      </c>
      <c r="R100">
        <f t="shared" ca="1" si="28"/>
        <v>9372.3944334019488</v>
      </c>
      <c r="S100">
        <f t="shared" ca="1" si="42"/>
        <v>267</v>
      </c>
      <c r="T100">
        <f t="shared" ca="1" si="24"/>
        <v>48153.936163141989</v>
      </c>
      <c r="U100">
        <f t="shared" ca="1" si="25"/>
        <v>33171.618386480724</v>
      </c>
      <c r="V100">
        <f t="shared" ca="1" si="26"/>
        <v>210480.01281988269</v>
      </c>
      <c r="W100">
        <f t="shared" ca="1" si="27"/>
        <v>69629.26374675706</v>
      </c>
      <c r="Z100" s="4">
        <f t="shared" ca="1" si="43"/>
        <v>0</v>
      </c>
      <c r="AA100">
        <f t="shared" ca="1" si="44"/>
        <v>1</v>
      </c>
      <c r="AC100" s="5"/>
      <c r="AX100" s="10">
        <f ca="1">Table1[[#This Row],[Car Value]]/Table1[[#This Row],[No. of Vehicles]]</f>
        <v>9372.3944334019488</v>
      </c>
      <c r="AZ100">
        <f ca="1">IF(Table1[[#This Row],[Debts]]&gt;$BA$3,1,0)</f>
        <v>1</v>
      </c>
      <c r="BC100" s="12">
        <f ca="1">Table1[[#This Row],[Mortage left]]/Table1[[#This Row],[Value of The House]]</f>
        <v>0.12628815491386647</v>
      </c>
      <c r="BD100" s="4">
        <f t="shared" ca="1" si="45"/>
        <v>1</v>
      </c>
      <c r="BE100" s="5"/>
    </row>
    <row r="101" spans="4:57" x14ac:dyDescent="0.3">
      <c r="D101">
        <f t="shared" ca="1" si="29"/>
        <v>2</v>
      </c>
      <c r="E101" t="str">
        <f t="shared" ca="1" si="30"/>
        <v>Female</v>
      </c>
      <c r="F101">
        <f t="shared" ca="1" si="31"/>
        <v>26</v>
      </c>
      <c r="G101">
        <f t="shared" ca="1" si="32"/>
        <v>2</v>
      </c>
      <c r="H101" t="str">
        <f t="shared" ca="1" si="33"/>
        <v>Construction</v>
      </c>
      <c r="I101">
        <f t="shared" ca="1" si="34"/>
        <v>5</v>
      </c>
      <c r="J101" t="str">
        <f t="shared" ca="1" si="35"/>
        <v>Other</v>
      </c>
      <c r="K101">
        <f t="shared" ca="1" si="36"/>
        <v>4</v>
      </c>
      <c r="L101">
        <f t="shared" ca="1" si="37"/>
        <v>1</v>
      </c>
      <c r="M101">
        <f t="shared" ca="1" si="38"/>
        <v>63778</v>
      </c>
      <c r="N101">
        <f t="shared" ca="1" si="39"/>
        <v>10</v>
      </c>
      <c r="O101" t="str">
        <f t="shared" ca="1" si="40"/>
        <v>Newfouland</v>
      </c>
      <c r="P101">
        <f t="shared" ref="P101:P164" ca="1" si="46">M101*RANDBETWEEN(4,6)</f>
        <v>382668</v>
      </c>
      <c r="Q101">
        <f t="shared" ca="1" si="41"/>
        <v>229777.89479975306</v>
      </c>
      <c r="R101">
        <f t="shared" ca="1" si="28"/>
        <v>17771.792951713389</v>
      </c>
      <c r="S101">
        <f t="shared" ca="1" si="42"/>
        <v>4175</v>
      </c>
      <c r="T101">
        <f t="shared" ref="T101:T164" ca="1" si="47">M101*RAND()*2</f>
        <v>72302.113677080299</v>
      </c>
      <c r="U101">
        <f t="shared" ref="U101:U164" ca="1" si="48">RAND()*M101*1.5</f>
        <v>7194.0175218437798</v>
      </c>
      <c r="V101">
        <f t="shared" ref="V101:V164" ca="1" si="49">P101+R101+U101</f>
        <v>407633.81047355715</v>
      </c>
      <c r="W101">
        <f t="shared" ref="W101:W164" ca="1" si="50">Q101+S101+T101</f>
        <v>306255.00847683335</v>
      </c>
      <c r="Z101" s="4">
        <f t="shared" ca="1" si="43"/>
        <v>0</v>
      </c>
      <c r="AA101">
        <f t="shared" ca="1" si="44"/>
        <v>1</v>
      </c>
      <c r="AC101" s="5"/>
      <c r="AX101" s="10">
        <f ca="1">Table1[[#This Row],[Car Value]]/Table1[[#This Row],[No. of Vehicles]]</f>
        <v>17771.792951713389</v>
      </c>
      <c r="AZ101">
        <f ca="1">IF(Table1[[#This Row],[Debts]]&gt;$BA$3,1,0)</f>
        <v>1</v>
      </c>
      <c r="BC101" s="12">
        <f ca="1">Table1[[#This Row],[Mortage left]]/Table1[[#This Row],[Value of The House]]</f>
        <v>0.60046278967604572</v>
      </c>
      <c r="BD101" s="4">
        <f t="shared" ca="1" si="45"/>
        <v>0</v>
      </c>
      <c r="BE101" s="5"/>
    </row>
    <row r="102" spans="4:57" x14ac:dyDescent="0.3">
      <c r="D102">
        <f t="shared" ca="1" si="29"/>
        <v>1</v>
      </c>
      <c r="E102" t="str">
        <f t="shared" ca="1" si="30"/>
        <v>Male</v>
      </c>
      <c r="F102">
        <f t="shared" ca="1" si="31"/>
        <v>33</v>
      </c>
      <c r="G102">
        <f t="shared" ca="1" si="32"/>
        <v>6</v>
      </c>
      <c r="H102" t="str">
        <f t="shared" ca="1" si="33"/>
        <v>General Work</v>
      </c>
      <c r="I102">
        <f t="shared" ca="1" si="34"/>
        <v>4</v>
      </c>
      <c r="J102" t="str">
        <f t="shared" ca="1" si="35"/>
        <v>Technical</v>
      </c>
      <c r="K102">
        <f t="shared" ca="1" si="36"/>
        <v>1</v>
      </c>
      <c r="L102">
        <f t="shared" ca="1" si="37"/>
        <v>2</v>
      </c>
      <c r="M102">
        <f t="shared" ca="1" si="38"/>
        <v>78122</v>
      </c>
      <c r="N102">
        <f t="shared" ca="1" si="39"/>
        <v>9</v>
      </c>
      <c r="O102" t="str">
        <f t="shared" ca="1" si="40"/>
        <v>Quebec</v>
      </c>
      <c r="P102">
        <f t="shared" ca="1" si="46"/>
        <v>312488</v>
      </c>
      <c r="Q102">
        <f t="shared" ca="1" si="41"/>
        <v>195883.26447967259</v>
      </c>
      <c r="R102">
        <f t="shared" ca="1" si="28"/>
        <v>155674.66197313825</v>
      </c>
      <c r="S102">
        <f t="shared" ca="1" si="42"/>
        <v>61377</v>
      </c>
      <c r="T102">
        <f t="shared" ca="1" si="47"/>
        <v>36051.399031361827</v>
      </c>
      <c r="U102">
        <f t="shared" ca="1" si="48"/>
        <v>62125.392259858636</v>
      </c>
      <c r="V102">
        <f t="shared" ca="1" si="49"/>
        <v>530288.05423299689</v>
      </c>
      <c r="W102">
        <f t="shared" ca="1" si="50"/>
        <v>293311.66351103445</v>
      </c>
      <c r="Z102" s="4">
        <f t="shared" ca="1" si="43"/>
        <v>1</v>
      </c>
      <c r="AA102">
        <f t="shared" ca="1" si="44"/>
        <v>0</v>
      </c>
      <c r="AC102" s="5"/>
      <c r="AX102" s="10">
        <f ca="1">Table1[[#This Row],[Car Value]]/Table1[[#This Row],[No. of Vehicles]]</f>
        <v>77837.330986569126</v>
      </c>
      <c r="AZ102">
        <f ca="1">IF(Table1[[#This Row],[Debts]]&gt;$BA$3,1,0)</f>
        <v>1</v>
      </c>
      <c r="BC102" s="12">
        <f ca="1">Table1[[#This Row],[Mortage left]]/Table1[[#This Row],[Value of The House]]</f>
        <v>0.62685051739482023</v>
      </c>
      <c r="BD102" s="4">
        <f t="shared" ca="1" si="45"/>
        <v>0</v>
      </c>
      <c r="BE102" s="5"/>
    </row>
    <row r="103" spans="4:57" x14ac:dyDescent="0.3">
      <c r="D103">
        <f t="shared" ca="1" si="29"/>
        <v>1</v>
      </c>
      <c r="E103" t="str">
        <f t="shared" ca="1" si="30"/>
        <v>Male</v>
      </c>
      <c r="F103">
        <f t="shared" ca="1" si="31"/>
        <v>25</v>
      </c>
      <c r="G103">
        <f t="shared" ca="1" si="32"/>
        <v>4</v>
      </c>
      <c r="H103" t="str">
        <f t="shared" ca="1" si="33"/>
        <v>IT</v>
      </c>
      <c r="I103">
        <f t="shared" ca="1" si="34"/>
        <v>2</v>
      </c>
      <c r="J103" t="str">
        <f t="shared" ca="1" si="35"/>
        <v>College</v>
      </c>
      <c r="K103">
        <f t="shared" ca="1" si="36"/>
        <v>4</v>
      </c>
      <c r="L103">
        <f t="shared" ca="1" si="37"/>
        <v>2</v>
      </c>
      <c r="M103">
        <f t="shared" ca="1" si="38"/>
        <v>58324</v>
      </c>
      <c r="N103">
        <f t="shared" ca="1" si="39"/>
        <v>3</v>
      </c>
      <c r="O103" t="str">
        <f t="shared" ca="1" si="40"/>
        <v>Northwest Ter</v>
      </c>
      <c r="P103">
        <f t="shared" ca="1" si="46"/>
        <v>233296</v>
      </c>
      <c r="Q103">
        <f t="shared" ca="1" si="41"/>
        <v>122126.15161984226</v>
      </c>
      <c r="R103">
        <f t="shared" ca="1" si="28"/>
        <v>45400.111843928637</v>
      </c>
      <c r="S103">
        <f t="shared" ca="1" si="42"/>
        <v>25413</v>
      </c>
      <c r="T103">
        <f t="shared" ca="1" si="47"/>
        <v>38166.012975588405</v>
      </c>
      <c r="U103">
        <f t="shared" ca="1" si="48"/>
        <v>10344.033917530827</v>
      </c>
      <c r="V103">
        <f t="shared" ca="1" si="49"/>
        <v>289040.14576145948</v>
      </c>
      <c r="W103">
        <f t="shared" ca="1" si="50"/>
        <v>185705.16459543069</v>
      </c>
      <c r="Z103" s="4">
        <f t="shared" ca="1" si="43"/>
        <v>1</v>
      </c>
      <c r="AA103">
        <f t="shared" ca="1" si="44"/>
        <v>0</v>
      </c>
      <c r="AC103" s="5"/>
      <c r="AX103" s="10">
        <f ca="1">Table1[[#This Row],[Car Value]]/Table1[[#This Row],[No. of Vehicles]]</f>
        <v>22700.055921964318</v>
      </c>
      <c r="AZ103">
        <f ca="1">IF(Table1[[#This Row],[Debts]]&gt;$BA$3,1,0)</f>
        <v>1</v>
      </c>
      <c r="BC103" s="12">
        <f ca="1">Table1[[#This Row],[Mortage left]]/Table1[[#This Row],[Value of The House]]</f>
        <v>0.52348154970441951</v>
      </c>
      <c r="BD103" s="4">
        <f t="shared" ca="1" si="45"/>
        <v>0</v>
      </c>
      <c r="BE103" s="5"/>
    </row>
    <row r="104" spans="4:57" x14ac:dyDescent="0.3">
      <c r="D104">
        <f t="shared" ca="1" si="29"/>
        <v>2</v>
      </c>
      <c r="E104" t="str">
        <f t="shared" ca="1" si="30"/>
        <v>Female</v>
      </c>
      <c r="F104">
        <f t="shared" ca="1" si="31"/>
        <v>38</v>
      </c>
      <c r="G104">
        <f t="shared" ca="1" si="32"/>
        <v>5</v>
      </c>
      <c r="H104" t="str">
        <f t="shared" ca="1" si="33"/>
        <v>Agriculture</v>
      </c>
      <c r="I104">
        <f t="shared" ca="1" si="34"/>
        <v>2</v>
      </c>
      <c r="J104" t="str">
        <f t="shared" ca="1" si="35"/>
        <v>College</v>
      </c>
      <c r="K104">
        <f t="shared" ca="1" si="36"/>
        <v>2</v>
      </c>
      <c r="L104">
        <f t="shared" ca="1" si="37"/>
        <v>1</v>
      </c>
      <c r="M104">
        <f t="shared" ca="1" si="38"/>
        <v>57586</v>
      </c>
      <c r="N104">
        <f t="shared" ca="1" si="39"/>
        <v>12</v>
      </c>
      <c r="O104" t="str">
        <f t="shared" ca="1" si="40"/>
        <v>Nova scotia</v>
      </c>
      <c r="P104">
        <f t="shared" ca="1" si="46"/>
        <v>287930</v>
      </c>
      <c r="Q104">
        <f t="shared" ca="1" si="41"/>
        <v>44351.050296644542</v>
      </c>
      <c r="R104">
        <f t="shared" ca="1" si="28"/>
        <v>51760.819279719086</v>
      </c>
      <c r="S104">
        <f t="shared" ca="1" si="42"/>
        <v>44487</v>
      </c>
      <c r="T104">
        <f t="shared" ca="1" si="47"/>
        <v>112233.21968253587</v>
      </c>
      <c r="U104">
        <f t="shared" ca="1" si="48"/>
        <v>72730.428394838746</v>
      </c>
      <c r="V104">
        <f t="shared" ca="1" si="49"/>
        <v>412421.24767455785</v>
      </c>
      <c r="W104">
        <f t="shared" ca="1" si="50"/>
        <v>201071.26997918042</v>
      </c>
      <c r="Z104" s="4">
        <f t="shared" ca="1" si="43"/>
        <v>0</v>
      </c>
      <c r="AA104">
        <f t="shared" ca="1" si="44"/>
        <v>1</v>
      </c>
      <c r="AC104" s="5"/>
      <c r="AX104" s="10">
        <f ca="1">Table1[[#This Row],[Car Value]]/Table1[[#This Row],[No. of Vehicles]]</f>
        <v>51760.819279719086</v>
      </c>
      <c r="AZ104">
        <f ca="1">IF(Table1[[#This Row],[Debts]]&gt;$BA$3,1,0)</f>
        <v>1</v>
      </c>
      <c r="BC104" s="12">
        <f ca="1">Table1[[#This Row],[Mortage left]]/Table1[[#This Row],[Value of The House]]</f>
        <v>0.15403414127268622</v>
      </c>
      <c r="BD104" s="4">
        <f t="shared" ca="1" si="45"/>
        <v>1</v>
      </c>
      <c r="BE104" s="5"/>
    </row>
    <row r="105" spans="4:57" x14ac:dyDescent="0.3">
      <c r="D105">
        <f t="shared" ca="1" si="29"/>
        <v>2</v>
      </c>
      <c r="E105" t="str">
        <f t="shared" ca="1" si="30"/>
        <v>Female</v>
      </c>
      <c r="F105">
        <f t="shared" ca="1" si="31"/>
        <v>33</v>
      </c>
      <c r="G105">
        <f t="shared" ca="1" si="32"/>
        <v>1</v>
      </c>
      <c r="H105" t="str">
        <f t="shared" ca="1" si="33"/>
        <v>Health</v>
      </c>
      <c r="I105">
        <f t="shared" ca="1" si="34"/>
        <v>2</v>
      </c>
      <c r="J105" t="str">
        <f t="shared" ca="1" si="35"/>
        <v>College</v>
      </c>
      <c r="K105">
        <f t="shared" ca="1" si="36"/>
        <v>4</v>
      </c>
      <c r="L105">
        <f t="shared" ca="1" si="37"/>
        <v>1</v>
      </c>
      <c r="M105">
        <f t="shared" ca="1" si="38"/>
        <v>48457</v>
      </c>
      <c r="N105">
        <f t="shared" ca="1" si="39"/>
        <v>12</v>
      </c>
      <c r="O105" t="str">
        <f t="shared" ca="1" si="40"/>
        <v>Nova scotia</v>
      </c>
      <c r="P105">
        <f t="shared" ca="1" si="46"/>
        <v>193828</v>
      </c>
      <c r="Q105">
        <f t="shared" ca="1" si="41"/>
        <v>13316.209486292333</v>
      </c>
      <c r="R105">
        <f t="shared" ca="1" si="28"/>
        <v>34623.035340593306</v>
      </c>
      <c r="S105">
        <f t="shared" ca="1" si="42"/>
        <v>4763</v>
      </c>
      <c r="T105">
        <f t="shared" ca="1" si="47"/>
        <v>70544.628933491258</v>
      </c>
      <c r="U105">
        <f t="shared" ca="1" si="48"/>
        <v>18616.450465191287</v>
      </c>
      <c r="V105">
        <f t="shared" ca="1" si="49"/>
        <v>247067.48580578458</v>
      </c>
      <c r="W105">
        <f t="shared" ca="1" si="50"/>
        <v>88623.838419783599</v>
      </c>
      <c r="Z105" s="4">
        <f t="shared" ca="1" si="43"/>
        <v>0</v>
      </c>
      <c r="AA105">
        <f t="shared" ca="1" si="44"/>
        <v>1</v>
      </c>
      <c r="AC105" s="5"/>
      <c r="AX105" s="10">
        <f ca="1">Table1[[#This Row],[Car Value]]/Table1[[#This Row],[No. of Vehicles]]</f>
        <v>34623.035340593306</v>
      </c>
      <c r="AZ105">
        <f ca="1">IF(Table1[[#This Row],[Debts]]&gt;$BA$3,1,0)</f>
        <v>1</v>
      </c>
      <c r="BC105" s="12">
        <f ca="1">Table1[[#This Row],[Mortage left]]/Table1[[#This Row],[Value of The House]]</f>
        <v>6.8701165395568919E-2</v>
      </c>
      <c r="BD105" s="4">
        <f t="shared" ca="1" si="45"/>
        <v>1</v>
      </c>
      <c r="BE105" s="5"/>
    </row>
    <row r="106" spans="4:57" x14ac:dyDescent="0.3">
      <c r="D106">
        <f t="shared" ca="1" si="29"/>
        <v>2</v>
      </c>
      <c r="E106" t="str">
        <f t="shared" ca="1" si="30"/>
        <v>Female</v>
      </c>
      <c r="F106">
        <f t="shared" ca="1" si="31"/>
        <v>38</v>
      </c>
      <c r="G106">
        <f t="shared" ca="1" si="32"/>
        <v>3</v>
      </c>
      <c r="H106" t="str">
        <f t="shared" ca="1" si="33"/>
        <v>Teaching</v>
      </c>
      <c r="I106">
        <f t="shared" ca="1" si="34"/>
        <v>3</v>
      </c>
      <c r="J106" t="str">
        <f t="shared" ca="1" si="35"/>
        <v>University</v>
      </c>
      <c r="K106">
        <f t="shared" ca="1" si="36"/>
        <v>0</v>
      </c>
      <c r="L106">
        <f t="shared" ca="1" si="37"/>
        <v>1</v>
      </c>
      <c r="M106">
        <f t="shared" ca="1" si="38"/>
        <v>78085</v>
      </c>
      <c r="N106">
        <f t="shared" ca="1" si="39"/>
        <v>11</v>
      </c>
      <c r="O106" t="str">
        <f t="shared" ca="1" si="40"/>
        <v>New bruncwick</v>
      </c>
      <c r="P106">
        <f t="shared" ca="1" si="46"/>
        <v>312340</v>
      </c>
      <c r="Q106">
        <f t="shared" ca="1" si="41"/>
        <v>165084.4468101204</v>
      </c>
      <c r="R106">
        <f t="shared" ca="1" si="28"/>
        <v>18397.402962515935</v>
      </c>
      <c r="S106">
        <f t="shared" ca="1" si="42"/>
        <v>6390</v>
      </c>
      <c r="T106">
        <f t="shared" ca="1" si="47"/>
        <v>2652.7137744164484</v>
      </c>
      <c r="U106">
        <f t="shared" ca="1" si="48"/>
        <v>45641.770762125714</v>
      </c>
      <c r="V106">
        <f t="shared" ca="1" si="49"/>
        <v>376379.17372464167</v>
      </c>
      <c r="W106">
        <f t="shared" ca="1" si="50"/>
        <v>174127.16058453685</v>
      </c>
      <c r="Z106" s="4">
        <f t="shared" ca="1" si="43"/>
        <v>0</v>
      </c>
      <c r="AA106">
        <f t="shared" ca="1" si="44"/>
        <v>1</v>
      </c>
      <c r="AC106" s="5"/>
      <c r="AX106" s="10">
        <f ca="1">Table1[[#This Row],[Car Value]]/Table1[[#This Row],[No. of Vehicles]]</f>
        <v>18397.402962515935</v>
      </c>
      <c r="AZ106">
        <f ca="1">IF(Table1[[#This Row],[Debts]]&gt;$BA$3,1,0)</f>
        <v>0</v>
      </c>
      <c r="BC106" s="12">
        <f ca="1">Table1[[#This Row],[Mortage left]]/Table1[[#This Row],[Value of The House]]</f>
        <v>0.5285408427038496</v>
      </c>
      <c r="BD106" s="4">
        <f t="shared" ca="1" si="45"/>
        <v>0</v>
      </c>
      <c r="BE106" s="5"/>
    </row>
    <row r="107" spans="4:57" x14ac:dyDescent="0.3">
      <c r="D107">
        <f t="shared" ca="1" si="29"/>
        <v>2</v>
      </c>
      <c r="E107" t="str">
        <f t="shared" ca="1" si="30"/>
        <v>Female</v>
      </c>
      <c r="F107">
        <f t="shared" ca="1" si="31"/>
        <v>39</v>
      </c>
      <c r="G107">
        <f t="shared" ca="1" si="32"/>
        <v>5</v>
      </c>
      <c r="H107" t="str">
        <f t="shared" ca="1" si="33"/>
        <v>Agriculture</v>
      </c>
      <c r="I107">
        <f t="shared" ca="1" si="34"/>
        <v>3</v>
      </c>
      <c r="J107" t="str">
        <f t="shared" ca="1" si="35"/>
        <v>University</v>
      </c>
      <c r="K107">
        <f t="shared" ca="1" si="36"/>
        <v>0</v>
      </c>
      <c r="L107">
        <f t="shared" ca="1" si="37"/>
        <v>1</v>
      </c>
      <c r="M107">
        <f t="shared" ca="1" si="38"/>
        <v>86799</v>
      </c>
      <c r="N107">
        <f t="shared" ca="1" si="39"/>
        <v>7</v>
      </c>
      <c r="O107" t="str">
        <f t="shared" ca="1" si="40"/>
        <v>Manitoba</v>
      </c>
      <c r="P107">
        <f t="shared" ca="1" si="46"/>
        <v>433995</v>
      </c>
      <c r="Q107">
        <f t="shared" ca="1" si="41"/>
        <v>192418.92381652293</v>
      </c>
      <c r="R107">
        <f t="shared" ca="1" si="28"/>
        <v>76564.957123749162</v>
      </c>
      <c r="S107">
        <f t="shared" ca="1" si="42"/>
        <v>70907</v>
      </c>
      <c r="T107">
        <f t="shared" ca="1" si="47"/>
        <v>66940.543291910319</v>
      </c>
      <c r="U107">
        <f t="shared" ca="1" si="48"/>
        <v>25834.552699928463</v>
      </c>
      <c r="V107">
        <f t="shared" ca="1" si="49"/>
        <v>536394.5098236776</v>
      </c>
      <c r="W107">
        <f t="shared" ca="1" si="50"/>
        <v>330266.46710843325</v>
      </c>
      <c r="Z107" s="4">
        <f t="shared" ca="1" si="43"/>
        <v>0</v>
      </c>
      <c r="AA107">
        <f t="shared" ca="1" si="44"/>
        <v>1</v>
      </c>
      <c r="AC107" s="5"/>
      <c r="AX107" s="10">
        <f ca="1">Table1[[#This Row],[Car Value]]/Table1[[#This Row],[No. of Vehicles]]</f>
        <v>76564.957123749162</v>
      </c>
      <c r="AZ107">
        <f ca="1">IF(Table1[[#This Row],[Debts]]&gt;$BA$3,1,0)</f>
        <v>1</v>
      </c>
      <c r="BC107" s="12">
        <f ca="1">Table1[[#This Row],[Mortage left]]/Table1[[#This Row],[Value of The House]]</f>
        <v>0.44336668352520864</v>
      </c>
      <c r="BD107" s="4">
        <f t="shared" ca="1" si="45"/>
        <v>0</v>
      </c>
      <c r="BE107" s="5"/>
    </row>
    <row r="108" spans="4:57" x14ac:dyDescent="0.3">
      <c r="D108">
        <f t="shared" ca="1" si="29"/>
        <v>2</v>
      </c>
      <c r="E108" t="str">
        <f t="shared" ca="1" si="30"/>
        <v>Female</v>
      </c>
      <c r="F108">
        <f t="shared" ca="1" si="31"/>
        <v>26</v>
      </c>
      <c r="G108">
        <f t="shared" ca="1" si="32"/>
        <v>5</v>
      </c>
      <c r="H108" t="str">
        <f t="shared" ca="1" si="33"/>
        <v>Agriculture</v>
      </c>
      <c r="I108">
        <f t="shared" ca="1" si="34"/>
        <v>3</v>
      </c>
      <c r="J108" t="str">
        <f t="shared" ca="1" si="35"/>
        <v>University</v>
      </c>
      <c r="K108">
        <f t="shared" ca="1" si="36"/>
        <v>1</v>
      </c>
      <c r="L108">
        <f t="shared" ca="1" si="37"/>
        <v>2</v>
      </c>
      <c r="M108">
        <f t="shared" ca="1" si="38"/>
        <v>38690</v>
      </c>
      <c r="N108">
        <f t="shared" ca="1" si="39"/>
        <v>7</v>
      </c>
      <c r="O108" t="str">
        <f t="shared" ca="1" si="40"/>
        <v>Manitoba</v>
      </c>
      <c r="P108">
        <f t="shared" ca="1" si="46"/>
        <v>154760</v>
      </c>
      <c r="Q108">
        <f t="shared" ca="1" si="41"/>
        <v>94162.484861431411</v>
      </c>
      <c r="R108">
        <f t="shared" ca="1" si="28"/>
        <v>5102.6544330937768</v>
      </c>
      <c r="S108">
        <f t="shared" ca="1" si="42"/>
        <v>2084</v>
      </c>
      <c r="T108">
        <f t="shared" ca="1" si="47"/>
        <v>58469.641752807729</v>
      </c>
      <c r="U108">
        <f t="shared" ca="1" si="48"/>
        <v>13706.051217670352</v>
      </c>
      <c r="V108">
        <f t="shared" ca="1" si="49"/>
        <v>173568.70565076414</v>
      </c>
      <c r="W108">
        <f t="shared" ca="1" si="50"/>
        <v>154716.12661423913</v>
      </c>
      <c r="Z108" s="4">
        <f t="shared" ca="1" si="43"/>
        <v>0</v>
      </c>
      <c r="AA108">
        <f t="shared" ca="1" si="44"/>
        <v>1</v>
      </c>
      <c r="AC108" s="5"/>
      <c r="AX108" s="10">
        <f ca="1">Table1[[#This Row],[Car Value]]/Table1[[#This Row],[No. of Vehicles]]</f>
        <v>2551.3272165468884</v>
      </c>
      <c r="AZ108">
        <f ca="1">IF(Table1[[#This Row],[Debts]]&gt;$BA$3,1,0)</f>
        <v>1</v>
      </c>
      <c r="BC108" s="12">
        <f ca="1">Table1[[#This Row],[Mortage left]]/Table1[[#This Row],[Value of The House]]</f>
        <v>0.60844200608317012</v>
      </c>
      <c r="BD108" s="4">
        <f t="shared" ca="1" si="45"/>
        <v>0</v>
      </c>
      <c r="BE108" s="5"/>
    </row>
    <row r="109" spans="4:57" x14ac:dyDescent="0.3">
      <c r="D109">
        <f t="shared" ca="1" si="29"/>
        <v>1</v>
      </c>
      <c r="E109" t="str">
        <f t="shared" ca="1" si="30"/>
        <v>Male</v>
      </c>
      <c r="F109">
        <f t="shared" ca="1" si="31"/>
        <v>32</v>
      </c>
      <c r="G109">
        <f t="shared" ca="1" si="32"/>
        <v>6</v>
      </c>
      <c r="H109" t="str">
        <f t="shared" ca="1" si="33"/>
        <v>General Work</v>
      </c>
      <c r="I109">
        <f t="shared" ca="1" si="34"/>
        <v>5</v>
      </c>
      <c r="J109" t="str">
        <f t="shared" ca="1" si="35"/>
        <v>Other</v>
      </c>
      <c r="K109">
        <f t="shared" ca="1" si="36"/>
        <v>0</v>
      </c>
      <c r="L109">
        <f t="shared" ca="1" si="37"/>
        <v>2</v>
      </c>
      <c r="M109">
        <f t="shared" ca="1" si="38"/>
        <v>59567</v>
      </c>
      <c r="N109">
        <f t="shared" ca="1" si="39"/>
        <v>1</v>
      </c>
      <c r="O109" t="str">
        <f t="shared" ca="1" si="40"/>
        <v>Yukon</v>
      </c>
      <c r="P109">
        <f t="shared" ca="1" si="46"/>
        <v>297835</v>
      </c>
      <c r="Q109">
        <f t="shared" ca="1" si="41"/>
        <v>80945.086911304257</v>
      </c>
      <c r="R109">
        <f t="shared" ca="1" si="28"/>
        <v>37846.827349662723</v>
      </c>
      <c r="S109">
        <f t="shared" ca="1" si="42"/>
        <v>11966</v>
      </c>
      <c r="T109">
        <f t="shared" ca="1" si="47"/>
        <v>24778.314569170187</v>
      </c>
      <c r="U109">
        <f t="shared" ca="1" si="48"/>
        <v>12946.98393774842</v>
      </c>
      <c r="V109">
        <f t="shared" ca="1" si="49"/>
        <v>348628.81128741114</v>
      </c>
      <c r="W109">
        <f t="shared" ca="1" si="50"/>
        <v>117689.40148047445</v>
      </c>
      <c r="Z109" s="4">
        <f t="shared" ca="1" si="43"/>
        <v>1</v>
      </c>
      <c r="AA109">
        <f t="shared" ca="1" si="44"/>
        <v>0</v>
      </c>
      <c r="AC109" s="5"/>
      <c r="AX109" s="10">
        <f ca="1">Table1[[#This Row],[Car Value]]/Table1[[#This Row],[No. of Vehicles]]</f>
        <v>18923.413674831361</v>
      </c>
      <c r="AZ109">
        <f ca="1">IF(Table1[[#This Row],[Debts]]&gt;$BA$3,1,0)</f>
        <v>1</v>
      </c>
      <c r="BC109" s="12">
        <f ca="1">Table1[[#This Row],[Mortage left]]/Table1[[#This Row],[Value of The House]]</f>
        <v>0.27177828969497964</v>
      </c>
      <c r="BD109" s="4">
        <f t="shared" ca="1" si="45"/>
        <v>0</v>
      </c>
      <c r="BE109" s="5"/>
    </row>
    <row r="110" spans="4:57" x14ac:dyDescent="0.3">
      <c r="D110">
        <f t="shared" ca="1" si="29"/>
        <v>2</v>
      </c>
      <c r="E110" t="str">
        <f t="shared" ca="1" si="30"/>
        <v>Female</v>
      </c>
      <c r="F110">
        <f t="shared" ca="1" si="31"/>
        <v>37</v>
      </c>
      <c r="G110">
        <f t="shared" ca="1" si="32"/>
        <v>1</v>
      </c>
      <c r="H110" t="str">
        <f t="shared" ca="1" si="33"/>
        <v>Health</v>
      </c>
      <c r="I110">
        <f t="shared" ca="1" si="34"/>
        <v>5</v>
      </c>
      <c r="J110" t="str">
        <f t="shared" ca="1" si="35"/>
        <v>Other</v>
      </c>
      <c r="K110">
        <f t="shared" ca="1" si="36"/>
        <v>3</v>
      </c>
      <c r="L110">
        <f t="shared" ca="1" si="37"/>
        <v>2</v>
      </c>
      <c r="M110">
        <f t="shared" ca="1" si="38"/>
        <v>82637</v>
      </c>
      <c r="N110">
        <f t="shared" ca="1" si="39"/>
        <v>13</v>
      </c>
      <c r="O110" t="str">
        <f t="shared" ca="1" si="40"/>
        <v>Prince Edward Islnd</v>
      </c>
      <c r="P110">
        <f t="shared" ca="1" si="46"/>
        <v>413185</v>
      </c>
      <c r="Q110">
        <f t="shared" ca="1" si="41"/>
        <v>294573.20964964194</v>
      </c>
      <c r="R110">
        <f t="shared" ca="1" si="28"/>
        <v>76257.887845517485</v>
      </c>
      <c r="S110">
        <f t="shared" ca="1" si="42"/>
        <v>31343</v>
      </c>
      <c r="T110">
        <f t="shared" ca="1" si="47"/>
        <v>127460.57026478827</v>
      </c>
      <c r="U110">
        <f t="shared" ca="1" si="48"/>
        <v>54611.170919235155</v>
      </c>
      <c r="V110">
        <f t="shared" ca="1" si="49"/>
        <v>544054.0587647527</v>
      </c>
      <c r="W110">
        <f t="shared" ca="1" si="50"/>
        <v>453376.77991443023</v>
      </c>
      <c r="Z110" s="4">
        <f t="shared" ca="1" si="43"/>
        <v>0</v>
      </c>
      <c r="AA110">
        <f t="shared" ca="1" si="44"/>
        <v>1</v>
      </c>
      <c r="AC110" s="5"/>
      <c r="AX110" s="10">
        <f ca="1">Table1[[#This Row],[Car Value]]/Table1[[#This Row],[No. of Vehicles]]</f>
        <v>38128.943922758743</v>
      </c>
      <c r="AZ110">
        <f ca="1">IF(Table1[[#This Row],[Debts]]&gt;$BA$3,1,0)</f>
        <v>1</v>
      </c>
      <c r="BC110" s="12">
        <f ca="1">Table1[[#This Row],[Mortage left]]/Table1[[#This Row],[Value of The House]]</f>
        <v>0.7129329710653628</v>
      </c>
      <c r="BD110" s="4">
        <f t="shared" ca="1" si="45"/>
        <v>0</v>
      </c>
      <c r="BE110" s="5"/>
    </row>
    <row r="111" spans="4:57" x14ac:dyDescent="0.3">
      <c r="D111">
        <f t="shared" ca="1" si="29"/>
        <v>2</v>
      </c>
      <c r="E111" t="str">
        <f t="shared" ca="1" si="30"/>
        <v>Female</v>
      </c>
      <c r="F111">
        <f t="shared" ca="1" si="31"/>
        <v>37</v>
      </c>
      <c r="G111">
        <f t="shared" ca="1" si="32"/>
        <v>5</v>
      </c>
      <c r="H111" t="str">
        <f t="shared" ca="1" si="33"/>
        <v>Agriculture</v>
      </c>
      <c r="I111">
        <f t="shared" ca="1" si="34"/>
        <v>5</v>
      </c>
      <c r="J111" t="str">
        <f t="shared" ca="1" si="35"/>
        <v>Other</v>
      </c>
      <c r="K111">
        <f t="shared" ca="1" si="36"/>
        <v>1</v>
      </c>
      <c r="L111">
        <f t="shared" ca="1" si="37"/>
        <v>1</v>
      </c>
      <c r="M111">
        <f t="shared" ca="1" si="38"/>
        <v>54911</v>
      </c>
      <c r="N111">
        <f t="shared" ca="1" si="39"/>
        <v>6</v>
      </c>
      <c r="O111" t="str">
        <f t="shared" ca="1" si="40"/>
        <v>Saskatchewan</v>
      </c>
      <c r="P111">
        <f t="shared" ca="1" si="46"/>
        <v>329466</v>
      </c>
      <c r="Q111">
        <f t="shared" ca="1" si="41"/>
        <v>228332.9566017336</v>
      </c>
      <c r="R111">
        <f t="shared" ca="1" si="28"/>
        <v>19286.877427612359</v>
      </c>
      <c r="S111">
        <f t="shared" ca="1" si="42"/>
        <v>15406</v>
      </c>
      <c r="T111">
        <f t="shared" ca="1" si="47"/>
        <v>10616.78913144638</v>
      </c>
      <c r="U111">
        <f t="shared" ca="1" si="48"/>
        <v>66924.392112057918</v>
      </c>
      <c r="V111">
        <f t="shared" ca="1" si="49"/>
        <v>415677.26953967032</v>
      </c>
      <c r="W111">
        <f t="shared" ca="1" si="50"/>
        <v>254355.74573318</v>
      </c>
      <c r="Z111" s="4">
        <f t="shared" ca="1" si="43"/>
        <v>0</v>
      </c>
      <c r="AA111">
        <f t="shared" ca="1" si="44"/>
        <v>1</v>
      </c>
      <c r="AC111" s="5"/>
      <c r="AX111" s="10">
        <f ca="1">Table1[[#This Row],[Car Value]]/Table1[[#This Row],[No. of Vehicles]]</f>
        <v>19286.877427612359</v>
      </c>
      <c r="AZ111">
        <f ca="1">IF(Table1[[#This Row],[Debts]]&gt;$BA$3,1,0)</f>
        <v>0</v>
      </c>
      <c r="BC111" s="12">
        <f ca="1">Table1[[#This Row],[Mortage left]]/Table1[[#This Row],[Value of The House]]</f>
        <v>0.69303951424952381</v>
      </c>
      <c r="BD111" s="4">
        <f t="shared" ca="1" si="45"/>
        <v>0</v>
      </c>
      <c r="BE111" s="5"/>
    </row>
    <row r="112" spans="4:57" x14ac:dyDescent="0.3">
      <c r="D112">
        <f t="shared" ca="1" si="29"/>
        <v>1</v>
      </c>
      <c r="E112" t="str">
        <f t="shared" ca="1" si="30"/>
        <v>Male</v>
      </c>
      <c r="F112">
        <f t="shared" ca="1" si="31"/>
        <v>40</v>
      </c>
      <c r="G112">
        <f t="shared" ca="1" si="32"/>
        <v>2</v>
      </c>
      <c r="H112" t="str">
        <f t="shared" ca="1" si="33"/>
        <v>Construction</v>
      </c>
      <c r="I112">
        <f t="shared" ca="1" si="34"/>
        <v>3</v>
      </c>
      <c r="J112" t="str">
        <f t="shared" ca="1" si="35"/>
        <v>University</v>
      </c>
      <c r="K112">
        <f t="shared" ca="1" si="36"/>
        <v>0</v>
      </c>
      <c r="L112">
        <f t="shared" ca="1" si="37"/>
        <v>1</v>
      </c>
      <c r="M112">
        <f t="shared" ca="1" si="38"/>
        <v>79523</v>
      </c>
      <c r="N112">
        <f t="shared" ca="1" si="39"/>
        <v>6</v>
      </c>
      <c r="O112" t="str">
        <f t="shared" ca="1" si="40"/>
        <v>Saskatchewan</v>
      </c>
      <c r="P112">
        <f t="shared" ca="1" si="46"/>
        <v>477138</v>
      </c>
      <c r="Q112">
        <f t="shared" ca="1" si="41"/>
        <v>466747.89756834827</v>
      </c>
      <c r="R112">
        <f t="shared" ca="1" si="28"/>
        <v>24872.395519140213</v>
      </c>
      <c r="S112">
        <f t="shared" ca="1" si="42"/>
        <v>20938</v>
      </c>
      <c r="T112">
        <f t="shared" ca="1" si="47"/>
        <v>51260.655884711552</v>
      </c>
      <c r="U112">
        <f t="shared" ca="1" si="48"/>
        <v>16143.7373594276</v>
      </c>
      <c r="V112">
        <f t="shared" ca="1" si="49"/>
        <v>518154.13287856785</v>
      </c>
      <c r="W112">
        <f t="shared" ca="1" si="50"/>
        <v>538946.55345305987</v>
      </c>
      <c r="Z112" s="4">
        <f t="shared" ca="1" si="43"/>
        <v>1</v>
      </c>
      <c r="AA112">
        <f t="shared" ca="1" si="44"/>
        <v>0</v>
      </c>
      <c r="AC112" s="5"/>
      <c r="AX112" s="10">
        <f ca="1">Table1[[#This Row],[Car Value]]/Table1[[#This Row],[No. of Vehicles]]</f>
        <v>24872.395519140213</v>
      </c>
      <c r="AZ112">
        <f ca="1">IF(Table1[[#This Row],[Debts]]&gt;$BA$3,1,0)</f>
        <v>1</v>
      </c>
      <c r="BC112" s="12">
        <f ca="1">Table1[[#This Row],[Mortage left]]/Table1[[#This Row],[Value of The House]]</f>
        <v>0.97822411455039904</v>
      </c>
      <c r="BD112" s="4">
        <f t="shared" ca="1" si="45"/>
        <v>0</v>
      </c>
      <c r="BE112" s="5"/>
    </row>
    <row r="113" spans="4:57" x14ac:dyDescent="0.3">
      <c r="D113">
        <f t="shared" ca="1" si="29"/>
        <v>2</v>
      </c>
      <c r="E113" t="str">
        <f t="shared" ca="1" si="30"/>
        <v>Female</v>
      </c>
      <c r="F113">
        <f t="shared" ca="1" si="31"/>
        <v>35</v>
      </c>
      <c r="G113">
        <f t="shared" ca="1" si="32"/>
        <v>5</v>
      </c>
      <c r="H113" t="str">
        <f t="shared" ca="1" si="33"/>
        <v>Agriculture</v>
      </c>
      <c r="I113">
        <f t="shared" ca="1" si="34"/>
        <v>1</v>
      </c>
      <c r="J113" t="str">
        <f t="shared" ca="1" si="35"/>
        <v>High School</v>
      </c>
      <c r="K113">
        <f t="shared" ca="1" si="36"/>
        <v>1</v>
      </c>
      <c r="L113">
        <f t="shared" ca="1" si="37"/>
        <v>2</v>
      </c>
      <c r="M113">
        <f t="shared" ca="1" si="38"/>
        <v>77024</v>
      </c>
      <c r="N113">
        <f t="shared" ca="1" si="39"/>
        <v>8</v>
      </c>
      <c r="O113" t="str">
        <f t="shared" ca="1" si="40"/>
        <v>Ontario</v>
      </c>
      <c r="P113">
        <f t="shared" ca="1" si="46"/>
        <v>462144</v>
      </c>
      <c r="Q113">
        <f t="shared" ca="1" si="41"/>
        <v>310231.48062053585</v>
      </c>
      <c r="R113">
        <f t="shared" ca="1" si="28"/>
        <v>148354.96200144637</v>
      </c>
      <c r="S113">
        <f t="shared" ca="1" si="42"/>
        <v>18515</v>
      </c>
      <c r="T113">
        <f t="shared" ca="1" si="47"/>
        <v>107094.33965373525</v>
      </c>
      <c r="U113">
        <f t="shared" ca="1" si="48"/>
        <v>92566.632373363478</v>
      </c>
      <c r="V113">
        <f t="shared" ca="1" si="49"/>
        <v>703065.59437480988</v>
      </c>
      <c r="W113">
        <f t="shared" ca="1" si="50"/>
        <v>435840.82027427107</v>
      </c>
      <c r="Z113" s="4">
        <f t="shared" ca="1" si="43"/>
        <v>0</v>
      </c>
      <c r="AA113">
        <f t="shared" ca="1" si="44"/>
        <v>1</v>
      </c>
      <c r="AC113" s="5"/>
      <c r="AX113" s="10">
        <f ca="1">Table1[[#This Row],[Car Value]]/Table1[[#This Row],[No. of Vehicles]]</f>
        <v>74177.481000723186</v>
      </c>
      <c r="AZ113">
        <f ca="1">IF(Table1[[#This Row],[Debts]]&gt;$BA$3,1,0)</f>
        <v>1</v>
      </c>
      <c r="BC113" s="12">
        <f ca="1">Table1[[#This Row],[Mortage left]]/Table1[[#This Row],[Value of The House]]</f>
        <v>0.67128747883892437</v>
      </c>
      <c r="BD113" s="4">
        <f t="shared" ca="1" si="45"/>
        <v>0</v>
      </c>
      <c r="BE113" s="5"/>
    </row>
    <row r="114" spans="4:57" x14ac:dyDescent="0.3">
      <c r="D114">
        <f t="shared" ca="1" si="29"/>
        <v>2</v>
      </c>
      <c r="E114" t="str">
        <f t="shared" ca="1" si="30"/>
        <v>Female</v>
      </c>
      <c r="F114">
        <f t="shared" ca="1" si="31"/>
        <v>33</v>
      </c>
      <c r="G114">
        <f t="shared" ca="1" si="32"/>
        <v>1</v>
      </c>
      <c r="H114" t="str">
        <f t="shared" ca="1" si="33"/>
        <v>Health</v>
      </c>
      <c r="I114">
        <f t="shared" ca="1" si="34"/>
        <v>4</v>
      </c>
      <c r="J114" t="str">
        <f t="shared" ca="1" si="35"/>
        <v>Technical</v>
      </c>
      <c r="K114">
        <f t="shared" ca="1" si="36"/>
        <v>3</v>
      </c>
      <c r="L114">
        <f t="shared" ca="1" si="37"/>
        <v>2</v>
      </c>
      <c r="M114">
        <f t="shared" ca="1" si="38"/>
        <v>80817</v>
      </c>
      <c r="N114">
        <f t="shared" ca="1" si="39"/>
        <v>4</v>
      </c>
      <c r="O114" t="str">
        <f t="shared" ca="1" si="40"/>
        <v>Alberta</v>
      </c>
      <c r="P114">
        <f t="shared" ca="1" si="46"/>
        <v>484902</v>
      </c>
      <c r="Q114">
        <f t="shared" ca="1" si="41"/>
        <v>205451.85163923967</v>
      </c>
      <c r="R114">
        <f t="shared" ca="1" si="28"/>
        <v>48787.338749942959</v>
      </c>
      <c r="S114">
        <f t="shared" ca="1" si="42"/>
        <v>39947</v>
      </c>
      <c r="T114">
        <f t="shared" ca="1" si="47"/>
        <v>130488.33265687217</v>
      </c>
      <c r="U114">
        <f t="shared" ca="1" si="48"/>
        <v>116172.04246808981</v>
      </c>
      <c r="V114">
        <f t="shared" ca="1" si="49"/>
        <v>649861.3812180328</v>
      </c>
      <c r="W114">
        <f t="shared" ca="1" si="50"/>
        <v>375887.18429611181</v>
      </c>
      <c r="Z114" s="4">
        <f t="shared" ca="1" si="43"/>
        <v>0</v>
      </c>
      <c r="AA114">
        <f t="shared" ca="1" si="44"/>
        <v>1</v>
      </c>
      <c r="AC114" s="5"/>
      <c r="AX114" s="10">
        <f ca="1">Table1[[#This Row],[Car Value]]/Table1[[#This Row],[No. of Vehicles]]</f>
        <v>24393.66937497148</v>
      </c>
      <c r="AZ114">
        <f ca="1">IF(Table1[[#This Row],[Debts]]&gt;$BA$3,1,0)</f>
        <v>1</v>
      </c>
      <c r="BC114" s="12">
        <f ca="1">Table1[[#This Row],[Mortage left]]/Table1[[#This Row],[Value of The House]]</f>
        <v>0.4236976783746812</v>
      </c>
      <c r="BD114" s="4">
        <f t="shared" ca="1" si="45"/>
        <v>0</v>
      </c>
      <c r="BE114" s="5"/>
    </row>
    <row r="115" spans="4:57" x14ac:dyDescent="0.3">
      <c r="D115">
        <f t="shared" ca="1" si="29"/>
        <v>2</v>
      </c>
      <c r="E115" t="str">
        <f t="shared" ca="1" si="30"/>
        <v>Female</v>
      </c>
      <c r="F115">
        <f t="shared" ca="1" si="31"/>
        <v>42</v>
      </c>
      <c r="G115">
        <f t="shared" ca="1" si="32"/>
        <v>1</v>
      </c>
      <c r="H115" t="str">
        <f t="shared" ca="1" si="33"/>
        <v>Health</v>
      </c>
      <c r="I115">
        <f t="shared" ca="1" si="34"/>
        <v>5</v>
      </c>
      <c r="J115" t="str">
        <f t="shared" ca="1" si="35"/>
        <v>Other</v>
      </c>
      <c r="K115">
        <f t="shared" ca="1" si="36"/>
        <v>1</v>
      </c>
      <c r="L115">
        <f t="shared" ca="1" si="37"/>
        <v>2</v>
      </c>
      <c r="M115">
        <f t="shared" ca="1" si="38"/>
        <v>30347</v>
      </c>
      <c r="N115">
        <f t="shared" ca="1" si="39"/>
        <v>10</v>
      </c>
      <c r="O115" t="str">
        <f t="shared" ca="1" si="40"/>
        <v>Newfouland</v>
      </c>
      <c r="P115">
        <f t="shared" ca="1" si="46"/>
        <v>121388</v>
      </c>
      <c r="Q115">
        <f t="shared" ca="1" si="41"/>
        <v>102050.95525768367</v>
      </c>
      <c r="R115">
        <f t="shared" ca="1" si="28"/>
        <v>22922.012766687425</v>
      </c>
      <c r="S115">
        <f t="shared" ca="1" si="42"/>
        <v>5567</v>
      </c>
      <c r="T115">
        <f t="shared" ca="1" si="47"/>
        <v>5632.5903679484663</v>
      </c>
      <c r="U115">
        <f t="shared" ca="1" si="48"/>
        <v>2904.5851645287303</v>
      </c>
      <c r="V115">
        <f t="shared" ca="1" si="49"/>
        <v>147214.59793121615</v>
      </c>
      <c r="W115">
        <f t="shared" ca="1" si="50"/>
        <v>113250.54562563213</v>
      </c>
      <c r="Z115" s="4">
        <f t="shared" ca="1" si="43"/>
        <v>0</v>
      </c>
      <c r="AA115">
        <f t="shared" ca="1" si="44"/>
        <v>1</v>
      </c>
      <c r="AC115" s="5"/>
      <c r="AX115" s="10">
        <f ca="1">Table1[[#This Row],[Car Value]]/Table1[[#This Row],[No. of Vehicles]]</f>
        <v>11461.006383343713</v>
      </c>
      <c r="AZ115">
        <f ca="1">IF(Table1[[#This Row],[Debts]]&gt;$BA$3,1,0)</f>
        <v>0</v>
      </c>
      <c r="BC115" s="12">
        <f ca="1">Table1[[#This Row],[Mortage left]]/Table1[[#This Row],[Value of The House]]</f>
        <v>0.84070052441496423</v>
      </c>
      <c r="BD115" s="4">
        <f t="shared" ca="1" si="45"/>
        <v>0</v>
      </c>
      <c r="BE115" s="5"/>
    </row>
    <row r="116" spans="4:57" x14ac:dyDescent="0.3">
      <c r="D116">
        <f t="shared" ca="1" si="29"/>
        <v>1</v>
      </c>
      <c r="E116" t="str">
        <f t="shared" ca="1" si="30"/>
        <v>Male</v>
      </c>
      <c r="F116">
        <f t="shared" ca="1" si="31"/>
        <v>38</v>
      </c>
      <c r="G116">
        <f t="shared" ca="1" si="32"/>
        <v>1</v>
      </c>
      <c r="H116" t="str">
        <f t="shared" ca="1" si="33"/>
        <v>Health</v>
      </c>
      <c r="I116">
        <f t="shared" ca="1" si="34"/>
        <v>4</v>
      </c>
      <c r="J116" t="str">
        <f t="shared" ca="1" si="35"/>
        <v>Technical</v>
      </c>
      <c r="K116">
        <f t="shared" ca="1" si="36"/>
        <v>4</v>
      </c>
      <c r="L116">
        <f t="shared" ca="1" si="37"/>
        <v>2</v>
      </c>
      <c r="M116">
        <f t="shared" ca="1" si="38"/>
        <v>75809</v>
      </c>
      <c r="N116">
        <f t="shared" ca="1" si="39"/>
        <v>9</v>
      </c>
      <c r="O116" t="str">
        <f t="shared" ca="1" si="40"/>
        <v>Quebec</v>
      </c>
      <c r="P116">
        <f t="shared" ca="1" si="46"/>
        <v>379045</v>
      </c>
      <c r="Q116">
        <f t="shared" ca="1" si="41"/>
        <v>281729.84514291375</v>
      </c>
      <c r="R116">
        <f t="shared" ca="1" si="28"/>
        <v>130653.05320282641</v>
      </c>
      <c r="S116">
        <f t="shared" ca="1" si="42"/>
        <v>24076</v>
      </c>
      <c r="T116">
        <f t="shared" ca="1" si="47"/>
        <v>71814.760632860998</v>
      </c>
      <c r="U116">
        <f t="shared" ca="1" si="48"/>
        <v>32661.014039459002</v>
      </c>
      <c r="V116">
        <f t="shared" ca="1" si="49"/>
        <v>542359.06724228547</v>
      </c>
      <c r="W116">
        <f t="shared" ca="1" si="50"/>
        <v>377620.60577577475</v>
      </c>
      <c r="Z116" s="4">
        <f t="shared" ca="1" si="43"/>
        <v>1</v>
      </c>
      <c r="AA116">
        <f t="shared" ca="1" si="44"/>
        <v>0</v>
      </c>
      <c r="AC116" s="5"/>
      <c r="AX116" s="10">
        <f ca="1">Table1[[#This Row],[Car Value]]/Table1[[#This Row],[No. of Vehicles]]</f>
        <v>65326.526601413207</v>
      </c>
      <c r="AZ116">
        <f ca="1">IF(Table1[[#This Row],[Debts]]&gt;$BA$3,1,0)</f>
        <v>1</v>
      </c>
      <c r="BC116" s="12">
        <f ca="1">Table1[[#This Row],[Mortage left]]/Table1[[#This Row],[Value of The House]]</f>
        <v>0.74326226475197865</v>
      </c>
      <c r="BD116" s="4">
        <f t="shared" ca="1" si="45"/>
        <v>0</v>
      </c>
      <c r="BE116" s="5"/>
    </row>
    <row r="117" spans="4:57" x14ac:dyDescent="0.3">
      <c r="D117">
        <f t="shared" ca="1" si="29"/>
        <v>1</v>
      </c>
      <c r="E117" t="str">
        <f t="shared" ca="1" si="30"/>
        <v>Male</v>
      </c>
      <c r="F117">
        <f t="shared" ca="1" si="31"/>
        <v>42</v>
      </c>
      <c r="G117">
        <f t="shared" ca="1" si="32"/>
        <v>3</v>
      </c>
      <c r="H117" t="str">
        <f t="shared" ca="1" si="33"/>
        <v>Teaching</v>
      </c>
      <c r="I117">
        <f t="shared" ca="1" si="34"/>
        <v>5</v>
      </c>
      <c r="J117" t="str">
        <f t="shared" ca="1" si="35"/>
        <v>Other</v>
      </c>
      <c r="K117">
        <f t="shared" ca="1" si="36"/>
        <v>1</v>
      </c>
      <c r="L117">
        <f t="shared" ca="1" si="37"/>
        <v>2</v>
      </c>
      <c r="M117">
        <f t="shared" ca="1" si="38"/>
        <v>80575</v>
      </c>
      <c r="N117">
        <f t="shared" ca="1" si="39"/>
        <v>12</v>
      </c>
      <c r="O117" t="str">
        <f t="shared" ca="1" si="40"/>
        <v>Nova scotia</v>
      </c>
      <c r="P117">
        <f t="shared" ca="1" si="46"/>
        <v>322300</v>
      </c>
      <c r="Q117">
        <f t="shared" ca="1" si="41"/>
        <v>211018.47719522114</v>
      </c>
      <c r="R117">
        <f t="shared" ca="1" si="28"/>
        <v>54989.537030714528</v>
      </c>
      <c r="S117">
        <f t="shared" ca="1" si="42"/>
        <v>46567</v>
      </c>
      <c r="T117">
        <f t="shared" ca="1" si="47"/>
        <v>155629.06142024341</v>
      </c>
      <c r="U117">
        <f t="shared" ca="1" si="48"/>
        <v>17024.978427571063</v>
      </c>
      <c r="V117">
        <f t="shared" ca="1" si="49"/>
        <v>394314.51545828558</v>
      </c>
      <c r="W117">
        <f t="shared" ca="1" si="50"/>
        <v>413214.53861546458</v>
      </c>
      <c r="Z117" s="4">
        <f t="shared" ca="1" si="43"/>
        <v>1</v>
      </c>
      <c r="AA117">
        <f t="shared" ca="1" si="44"/>
        <v>0</v>
      </c>
      <c r="AC117" s="5"/>
      <c r="AX117" s="10">
        <f ca="1">Table1[[#This Row],[Car Value]]/Table1[[#This Row],[No. of Vehicles]]</f>
        <v>27494.768515357264</v>
      </c>
      <c r="AZ117">
        <f ca="1">IF(Table1[[#This Row],[Debts]]&gt;$BA$3,1,0)</f>
        <v>1</v>
      </c>
      <c r="BC117" s="12">
        <f ca="1">Table1[[#This Row],[Mortage left]]/Table1[[#This Row],[Value of The House]]</f>
        <v>0.65472689170096543</v>
      </c>
      <c r="BD117" s="4">
        <f t="shared" ca="1" si="45"/>
        <v>0</v>
      </c>
      <c r="BE117" s="5"/>
    </row>
    <row r="118" spans="4:57" x14ac:dyDescent="0.3">
      <c r="D118">
        <f t="shared" ca="1" si="29"/>
        <v>2</v>
      </c>
      <c r="E118" t="str">
        <f t="shared" ca="1" si="30"/>
        <v>Female</v>
      </c>
      <c r="F118">
        <f t="shared" ca="1" si="31"/>
        <v>28</v>
      </c>
      <c r="G118">
        <f t="shared" ca="1" si="32"/>
        <v>1</v>
      </c>
      <c r="H118" t="str">
        <f t="shared" ca="1" si="33"/>
        <v>Health</v>
      </c>
      <c r="I118">
        <f t="shared" ca="1" si="34"/>
        <v>5</v>
      </c>
      <c r="J118" t="str">
        <f t="shared" ca="1" si="35"/>
        <v>Other</v>
      </c>
      <c r="K118">
        <f t="shared" ca="1" si="36"/>
        <v>4</v>
      </c>
      <c r="L118">
        <f t="shared" ca="1" si="37"/>
        <v>2</v>
      </c>
      <c r="M118">
        <f t="shared" ca="1" si="38"/>
        <v>56631</v>
      </c>
      <c r="N118">
        <f t="shared" ca="1" si="39"/>
        <v>4</v>
      </c>
      <c r="O118" t="str">
        <f t="shared" ca="1" si="40"/>
        <v>Alberta</v>
      </c>
      <c r="P118">
        <f t="shared" ca="1" si="46"/>
        <v>339786</v>
      </c>
      <c r="Q118">
        <f t="shared" ca="1" si="41"/>
        <v>56963.652540500341</v>
      </c>
      <c r="R118">
        <f t="shared" ca="1" si="28"/>
        <v>103614.36573386435</v>
      </c>
      <c r="S118">
        <f t="shared" ca="1" si="42"/>
        <v>10451</v>
      </c>
      <c r="T118">
        <f t="shared" ca="1" si="47"/>
        <v>53377.293959768627</v>
      </c>
      <c r="U118">
        <f t="shared" ca="1" si="48"/>
        <v>47661.277971227551</v>
      </c>
      <c r="V118">
        <f t="shared" ca="1" si="49"/>
        <v>491061.6437050919</v>
      </c>
      <c r="W118">
        <f t="shared" ca="1" si="50"/>
        <v>120791.94650026897</v>
      </c>
      <c r="Z118" s="4">
        <f t="shared" ca="1" si="43"/>
        <v>0</v>
      </c>
      <c r="AA118">
        <f t="shared" ca="1" si="44"/>
        <v>1</v>
      </c>
      <c r="AC118" s="5"/>
      <c r="AX118" s="10">
        <f ca="1">Table1[[#This Row],[Car Value]]/Table1[[#This Row],[No. of Vehicles]]</f>
        <v>51807.182866932177</v>
      </c>
      <c r="AZ118">
        <f ca="1">IF(Table1[[#This Row],[Debts]]&gt;$BA$3,1,0)</f>
        <v>1</v>
      </c>
      <c r="BC118" s="12">
        <f ca="1">Table1[[#This Row],[Mortage left]]/Table1[[#This Row],[Value of The House]]</f>
        <v>0.1676456726895762</v>
      </c>
      <c r="BD118" s="4">
        <f t="shared" ca="1" si="45"/>
        <v>1</v>
      </c>
      <c r="BE118" s="5"/>
    </row>
    <row r="119" spans="4:57" x14ac:dyDescent="0.3">
      <c r="D119">
        <f t="shared" ca="1" si="29"/>
        <v>2</v>
      </c>
      <c r="E119" t="str">
        <f t="shared" ca="1" si="30"/>
        <v>Female</v>
      </c>
      <c r="F119">
        <f t="shared" ca="1" si="31"/>
        <v>41</v>
      </c>
      <c r="G119">
        <f t="shared" ca="1" si="32"/>
        <v>4</v>
      </c>
      <c r="H119" t="str">
        <f t="shared" ca="1" si="33"/>
        <v>IT</v>
      </c>
      <c r="I119">
        <f t="shared" ca="1" si="34"/>
        <v>3</v>
      </c>
      <c r="J119" t="str">
        <f t="shared" ca="1" si="35"/>
        <v>University</v>
      </c>
      <c r="K119">
        <f t="shared" ca="1" si="36"/>
        <v>4</v>
      </c>
      <c r="L119">
        <f t="shared" ca="1" si="37"/>
        <v>1</v>
      </c>
      <c r="M119">
        <f t="shared" ca="1" si="38"/>
        <v>70602</v>
      </c>
      <c r="N119">
        <f t="shared" ca="1" si="39"/>
        <v>3</v>
      </c>
      <c r="O119" t="str">
        <f t="shared" ca="1" si="40"/>
        <v>Northwest Ter</v>
      </c>
      <c r="P119">
        <f t="shared" ca="1" si="46"/>
        <v>353010</v>
      </c>
      <c r="Q119">
        <f t="shared" ca="1" si="41"/>
        <v>67641.018415897866</v>
      </c>
      <c r="R119">
        <f t="shared" ca="1" si="28"/>
        <v>16355.719063436271</v>
      </c>
      <c r="S119">
        <f t="shared" ca="1" si="42"/>
        <v>9068</v>
      </c>
      <c r="T119">
        <f t="shared" ca="1" si="47"/>
        <v>123796.31036647246</v>
      </c>
      <c r="U119">
        <f t="shared" ca="1" si="48"/>
        <v>80462.737115873693</v>
      </c>
      <c r="V119">
        <f t="shared" ca="1" si="49"/>
        <v>449828.45617930999</v>
      </c>
      <c r="W119">
        <f t="shared" ca="1" si="50"/>
        <v>200505.32878237031</v>
      </c>
      <c r="Z119" s="4">
        <f t="shared" ca="1" si="43"/>
        <v>0</v>
      </c>
      <c r="AA119">
        <f t="shared" ca="1" si="44"/>
        <v>1</v>
      </c>
      <c r="AC119" s="5"/>
      <c r="AX119" s="10">
        <f ca="1">Table1[[#This Row],[Car Value]]/Table1[[#This Row],[No. of Vehicles]]</f>
        <v>16355.719063436271</v>
      </c>
      <c r="AZ119">
        <f ca="1">IF(Table1[[#This Row],[Debts]]&gt;$BA$3,1,0)</f>
        <v>1</v>
      </c>
      <c r="BC119" s="12">
        <f ca="1">Table1[[#This Row],[Mortage left]]/Table1[[#This Row],[Value of The House]]</f>
        <v>0.19161218780175596</v>
      </c>
      <c r="BD119" s="4">
        <f t="shared" ca="1" si="45"/>
        <v>1</v>
      </c>
      <c r="BE119" s="5"/>
    </row>
    <row r="120" spans="4:57" x14ac:dyDescent="0.3">
      <c r="D120">
        <f t="shared" ca="1" si="29"/>
        <v>1</v>
      </c>
      <c r="E120" t="str">
        <f t="shared" ca="1" si="30"/>
        <v>Male</v>
      </c>
      <c r="F120">
        <f t="shared" ca="1" si="31"/>
        <v>29</v>
      </c>
      <c r="G120">
        <f t="shared" ca="1" si="32"/>
        <v>3</v>
      </c>
      <c r="H120" t="str">
        <f t="shared" ca="1" si="33"/>
        <v>Teaching</v>
      </c>
      <c r="I120">
        <f t="shared" ca="1" si="34"/>
        <v>3</v>
      </c>
      <c r="J120" t="str">
        <f t="shared" ca="1" si="35"/>
        <v>University</v>
      </c>
      <c r="K120">
        <f t="shared" ca="1" si="36"/>
        <v>3</v>
      </c>
      <c r="L120">
        <f t="shared" ca="1" si="37"/>
        <v>1</v>
      </c>
      <c r="M120">
        <f t="shared" ca="1" si="38"/>
        <v>84307</v>
      </c>
      <c r="N120">
        <f t="shared" ca="1" si="39"/>
        <v>1</v>
      </c>
      <c r="O120" t="str">
        <f t="shared" ca="1" si="40"/>
        <v>Yukon</v>
      </c>
      <c r="P120">
        <f t="shared" ca="1" si="46"/>
        <v>505842</v>
      </c>
      <c r="Q120">
        <f t="shared" ca="1" si="41"/>
        <v>34142.752290425677</v>
      </c>
      <c r="R120">
        <f t="shared" ca="1" si="28"/>
        <v>7392.9124585801528</v>
      </c>
      <c r="S120">
        <f t="shared" ca="1" si="42"/>
        <v>6063</v>
      </c>
      <c r="T120">
        <f t="shared" ca="1" si="47"/>
        <v>152041.23569358603</v>
      </c>
      <c r="U120">
        <f t="shared" ca="1" si="48"/>
        <v>102186.36977733736</v>
      </c>
      <c r="V120">
        <f t="shared" ca="1" si="49"/>
        <v>615421.28223591752</v>
      </c>
      <c r="W120">
        <f t="shared" ca="1" si="50"/>
        <v>192246.98798401171</v>
      </c>
      <c r="Z120" s="4">
        <f t="shared" ca="1" si="43"/>
        <v>1</v>
      </c>
      <c r="AA120">
        <f t="shared" ca="1" si="44"/>
        <v>0</v>
      </c>
      <c r="AC120" s="5"/>
      <c r="AX120" s="10">
        <f ca="1">Table1[[#This Row],[Car Value]]/Table1[[#This Row],[No. of Vehicles]]</f>
        <v>7392.9124585801528</v>
      </c>
      <c r="AZ120">
        <f ca="1">IF(Table1[[#This Row],[Debts]]&gt;$BA$3,1,0)</f>
        <v>1</v>
      </c>
      <c r="BC120" s="12">
        <f ca="1">Table1[[#This Row],[Mortage left]]/Table1[[#This Row],[Value of The House]]</f>
        <v>6.7496871138469472E-2</v>
      </c>
      <c r="BD120" s="4">
        <f t="shared" ca="1" si="45"/>
        <v>1</v>
      </c>
      <c r="BE120" s="5"/>
    </row>
    <row r="121" spans="4:57" x14ac:dyDescent="0.3">
      <c r="D121">
        <f t="shared" ca="1" si="29"/>
        <v>1</v>
      </c>
      <c r="E121" t="str">
        <f t="shared" ca="1" si="30"/>
        <v>Male</v>
      </c>
      <c r="F121">
        <f t="shared" ca="1" si="31"/>
        <v>30</v>
      </c>
      <c r="G121">
        <f t="shared" ca="1" si="32"/>
        <v>3</v>
      </c>
      <c r="H121" t="str">
        <f t="shared" ca="1" si="33"/>
        <v>Teaching</v>
      </c>
      <c r="I121">
        <f t="shared" ca="1" si="34"/>
        <v>4</v>
      </c>
      <c r="J121" t="str">
        <f t="shared" ca="1" si="35"/>
        <v>Technical</v>
      </c>
      <c r="K121">
        <f t="shared" ca="1" si="36"/>
        <v>4</v>
      </c>
      <c r="L121">
        <f t="shared" ca="1" si="37"/>
        <v>2</v>
      </c>
      <c r="M121">
        <f t="shared" ca="1" si="38"/>
        <v>80456</v>
      </c>
      <c r="N121">
        <f t="shared" ca="1" si="39"/>
        <v>7</v>
      </c>
      <c r="O121" t="str">
        <f t="shared" ca="1" si="40"/>
        <v>Manitoba</v>
      </c>
      <c r="P121">
        <f t="shared" ca="1" si="46"/>
        <v>321824</v>
      </c>
      <c r="Q121">
        <f t="shared" ca="1" si="41"/>
        <v>168859.59492000073</v>
      </c>
      <c r="R121">
        <f t="shared" ca="1" si="28"/>
        <v>28677.746613891977</v>
      </c>
      <c r="S121">
        <f t="shared" ca="1" si="42"/>
        <v>18521</v>
      </c>
      <c r="T121">
        <f t="shared" ca="1" si="47"/>
        <v>139465.6392657602</v>
      </c>
      <c r="U121">
        <f t="shared" ca="1" si="48"/>
        <v>19675.448462412845</v>
      </c>
      <c r="V121">
        <f t="shared" ca="1" si="49"/>
        <v>370177.19507630484</v>
      </c>
      <c r="W121">
        <f t="shared" ca="1" si="50"/>
        <v>326846.23418576096</v>
      </c>
      <c r="Z121" s="4">
        <f t="shared" ca="1" si="43"/>
        <v>1</v>
      </c>
      <c r="AA121">
        <f t="shared" ca="1" si="44"/>
        <v>0</v>
      </c>
      <c r="AC121" s="5"/>
      <c r="AX121" s="10">
        <f ca="1">Table1[[#This Row],[Car Value]]/Table1[[#This Row],[No. of Vehicles]]</f>
        <v>14338.873306945989</v>
      </c>
      <c r="AZ121">
        <f ca="1">IF(Table1[[#This Row],[Debts]]&gt;$BA$3,1,0)</f>
        <v>1</v>
      </c>
      <c r="BC121" s="12">
        <f ca="1">Table1[[#This Row],[Mortage left]]/Table1[[#This Row],[Value of The House]]</f>
        <v>0.52469546994630833</v>
      </c>
      <c r="BD121" s="4">
        <f t="shared" ca="1" si="45"/>
        <v>0</v>
      </c>
      <c r="BE121" s="5"/>
    </row>
    <row r="122" spans="4:57" x14ac:dyDescent="0.3">
      <c r="D122">
        <f t="shared" ca="1" si="29"/>
        <v>2</v>
      </c>
      <c r="E122" t="str">
        <f t="shared" ca="1" si="30"/>
        <v>Female</v>
      </c>
      <c r="F122">
        <f t="shared" ca="1" si="31"/>
        <v>30</v>
      </c>
      <c r="G122">
        <f t="shared" ca="1" si="32"/>
        <v>2</v>
      </c>
      <c r="H122" t="str">
        <f t="shared" ca="1" si="33"/>
        <v>Construction</v>
      </c>
      <c r="I122">
        <f t="shared" ca="1" si="34"/>
        <v>1</v>
      </c>
      <c r="J122" t="str">
        <f t="shared" ca="1" si="35"/>
        <v>High School</v>
      </c>
      <c r="K122">
        <f t="shared" ca="1" si="36"/>
        <v>1</v>
      </c>
      <c r="L122">
        <f t="shared" ca="1" si="37"/>
        <v>1</v>
      </c>
      <c r="M122">
        <f t="shared" ca="1" si="38"/>
        <v>34977</v>
      </c>
      <c r="N122">
        <f t="shared" ca="1" si="39"/>
        <v>2</v>
      </c>
      <c r="O122" t="str">
        <f t="shared" ca="1" si="40"/>
        <v>BC</v>
      </c>
      <c r="P122">
        <f t="shared" ca="1" si="46"/>
        <v>174885</v>
      </c>
      <c r="Q122">
        <f t="shared" ca="1" si="41"/>
        <v>151359.32083975253</v>
      </c>
      <c r="R122">
        <f t="shared" ca="1" si="28"/>
        <v>15208.630858652388</v>
      </c>
      <c r="S122">
        <f t="shared" ca="1" si="42"/>
        <v>1801</v>
      </c>
      <c r="T122">
        <f t="shared" ca="1" si="47"/>
        <v>18349.009705995173</v>
      </c>
      <c r="U122">
        <f t="shared" ca="1" si="48"/>
        <v>24348.279365290633</v>
      </c>
      <c r="V122">
        <f t="shared" ca="1" si="49"/>
        <v>214441.91022394301</v>
      </c>
      <c r="W122">
        <f t="shared" ca="1" si="50"/>
        <v>171509.33054574771</v>
      </c>
      <c r="Z122" s="4">
        <f t="shared" ca="1" si="43"/>
        <v>0</v>
      </c>
      <c r="AA122">
        <f t="shared" ca="1" si="44"/>
        <v>1</v>
      </c>
      <c r="AC122" s="5"/>
      <c r="AX122" s="10">
        <f ca="1">Table1[[#This Row],[Car Value]]/Table1[[#This Row],[No. of Vehicles]]</f>
        <v>15208.630858652388</v>
      </c>
      <c r="AZ122">
        <f ca="1">IF(Table1[[#This Row],[Debts]]&gt;$BA$3,1,0)</f>
        <v>0</v>
      </c>
      <c r="BC122" s="12">
        <f ca="1">Table1[[#This Row],[Mortage left]]/Table1[[#This Row],[Value of The House]]</f>
        <v>0.86547914823885719</v>
      </c>
      <c r="BD122" s="4">
        <f t="shared" ca="1" si="45"/>
        <v>0</v>
      </c>
      <c r="BE122" s="5"/>
    </row>
    <row r="123" spans="4:57" x14ac:dyDescent="0.3">
      <c r="D123">
        <f t="shared" ca="1" si="29"/>
        <v>2</v>
      </c>
      <c r="E123" t="str">
        <f t="shared" ca="1" si="30"/>
        <v>Female</v>
      </c>
      <c r="F123">
        <f t="shared" ca="1" si="31"/>
        <v>32</v>
      </c>
      <c r="G123">
        <f t="shared" ca="1" si="32"/>
        <v>6</v>
      </c>
      <c r="H123" t="str">
        <f t="shared" ca="1" si="33"/>
        <v>General Work</v>
      </c>
      <c r="I123">
        <f t="shared" ca="1" si="34"/>
        <v>3</v>
      </c>
      <c r="J123" t="str">
        <f t="shared" ca="1" si="35"/>
        <v>University</v>
      </c>
      <c r="K123">
        <f t="shared" ca="1" si="36"/>
        <v>3</v>
      </c>
      <c r="L123">
        <f t="shared" ca="1" si="37"/>
        <v>2</v>
      </c>
      <c r="M123">
        <f t="shared" ca="1" si="38"/>
        <v>58241</v>
      </c>
      <c r="N123">
        <f t="shared" ca="1" si="39"/>
        <v>9</v>
      </c>
      <c r="O123" t="str">
        <f t="shared" ca="1" si="40"/>
        <v>Quebec</v>
      </c>
      <c r="P123">
        <f t="shared" ca="1" si="46"/>
        <v>291205</v>
      </c>
      <c r="Q123">
        <f t="shared" ca="1" si="41"/>
        <v>210711.86006755871</v>
      </c>
      <c r="R123">
        <f t="shared" ca="1" si="28"/>
        <v>32719.668294110303</v>
      </c>
      <c r="S123">
        <f t="shared" ca="1" si="42"/>
        <v>1719</v>
      </c>
      <c r="T123">
        <f t="shared" ca="1" si="47"/>
        <v>79000.676903896485</v>
      </c>
      <c r="U123">
        <f t="shared" ca="1" si="48"/>
        <v>78758.920993268417</v>
      </c>
      <c r="V123">
        <f t="shared" ca="1" si="49"/>
        <v>402683.58928737871</v>
      </c>
      <c r="W123">
        <f t="shared" ca="1" si="50"/>
        <v>291431.53697145521</v>
      </c>
      <c r="Z123" s="4">
        <f t="shared" ca="1" si="43"/>
        <v>0</v>
      </c>
      <c r="AA123">
        <f t="shared" ca="1" si="44"/>
        <v>1</v>
      </c>
      <c r="AC123" s="5"/>
      <c r="AX123" s="10">
        <f ca="1">Table1[[#This Row],[Car Value]]/Table1[[#This Row],[No. of Vehicles]]</f>
        <v>16359.834147055151</v>
      </c>
      <c r="AZ123">
        <f ca="1">IF(Table1[[#This Row],[Debts]]&gt;$BA$3,1,0)</f>
        <v>1</v>
      </c>
      <c r="BC123" s="12">
        <f ca="1">Table1[[#This Row],[Mortage left]]/Table1[[#This Row],[Value of The House]]</f>
        <v>0.72358599635156917</v>
      </c>
      <c r="BD123" s="4">
        <f t="shared" ca="1" si="45"/>
        <v>0</v>
      </c>
      <c r="BE123" s="5"/>
    </row>
    <row r="124" spans="4:57" x14ac:dyDescent="0.3">
      <c r="D124">
        <f t="shared" ca="1" si="29"/>
        <v>1</v>
      </c>
      <c r="E124" t="str">
        <f t="shared" ca="1" si="30"/>
        <v>Male</v>
      </c>
      <c r="F124">
        <f t="shared" ca="1" si="31"/>
        <v>36</v>
      </c>
      <c r="G124">
        <f t="shared" ca="1" si="32"/>
        <v>2</v>
      </c>
      <c r="H124" t="str">
        <f t="shared" ca="1" si="33"/>
        <v>Construction</v>
      </c>
      <c r="I124">
        <f t="shared" ca="1" si="34"/>
        <v>3</v>
      </c>
      <c r="J124" t="str">
        <f t="shared" ca="1" si="35"/>
        <v>University</v>
      </c>
      <c r="K124">
        <f t="shared" ca="1" si="36"/>
        <v>3</v>
      </c>
      <c r="L124">
        <f t="shared" ca="1" si="37"/>
        <v>2</v>
      </c>
      <c r="M124">
        <f t="shared" ca="1" si="38"/>
        <v>53844</v>
      </c>
      <c r="N124">
        <f t="shared" ca="1" si="39"/>
        <v>12</v>
      </c>
      <c r="O124" t="str">
        <f t="shared" ca="1" si="40"/>
        <v>Nova scotia</v>
      </c>
      <c r="P124">
        <f t="shared" ca="1" si="46"/>
        <v>323064</v>
      </c>
      <c r="Q124">
        <f t="shared" ca="1" si="41"/>
        <v>244570.02561902496</v>
      </c>
      <c r="R124">
        <f t="shared" ca="1" si="28"/>
        <v>91137.387173194176</v>
      </c>
      <c r="S124">
        <f t="shared" ca="1" si="42"/>
        <v>8607</v>
      </c>
      <c r="T124">
        <f t="shared" ca="1" si="47"/>
        <v>41755.437462878726</v>
      </c>
      <c r="U124">
        <f t="shared" ca="1" si="48"/>
        <v>61308.600569189432</v>
      </c>
      <c r="V124">
        <f t="shared" ca="1" si="49"/>
        <v>475509.98774238362</v>
      </c>
      <c r="W124">
        <f t="shared" ca="1" si="50"/>
        <v>294932.4630819037</v>
      </c>
      <c r="Z124" s="4">
        <f t="shared" ca="1" si="43"/>
        <v>1</v>
      </c>
      <c r="AA124">
        <f t="shared" ca="1" si="44"/>
        <v>0</v>
      </c>
      <c r="AC124" s="5"/>
      <c r="AX124" s="10">
        <f ca="1">Table1[[#This Row],[Car Value]]/Table1[[#This Row],[No. of Vehicles]]</f>
        <v>45568.693586597088</v>
      </c>
      <c r="AZ124">
        <f ca="1">IF(Table1[[#This Row],[Debts]]&gt;$BA$3,1,0)</f>
        <v>1</v>
      </c>
      <c r="BC124" s="12">
        <f ca="1">Table1[[#This Row],[Mortage left]]/Table1[[#This Row],[Value of The House]]</f>
        <v>0.75703274155902534</v>
      </c>
      <c r="BD124" s="4">
        <f t="shared" ca="1" si="45"/>
        <v>0</v>
      </c>
      <c r="BE124" s="5"/>
    </row>
    <row r="125" spans="4:57" x14ac:dyDescent="0.3">
      <c r="D125">
        <f t="shared" ca="1" si="29"/>
        <v>1</v>
      </c>
      <c r="E125" t="str">
        <f t="shared" ca="1" si="30"/>
        <v>Male</v>
      </c>
      <c r="F125">
        <f t="shared" ca="1" si="31"/>
        <v>32</v>
      </c>
      <c r="G125">
        <f t="shared" ca="1" si="32"/>
        <v>1</v>
      </c>
      <c r="H125" t="str">
        <f t="shared" ca="1" si="33"/>
        <v>Health</v>
      </c>
      <c r="I125">
        <f t="shared" ca="1" si="34"/>
        <v>3</v>
      </c>
      <c r="J125" t="str">
        <f t="shared" ca="1" si="35"/>
        <v>University</v>
      </c>
      <c r="K125">
        <f t="shared" ca="1" si="36"/>
        <v>1</v>
      </c>
      <c r="L125">
        <f t="shared" ca="1" si="37"/>
        <v>2</v>
      </c>
      <c r="M125">
        <f t="shared" ca="1" si="38"/>
        <v>86133</v>
      </c>
      <c r="N125">
        <f t="shared" ca="1" si="39"/>
        <v>3</v>
      </c>
      <c r="O125" t="str">
        <f t="shared" ca="1" si="40"/>
        <v>Northwest Ter</v>
      </c>
      <c r="P125">
        <f t="shared" ca="1" si="46"/>
        <v>516798</v>
      </c>
      <c r="Q125">
        <f t="shared" ca="1" si="41"/>
        <v>198888.08411214181</v>
      </c>
      <c r="R125">
        <f t="shared" ca="1" si="28"/>
        <v>152364.36217104457</v>
      </c>
      <c r="S125">
        <f t="shared" ca="1" si="42"/>
        <v>137909</v>
      </c>
      <c r="T125">
        <f t="shared" ca="1" si="47"/>
        <v>172253.28726614424</v>
      </c>
      <c r="U125">
        <f t="shared" ca="1" si="48"/>
        <v>53312.361069659775</v>
      </c>
      <c r="V125">
        <f t="shared" ca="1" si="49"/>
        <v>722474.72324070439</v>
      </c>
      <c r="W125">
        <f t="shared" ca="1" si="50"/>
        <v>509050.37137828604</v>
      </c>
      <c r="Z125" s="4">
        <f t="shared" ca="1" si="43"/>
        <v>1</v>
      </c>
      <c r="AA125">
        <f t="shared" ca="1" si="44"/>
        <v>0</v>
      </c>
      <c r="AC125" s="5"/>
      <c r="AX125" s="10">
        <f ca="1">Table1[[#This Row],[Car Value]]/Table1[[#This Row],[No. of Vehicles]]</f>
        <v>76182.181085522287</v>
      </c>
      <c r="AZ125">
        <f ca="1">IF(Table1[[#This Row],[Debts]]&gt;$BA$3,1,0)</f>
        <v>1</v>
      </c>
      <c r="BC125" s="12">
        <f ca="1">Table1[[#This Row],[Mortage left]]/Table1[[#This Row],[Value of The House]]</f>
        <v>0.38484685333949009</v>
      </c>
      <c r="BD125" s="4">
        <f t="shared" ca="1" si="45"/>
        <v>0</v>
      </c>
      <c r="BE125" s="5"/>
    </row>
    <row r="126" spans="4:57" x14ac:dyDescent="0.3">
      <c r="D126">
        <f t="shared" ca="1" si="29"/>
        <v>1</v>
      </c>
      <c r="E126" t="str">
        <f t="shared" ca="1" si="30"/>
        <v>Male</v>
      </c>
      <c r="F126">
        <f t="shared" ca="1" si="31"/>
        <v>40</v>
      </c>
      <c r="G126">
        <f t="shared" ca="1" si="32"/>
        <v>1</v>
      </c>
      <c r="H126" t="str">
        <f t="shared" ca="1" si="33"/>
        <v>Health</v>
      </c>
      <c r="I126">
        <f t="shared" ca="1" si="34"/>
        <v>1</v>
      </c>
      <c r="J126" t="str">
        <f t="shared" ca="1" si="35"/>
        <v>High School</v>
      </c>
      <c r="K126">
        <f t="shared" ca="1" si="36"/>
        <v>3</v>
      </c>
      <c r="L126">
        <f t="shared" ca="1" si="37"/>
        <v>2</v>
      </c>
      <c r="M126">
        <f t="shared" ca="1" si="38"/>
        <v>64901</v>
      </c>
      <c r="N126">
        <f t="shared" ca="1" si="39"/>
        <v>3</v>
      </c>
      <c r="O126" t="str">
        <f t="shared" ca="1" si="40"/>
        <v>Northwest Ter</v>
      </c>
      <c r="P126">
        <f t="shared" ca="1" si="46"/>
        <v>259604</v>
      </c>
      <c r="Q126">
        <f t="shared" ca="1" si="41"/>
        <v>87476.378923626355</v>
      </c>
      <c r="R126">
        <f t="shared" ca="1" si="28"/>
        <v>64542.167516081019</v>
      </c>
      <c r="S126">
        <f t="shared" ca="1" si="42"/>
        <v>47820</v>
      </c>
      <c r="T126">
        <f t="shared" ca="1" si="47"/>
        <v>88731.383173062422</v>
      </c>
      <c r="U126">
        <f t="shared" ca="1" si="48"/>
        <v>29696.289059152627</v>
      </c>
      <c r="V126">
        <f t="shared" ca="1" si="49"/>
        <v>353842.45657523366</v>
      </c>
      <c r="W126">
        <f t="shared" ca="1" si="50"/>
        <v>224027.76209668879</v>
      </c>
      <c r="Z126" s="4">
        <f t="shared" ca="1" si="43"/>
        <v>1</v>
      </c>
      <c r="AA126">
        <f t="shared" ca="1" si="44"/>
        <v>0</v>
      </c>
      <c r="AC126" s="5"/>
      <c r="AX126" s="10">
        <f ca="1">Table1[[#This Row],[Car Value]]/Table1[[#This Row],[No. of Vehicles]]</f>
        <v>32271.08375804051</v>
      </c>
      <c r="AZ126">
        <f ca="1">IF(Table1[[#This Row],[Debts]]&gt;$BA$3,1,0)</f>
        <v>1</v>
      </c>
      <c r="BC126" s="12">
        <f ca="1">Table1[[#This Row],[Mortage left]]/Table1[[#This Row],[Value of The House]]</f>
        <v>0.33696082850659603</v>
      </c>
      <c r="BD126" s="4">
        <f t="shared" ca="1" si="45"/>
        <v>0</v>
      </c>
      <c r="BE126" s="5"/>
    </row>
    <row r="127" spans="4:57" x14ac:dyDescent="0.3">
      <c r="D127">
        <f t="shared" ca="1" si="29"/>
        <v>1</v>
      </c>
      <c r="E127" t="str">
        <f t="shared" ca="1" si="30"/>
        <v>Male</v>
      </c>
      <c r="F127">
        <f t="shared" ca="1" si="31"/>
        <v>25</v>
      </c>
      <c r="G127">
        <f t="shared" ca="1" si="32"/>
        <v>3</v>
      </c>
      <c r="H127" t="str">
        <f t="shared" ca="1" si="33"/>
        <v>Teaching</v>
      </c>
      <c r="I127">
        <f t="shared" ca="1" si="34"/>
        <v>2</v>
      </c>
      <c r="J127" t="str">
        <f t="shared" ca="1" si="35"/>
        <v>College</v>
      </c>
      <c r="K127">
        <f t="shared" ca="1" si="36"/>
        <v>1</v>
      </c>
      <c r="L127">
        <f t="shared" ca="1" si="37"/>
        <v>1</v>
      </c>
      <c r="M127">
        <f t="shared" ca="1" si="38"/>
        <v>36394</v>
      </c>
      <c r="N127">
        <f t="shared" ca="1" si="39"/>
        <v>4</v>
      </c>
      <c r="O127" t="str">
        <f t="shared" ca="1" si="40"/>
        <v>Alberta</v>
      </c>
      <c r="P127">
        <f t="shared" ca="1" si="46"/>
        <v>218364</v>
      </c>
      <c r="Q127">
        <f t="shared" ca="1" si="41"/>
        <v>26019.208212332069</v>
      </c>
      <c r="R127">
        <f t="shared" ca="1" si="28"/>
        <v>11781.166392218989</v>
      </c>
      <c r="S127">
        <f t="shared" ca="1" si="42"/>
        <v>9814</v>
      </c>
      <c r="T127">
        <f t="shared" ca="1" si="47"/>
        <v>54178.518348146703</v>
      </c>
      <c r="U127">
        <f t="shared" ca="1" si="48"/>
        <v>25399.615277231736</v>
      </c>
      <c r="V127">
        <f t="shared" ca="1" si="49"/>
        <v>255544.78166945072</v>
      </c>
      <c r="W127">
        <f t="shared" ca="1" si="50"/>
        <v>90011.726560478768</v>
      </c>
      <c r="Z127" s="4">
        <f t="shared" ca="1" si="43"/>
        <v>1</v>
      </c>
      <c r="AA127">
        <f t="shared" ca="1" si="44"/>
        <v>0</v>
      </c>
      <c r="AC127" s="5"/>
      <c r="AX127" s="10">
        <f ca="1">Table1[[#This Row],[Car Value]]/Table1[[#This Row],[No. of Vehicles]]</f>
        <v>11781.166392218989</v>
      </c>
      <c r="AZ127">
        <f ca="1">IF(Table1[[#This Row],[Debts]]&gt;$BA$3,1,0)</f>
        <v>1</v>
      </c>
      <c r="BC127" s="12">
        <f ca="1">Table1[[#This Row],[Mortage left]]/Table1[[#This Row],[Value of The House]]</f>
        <v>0.11915520970641712</v>
      </c>
      <c r="BD127" s="4">
        <f t="shared" ca="1" si="45"/>
        <v>1</v>
      </c>
      <c r="BE127" s="5"/>
    </row>
    <row r="128" spans="4:57" x14ac:dyDescent="0.3">
      <c r="D128">
        <f t="shared" ca="1" si="29"/>
        <v>1</v>
      </c>
      <c r="E128" t="str">
        <f t="shared" ca="1" si="30"/>
        <v>Male</v>
      </c>
      <c r="F128">
        <f t="shared" ca="1" si="31"/>
        <v>44</v>
      </c>
      <c r="G128">
        <f t="shared" ca="1" si="32"/>
        <v>4</v>
      </c>
      <c r="H128" t="str">
        <f t="shared" ca="1" si="33"/>
        <v>IT</v>
      </c>
      <c r="I128">
        <f t="shared" ca="1" si="34"/>
        <v>3</v>
      </c>
      <c r="J128" t="str">
        <f t="shared" ca="1" si="35"/>
        <v>University</v>
      </c>
      <c r="K128">
        <f t="shared" ca="1" si="36"/>
        <v>4</v>
      </c>
      <c r="L128">
        <f t="shared" ca="1" si="37"/>
        <v>1</v>
      </c>
      <c r="M128">
        <f t="shared" ca="1" si="38"/>
        <v>39725</v>
      </c>
      <c r="N128">
        <f t="shared" ca="1" si="39"/>
        <v>11</v>
      </c>
      <c r="O128" t="str">
        <f t="shared" ca="1" si="40"/>
        <v>New bruncwick</v>
      </c>
      <c r="P128">
        <f t="shared" ca="1" si="46"/>
        <v>158900</v>
      </c>
      <c r="Q128">
        <f t="shared" ca="1" si="41"/>
        <v>97597.756762088524</v>
      </c>
      <c r="R128">
        <f t="shared" ca="1" si="28"/>
        <v>26605.206342911373</v>
      </c>
      <c r="S128">
        <f t="shared" ca="1" si="42"/>
        <v>12362</v>
      </c>
      <c r="T128">
        <f t="shared" ca="1" si="47"/>
        <v>27576.754450841316</v>
      </c>
      <c r="U128">
        <f t="shared" ca="1" si="48"/>
        <v>59537.144312404853</v>
      </c>
      <c r="V128">
        <f t="shared" ca="1" si="49"/>
        <v>245042.35065531623</v>
      </c>
      <c r="W128">
        <f t="shared" ca="1" si="50"/>
        <v>137536.51121292985</v>
      </c>
      <c r="Z128" s="4">
        <f t="shared" ca="1" si="43"/>
        <v>1</v>
      </c>
      <c r="AA128">
        <f t="shared" ca="1" si="44"/>
        <v>0</v>
      </c>
      <c r="AC128" s="5"/>
      <c r="AX128" s="10">
        <f ca="1">Table1[[#This Row],[Car Value]]/Table1[[#This Row],[No. of Vehicles]]</f>
        <v>26605.206342911373</v>
      </c>
      <c r="AZ128">
        <f ca="1">IF(Table1[[#This Row],[Debts]]&gt;$BA$3,1,0)</f>
        <v>1</v>
      </c>
      <c r="BC128" s="12">
        <f ca="1">Table1[[#This Row],[Mortage left]]/Table1[[#This Row],[Value of The House]]</f>
        <v>0.61420866433032428</v>
      </c>
      <c r="BD128" s="4">
        <f t="shared" ca="1" si="45"/>
        <v>0</v>
      </c>
      <c r="BE128" s="5"/>
    </row>
    <row r="129" spans="4:57" x14ac:dyDescent="0.3">
      <c r="D129">
        <f t="shared" ca="1" si="29"/>
        <v>1</v>
      </c>
      <c r="E129" t="str">
        <f t="shared" ca="1" si="30"/>
        <v>Male</v>
      </c>
      <c r="F129">
        <f t="shared" ca="1" si="31"/>
        <v>29</v>
      </c>
      <c r="G129">
        <f t="shared" ca="1" si="32"/>
        <v>6</v>
      </c>
      <c r="H129" t="str">
        <f t="shared" ca="1" si="33"/>
        <v>General Work</v>
      </c>
      <c r="I129">
        <f t="shared" ca="1" si="34"/>
        <v>4</v>
      </c>
      <c r="J129" t="str">
        <f t="shared" ca="1" si="35"/>
        <v>Technical</v>
      </c>
      <c r="K129">
        <f t="shared" ca="1" si="36"/>
        <v>1</v>
      </c>
      <c r="L129">
        <f t="shared" ca="1" si="37"/>
        <v>2</v>
      </c>
      <c r="M129">
        <f t="shared" ca="1" si="38"/>
        <v>52169</v>
      </c>
      <c r="N129">
        <f t="shared" ca="1" si="39"/>
        <v>9</v>
      </c>
      <c r="O129" t="str">
        <f t="shared" ca="1" si="40"/>
        <v>Quebec</v>
      </c>
      <c r="P129">
        <f t="shared" ca="1" si="46"/>
        <v>208676</v>
      </c>
      <c r="Q129">
        <f t="shared" ca="1" si="41"/>
        <v>32033.401427150708</v>
      </c>
      <c r="R129">
        <f t="shared" ca="1" si="28"/>
        <v>46785.883731010399</v>
      </c>
      <c r="S129">
        <f t="shared" ca="1" si="42"/>
        <v>17217</v>
      </c>
      <c r="T129">
        <f t="shared" ca="1" si="47"/>
        <v>13910.205614294762</v>
      </c>
      <c r="U129">
        <f t="shared" ca="1" si="48"/>
        <v>57234.558191911841</v>
      </c>
      <c r="V129">
        <f t="shared" ca="1" si="49"/>
        <v>312696.44192292227</v>
      </c>
      <c r="W129">
        <f t="shared" ca="1" si="50"/>
        <v>63160.607041445466</v>
      </c>
      <c r="Z129" s="4">
        <f t="shared" ca="1" si="43"/>
        <v>1</v>
      </c>
      <c r="AA129">
        <f t="shared" ca="1" si="44"/>
        <v>0</v>
      </c>
      <c r="AC129" s="5"/>
      <c r="AX129" s="10">
        <f ca="1">Table1[[#This Row],[Car Value]]/Table1[[#This Row],[No. of Vehicles]]</f>
        <v>23392.9418655052</v>
      </c>
      <c r="AZ129">
        <f ca="1">IF(Table1[[#This Row],[Debts]]&gt;$BA$3,1,0)</f>
        <v>0</v>
      </c>
      <c r="BC129" s="12">
        <f ca="1">Table1[[#This Row],[Mortage left]]/Table1[[#This Row],[Value of The House]]</f>
        <v>0.15350783715976302</v>
      </c>
      <c r="BD129" s="4">
        <f t="shared" ca="1" si="45"/>
        <v>1</v>
      </c>
      <c r="BE129" s="5"/>
    </row>
    <row r="130" spans="4:57" x14ac:dyDescent="0.3">
      <c r="D130">
        <f t="shared" ca="1" si="29"/>
        <v>1</v>
      </c>
      <c r="E130" t="str">
        <f t="shared" ca="1" si="30"/>
        <v>Male</v>
      </c>
      <c r="F130">
        <f t="shared" ca="1" si="31"/>
        <v>35</v>
      </c>
      <c r="G130">
        <f t="shared" ca="1" si="32"/>
        <v>3</v>
      </c>
      <c r="H130" t="str">
        <f t="shared" ca="1" si="33"/>
        <v>Teaching</v>
      </c>
      <c r="I130">
        <f t="shared" ca="1" si="34"/>
        <v>5</v>
      </c>
      <c r="J130" t="str">
        <f t="shared" ca="1" si="35"/>
        <v>Other</v>
      </c>
      <c r="K130">
        <f t="shared" ca="1" si="36"/>
        <v>3</v>
      </c>
      <c r="L130">
        <f t="shared" ca="1" si="37"/>
        <v>2</v>
      </c>
      <c r="M130">
        <f t="shared" ca="1" si="38"/>
        <v>68397</v>
      </c>
      <c r="N130">
        <f t="shared" ca="1" si="39"/>
        <v>12</v>
      </c>
      <c r="O130" t="str">
        <f t="shared" ca="1" si="40"/>
        <v>Nova scotia</v>
      </c>
      <c r="P130">
        <f t="shared" ca="1" si="46"/>
        <v>273588</v>
      </c>
      <c r="Q130">
        <f t="shared" ca="1" si="41"/>
        <v>81112.874204082866</v>
      </c>
      <c r="R130">
        <f t="shared" ca="1" si="28"/>
        <v>9595.6423063609127</v>
      </c>
      <c r="S130">
        <f t="shared" ca="1" si="42"/>
        <v>579</v>
      </c>
      <c r="T130">
        <f t="shared" ca="1" si="47"/>
        <v>78915.050177749697</v>
      </c>
      <c r="U130">
        <f t="shared" ca="1" si="48"/>
        <v>23318.537625525249</v>
      </c>
      <c r="V130">
        <f t="shared" ca="1" si="49"/>
        <v>306502.1799318862</v>
      </c>
      <c r="W130">
        <f t="shared" ca="1" si="50"/>
        <v>160606.92438183256</v>
      </c>
      <c r="Z130" s="4">
        <f t="shared" ca="1" si="43"/>
        <v>1</v>
      </c>
      <c r="AA130">
        <f t="shared" ca="1" si="44"/>
        <v>0</v>
      </c>
      <c r="AC130" s="5"/>
      <c r="AX130" s="10">
        <f ca="1">Table1[[#This Row],[Car Value]]/Table1[[#This Row],[No. of Vehicles]]</f>
        <v>4797.8211531804563</v>
      </c>
      <c r="AZ130">
        <f ca="1">IF(Table1[[#This Row],[Debts]]&gt;$BA$3,1,0)</f>
        <v>1</v>
      </c>
      <c r="BC130" s="12">
        <f ca="1">Table1[[#This Row],[Mortage left]]/Table1[[#This Row],[Value of The House]]</f>
        <v>0.29647818692370598</v>
      </c>
      <c r="BD130" s="4">
        <f t="shared" ca="1" si="45"/>
        <v>0</v>
      </c>
      <c r="BE130" s="5"/>
    </row>
    <row r="131" spans="4:57" x14ac:dyDescent="0.3">
      <c r="D131">
        <f t="shared" ca="1" si="29"/>
        <v>2</v>
      </c>
      <c r="E131" t="str">
        <f t="shared" ca="1" si="30"/>
        <v>Female</v>
      </c>
      <c r="F131">
        <f t="shared" ca="1" si="31"/>
        <v>37</v>
      </c>
      <c r="G131">
        <f t="shared" ca="1" si="32"/>
        <v>5</v>
      </c>
      <c r="H131" t="str">
        <f t="shared" ca="1" si="33"/>
        <v>Agriculture</v>
      </c>
      <c r="I131">
        <f t="shared" ca="1" si="34"/>
        <v>4</v>
      </c>
      <c r="J131" t="str">
        <f t="shared" ca="1" si="35"/>
        <v>Technical</v>
      </c>
      <c r="K131">
        <f t="shared" ca="1" si="36"/>
        <v>2</v>
      </c>
      <c r="L131">
        <f t="shared" ca="1" si="37"/>
        <v>2</v>
      </c>
      <c r="M131">
        <f t="shared" ca="1" si="38"/>
        <v>63519</v>
      </c>
      <c r="N131">
        <f t="shared" ca="1" si="39"/>
        <v>2</v>
      </c>
      <c r="O131" t="str">
        <f t="shared" ca="1" si="40"/>
        <v>BC</v>
      </c>
      <c r="P131">
        <f t="shared" ca="1" si="46"/>
        <v>381114</v>
      </c>
      <c r="Q131">
        <f t="shared" ca="1" si="41"/>
        <v>213621.40248704475</v>
      </c>
      <c r="R131">
        <f t="shared" ref="R131:R194" ca="1" si="51">L131*RAND()*M131</f>
        <v>49255.593051844146</v>
      </c>
      <c r="S131">
        <f t="shared" ca="1" si="42"/>
        <v>13493</v>
      </c>
      <c r="T131">
        <f t="shared" ca="1" si="47"/>
        <v>47870.043830051953</v>
      </c>
      <c r="U131">
        <f t="shared" ca="1" si="48"/>
        <v>25083.932115412656</v>
      </c>
      <c r="V131">
        <f t="shared" ca="1" si="49"/>
        <v>455453.52516725683</v>
      </c>
      <c r="W131">
        <f t="shared" ca="1" si="50"/>
        <v>274984.44631709671</v>
      </c>
      <c r="Z131" s="4">
        <f t="shared" ca="1" si="43"/>
        <v>0</v>
      </c>
      <c r="AA131">
        <f t="shared" ca="1" si="44"/>
        <v>1</v>
      </c>
      <c r="AC131" s="5"/>
      <c r="AX131" s="10">
        <f ca="1">Table1[[#This Row],[Car Value]]/Table1[[#This Row],[No. of Vehicles]]</f>
        <v>24627.796525922073</v>
      </c>
      <c r="AZ131">
        <f ca="1">IF(Table1[[#This Row],[Debts]]&gt;$BA$3,1,0)</f>
        <v>1</v>
      </c>
      <c r="BC131" s="12">
        <f ca="1">Table1[[#This Row],[Mortage left]]/Table1[[#This Row],[Value of The House]]</f>
        <v>0.56051838160509648</v>
      </c>
      <c r="BD131" s="4">
        <f t="shared" ca="1" si="45"/>
        <v>0</v>
      </c>
      <c r="BE131" s="5"/>
    </row>
    <row r="132" spans="4:57" x14ac:dyDescent="0.3">
      <c r="D132">
        <f t="shared" ref="D132:D195" ca="1" si="52">RANDBETWEEN(1,2)</f>
        <v>2</v>
      </c>
      <c r="E132" t="str">
        <f t="shared" ref="E132:E195" ca="1" si="53">IF(D132=1,"Male","Female")</f>
        <v>Female</v>
      </c>
      <c r="F132">
        <f t="shared" ref="F132:F195" ca="1" si="54">RANDBETWEEN(25,45)</f>
        <v>36</v>
      </c>
      <c r="G132">
        <f t="shared" ref="G132:G195" ca="1" si="55">RANDBETWEEN(1,6)</f>
        <v>5</v>
      </c>
      <c r="H132" t="str">
        <f t="shared" ref="H132:H195" ca="1" si="56">VLOOKUP(G132,$AI$3:$AJ$8,2)</f>
        <v>Agriculture</v>
      </c>
      <c r="I132">
        <f t="shared" ref="I132:I195" ca="1" si="57">RANDBETWEEN(1,5)</f>
        <v>4</v>
      </c>
      <c r="J132" t="str">
        <f t="shared" ref="J132:J195" ca="1" si="58">+VLOOKUP(I132,$AK$3:$AL$7,2)</f>
        <v>Technical</v>
      </c>
      <c r="K132">
        <f t="shared" ref="K132:K195" ca="1" si="59">RANDBETWEEN(0,4)</f>
        <v>0</v>
      </c>
      <c r="L132">
        <f t="shared" ref="L132:L195" ca="1" si="60">RANDBETWEEN(1,2)</f>
        <v>1</v>
      </c>
      <c r="M132">
        <f t="shared" ref="M132:M195" ca="1" si="61">RANDBETWEEN(25000,90000)</f>
        <v>74281</v>
      </c>
      <c r="N132">
        <f t="shared" ref="N132:N195" ca="1" si="62">RANDBETWEEN(1,13)</f>
        <v>5</v>
      </c>
      <c r="O132" t="str">
        <f t="shared" ref="O132:O195" ca="1" si="63">VLOOKUP(N132,$AN$3:$AP$15,2)</f>
        <v>Nunavut</v>
      </c>
      <c r="P132">
        <f t="shared" ca="1" si="46"/>
        <v>297124</v>
      </c>
      <c r="Q132">
        <f t="shared" ref="Q132:Q195" ca="1" si="64">RAND()*P132</f>
        <v>87299.928119380813</v>
      </c>
      <c r="R132">
        <f t="shared" ca="1" si="51"/>
        <v>17992.10386264214</v>
      </c>
      <c r="S132">
        <f t="shared" ref="S132:S195" ca="1" si="65">RANDBETWEEN(0,R132)</f>
        <v>12383</v>
      </c>
      <c r="T132">
        <f t="shared" ca="1" si="47"/>
        <v>108415.60009864363</v>
      </c>
      <c r="U132">
        <f t="shared" ca="1" si="48"/>
        <v>102971.66489386544</v>
      </c>
      <c r="V132">
        <f t="shared" ca="1" si="49"/>
        <v>418087.76875650755</v>
      </c>
      <c r="W132">
        <f t="shared" ca="1" si="50"/>
        <v>208098.52821802444</v>
      </c>
      <c r="Z132" s="4">
        <f t="shared" ref="Z132:Z195" ca="1" si="66">IF(E132="male",1,0)</f>
        <v>0</v>
      </c>
      <c r="AA132">
        <f t="shared" ref="AA132:AA195" ca="1" si="67">IF(E132="male",0,1)</f>
        <v>1</v>
      </c>
      <c r="AC132" s="5"/>
      <c r="AX132" s="10">
        <f ca="1">Table1[[#This Row],[Car Value]]/Table1[[#This Row],[No. of Vehicles]]</f>
        <v>17992.10386264214</v>
      </c>
      <c r="AZ132">
        <f ca="1">IF(Table1[[#This Row],[Debts]]&gt;$BA$3,1,0)</f>
        <v>1</v>
      </c>
      <c r="BC132" s="12">
        <f ca="1">Table1[[#This Row],[Mortage left]]/Table1[[#This Row],[Value of The House]]</f>
        <v>0.29381648106306057</v>
      </c>
      <c r="BD132" s="4">
        <f t="shared" ref="BD132:BD195" ca="1" si="68">IF(BC132&lt;$BE$2,1,0)</f>
        <v>0</v>
      </c>
      <c r="BE132" s="5"/>
    </row>
    <row r="133" spans="4:57" x14ac:dyDescent="0.3">
      <c r="D133">
        <f t="shared" ca="1" si="52"/>
        <v>1</v>
      </c>
      <c r="E133" t="str">
        <f t="shared" ca="1" si="53"/>
        <v>Male</v>
      </c>
      <c r="F133">
        <f t="shared" ca="1" si="54"/>
        <v>31</v>
      </c>
      <c r="G133">
        <f t="shared" ca="1" si="55"/>
        <v>1</v>
      </c>
      <c r="H133" t="str">
        <f t="shared" ca="1" si="56"/>
        <v>Health</v>
      </c>
      <c r="I133">
        <f t="shared" ca="1" si="57"/>
        <v>4</v>
      </c>
      <c r="J133" t="str">
        <f t="shared" ca="1" si="58"/>
        <v>Technical</v>
      </c>
      <c r="K133">
        <f t="shared" ca="1" si="59"/>
        <v>1</v>
      </c>
      <c r="L133">
        <f t="shared" ca="1" si="60"/>
        <v>1</v>
      </c>
      <c r="M133">
        <f t="shared" ca="1" si="61"/>
        <v>76269</v>
      </c>
      <c r="N133">
        <f t="shared" ca="1" si="62"/>
        <v>12</v>
      </c>
      <c r="O133" t="str">
        <f t="shared" ca="1" si="63"/>
        <v>Nova scotia</v>
      </c>
      <c r="P133">
        <f t="shared" ca="1" si="46"/>
        <v>381345</v>
      </c>
      <c r="Q133">
        <f t="shared" ca="1" si="64"/>
        <v>176921.25223306191</v>
      </c>
      <c r="R133">
        <f t="shared" ca="1" si="51"/>
        <v>20503.872347727782</v>
      </c>
      <c r="S133">
        <f t="shared" ca="1" si="65"/>
        <v>7599</v>
      </c>
      <c r="T133">
        <f t="shared" ca="1" si="47"/>
        <v>101409.90965898076</v>
      </c>
      <c r="U133">
        <f t="shared" ca="1" si="48"/>
        <v>23211.556304031375</v>
      </c>
      <c r="V133">
        <f t="shared" ca="1" si="49"/>
        <v>425060.42865175917</v>
      </c>
      <c r="W133">
        <f t="shared" ca="1" si="50"/>
        <v>285930.16189204267</v>
      </c>
      <c r="Z133" s="4">
        <f t="shared" ca="1" si="66"/>
        <v>1</v>
      </c>
      <c r="AA133">
        <f t="shared" ca="1" si="67"/>
        <v>0</v>
      </c>
      <c r="AC133" s="5"/>
      <c r="AX133" s="10">
        <f ca="1">Table1[[#This Row],[Car Value]]/Table1[[#This Row],[No. of Vehicles]]</f>
        <v>20503.872347727782</v>
      </c>
      <c r="AZ133">
        <f ca="1">IF(Table1[[#This Row],[Debts]]&gt;$BA$3,1,0)</f>
        <v>1</v>
      </c>
      <c r="BC133" s="12">
        <f ca="1">Table1[[#This Row],[Mortage left]]/Table1[[#This Row],[Value of The House]]</f>
        <v>0.46394013880623036</v>
      </c>
      <c r="BD133" s="4">
        <f t="shared" ca="1" si="68"/>
        <v>0</v>
      </c>
      <c r="BE133" s="5"/>
    </row>
    <row r="134" spans="4:57" x14ac:dyDescent="0.3">
      <c r="D134">
        <f t="shared" ca="1" si="52"/>
        <v>2</v>
      </c>
      <c r="E134" t="str">
        <f t="shared" ca="1" si="53"/>
        <v>Female</v>
      </c>
      <c r="F134">
        <f t="shared" ca="1" si="54"/>
        <v>37</v>
      </c>
      <c r="G134">
        <f t="shared" ca="1" si="55"/>
        <v>2</v>
      </c>
      <c r="H134" t="str">
        <f t="shared" ca="1" si="56"/>
        <v>Construction</v>
      </c>
      <c r="I134">
        <f t="shared" ca="1" si="57"/>
        <v>3</v>
      </c>
      <c r="J134" t="str">
        <f t="shared" ca="1" si="58"/>
        <v>University</v>
      </c>
      <c r="K134">
        <f t="shared" ca="1" si="59"/>
        <v>3</v>
      </c>
      <c r="L134">
        <f t="shared" ca="1" si="60"/>
        <v>2</v>
      </c>
      <c r="M134">
        <f t="shared" ca="1" si="61"/>
        <v>86035</v>
      </c>
      <c r="N134">
        <f t="shared" ca="1" si="62"/>
        <v>13</v>
      </c>
      <c r="O134" t="str">
        <f t="shared" ca="1" si="63"/>
        <v>Prince Edward Islnd</v>
      </c>
      <c r="P134">
        <f t="shared" ca="1" si="46"/>
        <v>430175</v>
      </c>
      <c r="Q134">
        <f t="shared" ca="1" si="64"/>
        <v>21786.65787050291</v>
      </c>
      <c r="R134">
        <f t="shared" ca="1" si="51"/>
        <v>135533.13477514026</v>
      </c>
      <c r="S134">
        <f t="shared" ca="1" si="65"/>
        <v>123286</v>
      </c>
      <c r="T134">
        <f t="shared" ca="1" si="47"/>
        <v>18812.467835461106</v>
      </c>
      <c r="U134">
        <f t="shared" ca="1" si="48"/>
        <v>77881.115300134261</v>
      </c>
      <c r="V134">
        <f t="shared" ca="1" si="49"/>
        <v>643589.25007527461</v>
      </c>
      <c r="W134">
        <f t="shared" ca="1" si="50"/>
        <v>163885.12570596402</v>
      </c>
      <c r="Z134" s="4">
        <f t="shared" ca="1" si="66"/>
        <v>0</v>
      </c>
      <c r="AA134">
        <f t="shared" ca="1" si="67"/>
        <v>1</v>
      </c>
      <c r="AC134" s="5"/>
      <c r="AX134" s="10">
        <f ca="1">Table1[[#This Row],[Car Value]]/Table1[[#This Row],[No. of Vehicles]]</f>
        <v>67766.567387570132</v>
      </c>
      <c r="AZ134">
        <f ca="1">IF(Table1[[#This Row],[Debts]]&gt;$BA$3,1,0)</f>
        <v>0</v>
      </c>
      <c r="BC134" s="12">
        <f ca="1">Table1[[#This Row],[Mortage left]]/Table1[[#This Row],[Value of The House]]</f>
        <v>5.0646034452264566E-2</v>
      </c>
      <c r="BD134" s="4">
        <f t="shared" ca="1" si="68"/>
        <v>1</v>
      </c>
      <c r="BE134" s="5"/>
    </row>
    <row r="135" spans="4:57" x14ac:dyDescent="0.3">
      <c r="D135">
        <f t="shared" ca="1" si="52"/>
        <v>2</v>
      </c>
      <c r="E135" t="str">
        <f t="shared" ca="1" si="53"/>
        <v>Female</v>
      </c>
      <c r="F135">
        <f t="shared" ca="1" si="54"/>
        <v>31</v>
      </c>
      <c r="G135">
        <f t="shared" ca="1" si="55"/>
        <v>6</v>
      </c>
      <c r="H135" t="str">
        <f t="shared" ca="1" si="56"/>
        <v>General Work</v>
      </c>
      <c r="I135">
        <f t="shared" ca="1" si="57"/>
        <v>2</v>
      </c>
      <c r="J135" t="str">
        <f t="shared" ca="1" si="58"/>
        <v>College</v>
      </c>
      <c r="K135">
        <f t="shared" ca="1" si="59"/>
        <v>0</v>
      </c>
      <c r="L135">
        <f t="shared" ca="1" si="60"/>
        <v>1</v>
      </c>
      <c r="M135">
        <f t="shared" ca="1" si="61"/>
        <v>30358</v>
      </c>
      <c r="N135">
        <f t="shared" ca="1" si="62"/>
        <v>2</v>
      </c>
      <c r="O135" t="str">
        <f t="shared" ca="1" si="63"/>
        <v>BC</v>
      </c>
      <c r="P135">
        <f t="shared" ca="1" si="46"/>
        <v>121432</v>
      </c>
      <c r="Q135">
        <f t="shared" ca="1" si="64"/>
        <v>119933.66788582406</v>
      </c>
      <c r="R135">
        <f t="shared" ca="1" si="51"/>
        <v>23567.001548747845</v>
      </c>
      <c r="S135">
        <f t="shared" ca="1" si="65"/>
        <v>3735</v>
      </c>
      <c r="T135">
        <f t="shared" ca="1" si="47"/>
        <v>21977.624275424372</v>
      </c>
      <c r="U135">
        <f t="shared" ca="1" si="48"/>
        <v>44372.314346060142</v>
      </c>
      <c r="V135">
        <f t="shared" ca="1" si="49"/>
        <v>189371.31589480798</v>
      </c>
      <c r="W135">
        <f t="shared" ca="1" si="50"/>
        <v>145646.29216124845</v>
      </c>
      <c r="Z135" s="4">
        <f t="shared" ca="1" si="66"/>
        <v>0</v>
      </c>
      <c r="AA135">
        <f t="shared" ca="1" si="67"/>
        <v>1</v>
      </c>
      <c r="AC135" s="5"/>
      <c r="AX135" s="10">
        <f ca="1">Table1[[#This Row],[Car Value]]/Table1[[#This Row],[No. of Vehicles]]</f>
        <v>23567.001548747845</v>
      </c>
      <c r="AZ135">
        <f ca="1">IF(Table1[[#This Row],[Debts]]&gt;$BA$3,1,0)</f>
        <v>1</v>
      </c>
      <c r="BC135" s="12">
        <f ca="1">Table1[[#This Row],[Mortage left]]/Table1[[#This Row],[Value of The House]]</f>
        <v>0.98766114274510886</v>
      </c>
      <c r="BD135" s="4">
        <f t="shared" ca="1" si="68"/>
        <v>0</v>
      </c>
      <c r="BE135" s="5"/>
    </row>
    <row r="136" spans="4:57" x14ac:dyDescent="0.3">
      <c r="D136">
        <f t="shared" ca="1" si="52"/>
        <v>2</v>
      </c>
      <c r="E136" t="str">
        <f t="shared" ca="1" si="53"/>
        <v>Female</v>
      </c>
      <c r="F136">
        <f t="shared" ca="1" si="54"/>
        <v>34</v>
      </c>
      <c r="G136">
        <f t="shared" ca="1" si="55"/>
        <v>6</v>
      </c>
      <c r="H136" t="str">
        <f t="shared" ca="1" si="56"/>
        <v>General Work</v>
      </c>
      <c r="I136">
        <f t="shared" ca="1" si="57"/>
        <v>3</v>
      </c>
      <c r="J136" t="str">
        <f t="shared" ca="1" si="58"/>
        <v>University</v>
      </c>
      <c r="K136">
        <f t="shared" ca="1" si="59"/>
        <v>2</v>
      </c>
      <c r="L136">
        <f t="shared" ca="1" si="60"/>
        <v>2</v>
      </c>
      <c r="M136">
        <f t="shared" ca="1" si="61"/>
        <v>44736</v>
      </c>
      <c r="N136">
        <f t="shared" ca="1" si="62"/>
        <v>11</v>
      </c>
      <c r="O136" t="str">
        <f t="shared" ca="1" si="63"/>
        <v>New bruncwick</v>
      </c>
      <c r="P136">
        <f t="shared" ca="1" si="46"/>
        <v>268416</v>
      </c>
      <c r="Q136">
        <f t="shared" ca="1" si="64"/>
        <v>90029.089610388066</v>
      </c>
      <c r="R136">
        <f t="shared" ca="1" si="51"/>
        <v>47457.664863386279</v>
      </c>
      <c r="S136">
        <f t="shared" ca="1" si="65"/>
        <v>3273</v>
      </c>
      <c r="T136">
        <f t="shared" ca="1" si="47"/>
        <v>85176.532504416726</v>
      </c>
      <c r="U136">
        <f t="shared" ca="1" si="48"/>
        <v>23662.577137580593</v>
      </c>
      <c r="V136">
        <f t="shared" ca="1" si="49"/>
        <v>339536.24200096691</v>
      </c>
      <c r="W136">
        <f t="shared" ca="1" si="50"/>
        <v>178478.62211480481</v>
      </c>
      <c r="Z136" s="4">
        <f t="shared" ca="1" si="66"/>
        <v>0</v>
      </c>
      <c r="AA136">
        <f t="shared" ca="1" si="67"/>
        <v>1</v>
      </c>
      <c r="AC136" s="5"/>
      <c r="AX136" s="10">
        <f ca="1">Table1[[#This Row],[Car Value]]/Table1[[#This Row],[No. of Vehicles]]</f>
        <v>23728.832431693139</v>
      </c>
      <c r="AZ136">
        <f ca="1">IF(Table1[[#This Row],[Debts]]&gt;$BA$3,1,0)</f>
        <v>1</v>
      </c>
      <c r="BC136" s="12">
        <f ca="1">Table1[[#This Row],[Mortage left]]/Table1[[#This Row],[Value of The House]]</f>
        <v>0.33540880428285968</v>
      </c>
      <c r="BD136" s="4">
        <f t="shared" ca="1" si="68"/>
        <v>0</v>
      </c>
      <c r="BE136" s="5"/>
    </row>
    <row r="137" spans="4:57" x14ac:dyDescent="0.3">
      <c r="D137">
        <f t="shared" ca="1" si="52"/>
        <v>2</v>
      </c>
      <c r="E137" t="str">
        <f t="shared" ca="1" si="53"/>
        <v>Female</v>
      </c>
      <c r="F137">
        <f t="shared" ca="1" si="54"/>
        <v>40</v>
      </c>
      <c r="G137">
        <f t="shared" ca="1" si="55"/>
        <v>3</v>
      </c>
      <c r="H137" t="str">
        <f t="shared" ca="1" si="56"/>
        <v>Teaching</v>
      </c>
      <c r="I137">
        <f t="shared" ca="1" si="57"/>
        <v>3</v>
      </c>
      <c r="J137" t="str">
        <f t="shared" ca="1" si="58"/>
        <v>University</v>
      </c>
      <c r="K137">
        <f t="shared" ca="1" si="59"/>
        <v>4</v>
      </c>
      <c r="L137">
        <f t="shared" ca="1" si="60"/>
        <v>1</v>
      </c>
      <c r="M137">
        <f t="shared" ca="1" si="61"/>
        <v>68937</v>
      </c>
      <c r="N137">
        <f t="shared" ca="1" si="62"/>
        <v>6</v>
      </c>
      <c r="O137" t="str">
        <f t="shared" ca="1" si="63"/>
        <v>Saskatchewan</v>
      </c>
      <c r="P137">
        <f t="shared" ca="1" si="46"/>
        <v>344685</v>
      </c>
      <c r="Q137">
        <f t="shared" ca="1" si="64"/>
        <v>328545.25608361512</v>
      </c>
      <c r="R137">
        <f t="shared" ca="1" si="51"/>
        <v>64699.183692240767</v>
      </c>
      <c r="S137">
        <f t="shared" ca="1" si="65"/>
        <v>45503</v>
      </c>
      <c r="T137">
        <f t="shared" ca="1" si="47"/>
        <v>114324.75675529115</v>
      </c>
      <c r="U137">
        <f t="shared" ca="1" si="48"/>
        <v>39285.167537985115</v>
      </c>
      <c r="V137">
        <f t="shared" ca="1" si="49"/>
        <v>448669.35123022588</v>
      </c>
      <c r="W137">
        <f t="shared" ca="1" si="50"/>
        <v>488373.01283890626</v>
      </c>
      <c r="Z137" s="4">
        <f t="shared" ca="1" si="66"/>
        <v>0</v>
      </c>
      <c r="AA137">
        <f t="shared" ca="1" si="67"/>
        <v>1</v>
      </c>
      <c r="AC137" s="5"/>
      <c r="AX137" s="10">
        <f ca="1">Table1[[#This Row],[Car Value]]/Table1[[#This Row],[No. of Vehicles]]</f>
        <v>64699.183692240767</v>
      </c>
      <c r="AZ137">
        <f ca="1">IF(Table1[[#This Row],[Debts]]&gt;$BA$3,1,0)</f>
        <v>1</v>
      </c>
      <c r="BC137" s="12">
        <f ca="1">Table1[[#This Row],[Mortage left]]/Table1[[#This Row],[Value of The House]]</f>
        <v>0.95317538066238772</v>
      </c>
      <c r="BD137" s="4">
        <f t="shared" ca="1" si="68"/>
        <v>0</v>
      </c>
      <c r="BE137" s="5"/>
    </row>
    <row r="138" spans="4:57" x14ac:dyDescent="0.3">
      <c r="D138">
        <f t="shared" ca="1" si="52"/>
        <v>1</v>
      </c>
      <c r="E138" t="str">
        <f t="shared" ca="1" si="53"/>
        <v>Male</v>
      </c>
      <c r="F138">
        <f t="shared" ca="1" si="54"/>
        <v>41</v>
      </c>
      <c r="G138">
        <f t="shared" ca="1" si="55"/>
        <v>6</v>
      </c>
      <c r="H138" t="str">
        <f t="shared" ca="1" si="56"/>
        <v>General Work</v>
      </c>
      <c r="I138">
        <f t="shared" ca="1" si="57"/>
        <v>2</v>
      </c>
      <c r="J138" t="str">
        <f t="shared" ca="1" si="58"/>
        <v>College</v>
      </c>
      <c r="K138">
        <f t="shared" ca="1" si="59"/>
        <v>4</v>
      </c>
      <c r="L138">
        <f t="shared" ca="1" si="60"/>
        <v>2</v>
      </c>
      <c r="M138">
        <f t="shared" ca="1" si="61"/>
        <v>33066</v>
      </c>
      <c r="N138">
        <f t="shared" ca="1" si="62"/>
        <v>9</v>
      </c>
      <c r="O138" t="str">
        <f t="shared" ca="1" si="63"/>
        <v>Quebec</v>
      </c>
      <c r="P138">
        <f t="shared" ca="1" si="46"/>
        <v>198396</v>
      </c>
      <c r="Q138">
        <f t="shared" ca="1" si="64"/>
        <v>191304.01590031423</v>
      </c>
      <c r="R138">
        <f t="shared" ca="1" si="51"/>
        <v>9147.0441816734092</v>
      </c>
      <c r="S138">
        <f t="shared" ca="1" si="65"/>
        <v>6520</v>
      </c>
      <c r="T138">
        <f t="shared" ca="1" si="47"/>
        <v>55002.651169082412</v>
      </c>
      <c r="U138">
        <f t="shared" ca="1" si="48"/>
        <v>10799.339773129364</v>
      </c>
      <c r="V138">
        <f t="shared" ca="1" si="49"/>
        <v>218342.38395480276</v>
      </c>
      <c r="W138">
        <f t="shared" ca="1" si="50"/>
        <v>252826.66706939664</v>
      </c>
      <c r="Z138" s="4">
        <f t="shared" ca="1" si="66"/>
        <v>1</v>
      </c>
      <c r="AA138">
        <f t="shared" ca="1" si="67"/>
        <v>0</v>
      </c>
      <c r="AC138" s="5"/>
      <c r="AX138" s="10">
        <f ca="1">Table1[[#This Row],[Car Value]]/Table1[[#This Row],[No. of Vehicles]]</f>
        <v>4573.5220908367046</v>
      </c>
      <c r="AZ138">
        <f ca="1">IF(Table1[[#This Row],[Debts]]&gt;$BA$3,1,0)</f>
        <v>1</v>
      </c>
      <c r="BC138" s="12">
        <f ca="1">Table1[[#This Row],[Mortage left]]/Table1[[#This Row],[Value of The House]]</f>
        <v>0.96425339170302948</v>
      </c>
      <c r="BD138" s="4">
        <f t="shared" ca="1" si="68"/>
        <v>0</v>
      </c>
      <c r="BE138" s="5"/>
    </row>
    <row r="139" spans="4:57" x14ac:dyDescent="0.3">
      <c r="D139">
        <f t="shared" ca="1" si="52"/>
        <v>2</v>
      </c>
      <c r="E139" t="str">
        <f t="shared" ca="1" si="53"/>
        <v>Female</v>
      </c>
      <c r="F139">
        <f t="shared" ca="1" si="54"/>
        <v>30</v>
      </c>
      <c r="G139">
        <f t="shared" ca="1" si="55"/>
        <v>4</v>
      </c>
      <c r="H139" t="str">
        <f t="shared" ca="1" si="56"/>
        <v>IT</v>
      </c>
      <c r="I139">
        <f t="shared" ca="1" si="57"/>
        <v>3</v>
      </c>
      <c r="J139" t="str">
        <f t="shared" ca="1" si="58"/>
        <v>University</v>
      </c>
      <c r="K139">
        <f t="shared" ca="1" si="59"/>
        <v>0</v>
      </c>
      <c r="L139">
        <f t="shared" ca="1" si="60"/>
        <v>2</v>
      </c>
      <c r="M139">
        <f t="shared" ca="1" si="61"/>
        <v>81436</v>
      </c>
      <c r="N139">
        <f t="shared" ca="1" si="62"/>
        <v>13</v>
      </c>
      <c r="O139" t="str">
        <f t="shared" ca="1" si="63"/>
        <v>Prince Edward Islnd</v>
      </c>
      <c r="P139">
        <f t="shared" ca="1" si="46"/>
        <v>325744</v>
      </c>
      <c r="Q139">
        <f t="shared" ca="1" si="64"/>
        <v>312483.94176492561</v>
      </c>
      <c r="R139">
        <f t="shared" ca="1" si="51"/>
        <v>113661.55672643754</v>
      </c>
      <c r="S139">
        <f t="shared" ca="1" si="65"/>
        <v>82393</v>
      </c>
      <c r="T139">
        <f t="shared" ca="1" si="47"/>
        <v>77004.03239133647</v>
      </c>
      <c r="U139">
        <f t="shared" ca="1" si="48"/>
        <v>108333.2859965245</v>
      </c>
      <c r="V139">
        <f t="shared" ca="1" si="49"/>
        <v>547738.84272296203</v>
      </c>
      <c r="W139">
        <f t="shared" ca="1" si="50"/>
        <v>471880.97415626206</v>
      </c>
      <c r="Z139" s="4">
        <f t="shared" ca="1" si="66"/>
        <v>0</v>
      </c>
      <c r="AA139">
        <f t="shared" ca="1" si="67"/>
        <v>1</v>
      </c>
      <c r="AC139" s="5"/>
      <c r="AX139" s="10">
        <f ca="1">Table1[[#This Row],[Car Value]]/Table1[[#This Row],[No. of Vehicles]]</f>
        <v>56830.778363218771</v>
      </c>
      <c r="AZ139">
        <f ca="1">IF(Table1[[#This Row],[Debts]]&gt;$BA$3,1,0)</f>
        <v>1</v>
      </c>
      <c r="BC139" s="12">
        <f ca="1">Table1[[#This Row],[Mortage left]]/Table1[[#This Row],[Value of The House]]</f>
        <v>0.95929300851259147</v>
      </c>
      <c r="BD139" s="4">
        <f t="shared" ca="1" si="68"/>
        <v>0</v>
      </c>
      <c r="BE139" s="5"/>
    </row>
    <row r="140" spans="4:57" x14ac:dyDescent="0.3">
      <c r="D140">
        <f t="shared" ca="1" si="52"/>
        <v>2</v>
      </c>
      <c r="E140" t="str">
        <f t="shared" ca="1" si="53"/>
        <v>Female</v>
      </c>
      <c r="F140">
        <f t="shared" ca="1" si="54"/>
        <v>29</v>
      </c>
      <c r="G140">
        <f t="shared" ca="1" si="55"/>
        <v>5</v>
      </c>
      <c r="H140" t="str">
        <f t="shared" ca="1" si="56"/>
        <v>Agriculture</v>
      </c>
      <c r="I140">
        <f t="shared" ca="1" si="57"/>
        <v>2</v>
      </c>
      <c r="J140" t="str">
        <f t="shared" ca="1" si="58"/>
        <v>College</v>
      </c>
      <c r="K140">
        <f t="shared" ca="1" si="59"/>
        <v>2</v>
      </c>
      <c r="L140">
        <f t="shared" ca="1" si="60"/>
        <v>2</v>
      </c>
      <c r="M140">
        <f t="shared" ca="1" si="61"/>
        <v>88569</v>
      </c>
      <c r="N140">
        <f t="shared" ca="1" si="62"/>
        <v>1</v>
      </c>
      <c r="O140" t="str">
        <f t="shared" ca="1" si="63"/>
        <v>Yukon</v>
      </c>
      <c r="P140">
        <f t="shared" ca="1" si="46"/>
        <v>531414</v>
      </c>
      <c r="Q140">
        <f t="shared" ca="1" si="64"/>
        <v>435972.26733598602</v>
      </c>
      <c r="R140">
        <f t="shared" ca="1" si="51"/>
        <v>130884.68937019352</v>
      </c>
      <c r="S140">
        <f t="shared" ca="1" si="65"/>
        <v>39396</v>
      </c>
      <c r="T140">
        <f t="shared" ca="1" si="47"/>
        <v>6332.7782496442424</v>
      </c>
      <c r="U140">
        <f t="shared" ca="1" si="48"/>
        <v>70153.921567424695</v>
      </c>
      <c r="V140">
        <f t="shared" ca="1" si="49"/>
        <v>732452.61093761818</v>
      </c>
      <c r="W140">
        <f t="shared" ca="1" si="50"/>
        <v>481701.04558563029</v>
      </c>
      <c r="Z140" s="4">
        <f t="shared" ca="1" si="66"/>
        <v>0</v>
      </c>
      <c r="AA140">
        <f t="shared" ca="1" si="67"/>
        <v>1</v>
      </c>
      <c r="AC140" s="5"/>
      <c r="AX140" s="10">
        <f ca="1">Table1[[#This Row],[Car Value]]/Table1[[#This Row],[No. of Vehicles]]</f>
        <v>65442.344685096759</v>
      </c>
      <c r="AZ140">
        <f ca="1">IF(Table1[[#This Row],[Debts]]&gt;$BA$3,1,0)</f>
        <v>0</v>
      </c>
      <c r="BC140" s="12">
        <f ca="1">Table1[[#This Row],[Mortage left]]/Table1[[#This Row],[Value of The House]]</f>
        <v>0.82040041725657586</v>
      </c>
      <c r="BD140" s="4">
        <f t="shared" ca="1" si="68"/>
        <v>0</v>
      </c>
      <c r="BE140" s="5"/>
    </row>
    <row r="141" spans="4:57" x14ac:dyDescent="0.3">
      <c r="D141">
        <f t="shared" ca="1" si="52"/>
        <v>2</v>
      </c>
      <c r="E141" t="str">
        <f t="shared" ca="1" si="53"/>
        <v>Female</v>
      </c>
      <c r="F141">
        <f t="shared" ca="1" si="54"/>
        <v>31</v>
      </c>
      <c r="G141">
        <f t="shared" ca="1" si="55"/>
        <v>6</v>
      </c>
      <c r="H141" t="str">
        <f t="shared" ca="1" si="56"/>
        <v>General Work</v>
      </c>
      <c r="I141">
        <f t="shared" ca="1" si="57"/>
        <v>3</v>
      </c>
      <c r="J141" t="str">
        <f t="shared" ca="1" si="58"/>
        <v>University</v>
      </c>
      <c r="K141">
        <f t="shared" ca="1" si="59"/>
        <v>2</v>
      </c>
      <c r="L141">
        <f t="shared" ca="1" si="60"/>
        <v>2</v>
      </c>
      <c r="M141">
        <f t="shared" ca="1" si="61"/>
        <v>62160</v>
      </c>
      <c r="N141">
        <f t="shared" ca="1" si="62"/>
        <v>13</v>
      </c>
      <c r="O141" t="str">
        <f t="shared" ca="1" si="63"/>
        <v>Prince Edward Islnd</v>
      </c>
      <c r="P141">
        <f t="shared" ca="1" si="46"/>
        <v>248640</v>
      </c>
      <c r="Q141">
        <f t="shared" ca="1" si="64"/>
        <v>200562.23051398431</v>
      </c>
      <c r="R141">
        <f t="shared" ca="1" si="51"/>
        <v>40409.782502307578</v>
      </c>
      <c r="S141">
        <f t="shared" ca="1" si="65"/>
        <v>13215</v>
      </c>
      <c r="T141">
        <f t="shared" ca="1" si="47"/>
        <v>29919.561785915746</v>
      </c>
      <c r="U141">
        <f t="shared" ca="1" si="48"/>
        <v>27140.413730197593</v>
      </c>
      <c r="V141">
        <f t="shared" ca="1" si="49"/>
        <v>316190.19623250514</v>
      </c>
      <c r="W141">
        <f t="shared" ca="1" si="50"/>
        <v>243696.79229990006</v>
      </c>
      <c r="Z141" s="4">
        <f t="shared" ca="1" si="66"/>
        <v>0</v>
      </c>
      <c r="AA141">
        <f t="shared" ca="1" si="67"/>
        <v>1</v>
      </c>
      <c r="AC141" s="5"/>
      <c r="AX141" s="10">
        <f ca="1">Table1[[#This Row],[Car Value]]/Table1[[#This Row],[No. of Vehicles]]</f>
        <v>20204.891251153789</v>
      </c>
      <c r="AZ141">
        <f ca="1">IF(Table1[[#This Row],[Debts]]&gt;$BA$3,1,0)</f>
        <v>1</v>
      </c>
      <c r="BC141" s="12">
        <f ca="1">Table1[[#This Row],[Mortage left]]/Table1[[#This Row],[Value of The House]]</f>
        <v>0.80663702748545818</v>
      </c>
      <c r="BD141" s="4">
        <f t="shared" ca="1" si="68"/>
        <v>0</v>
      </c>
      <c r="BE141" s="5"/>
    </row>
    <row r="142" spans="4:57" x14ac:dyDescent="0.3">
      <c r="D142">
        <f t="shared" ca="1" si="52"/>
        <v>1</v>
      </c>
      <c r="E142" t="str">
        <f t="shared" ca="1" si="53"/>
        <v>Male</v>
      </c>
      <c r="F142">
        <f t="shared" ca="1" si="54"/>
        <v>25</v>
      </c>
      <c r="G142">
        <f t="shared" ca="1" si="55"/>
        <v>6</v>
      </c>
      <c r="H142" t="str">
        <f t="shared" ca="1" si="56"/>
        <v>General Work</v>
      </c>
      <c r="I142">
        <f t="shared" ca="1" si="57"/>
        <v>5</v>
      </c>
      <c r="J142" t="str">
        <f t="shared" ca="1" si="58"/>
        <v>Other</v>
      </c>
      <c r="K142">
        <f t="shared" ca="1" si="59"/>
        <v>0</v>
      </c>
      <c r="L142">
        <f t="shared" ca="1" si="60"/>
        <v>2</v>
      </c>
      <c r="M142">
        <f t="shared" ca="1" si="61"/>
        <v>87697</v>
      </c>
      <c r="N142">
        <f t="shared" ca="1" si="62"/>
        <v>11</v>
      </c>
      <c r="O142" t="str">
        <f t="shared" ca="1" si="63"/>
        <v>New bruncwick</v>
      </c>
      <c r="P142">
        <f t="shared" ca="1" si="46"/>
        <v>526182</v>
      </c>
      <c r="Q142">
        <f t="shared" ca="1" si="64"/>
        <v>424864.81770223757</v>
      </c>
      <c r="R142">
        <f t="shared" ca="1" si="51"/>
        <v>37796.498177482681</v>
      </c>
      <c r="S142">
        <f t="shared" ca="1" si="65"/>
        <v>10473</v>
      </c>
      <c r="T142">
        <f t="shared" ca="1" si="47"/>
        <v>139250.43950242529</v>
      </c>
      <c r="U142">
        <f t="shared" ca="1" si="48"/>
        <v>48303.011887321649</v>
      </c>
      <c r="V142">
        <f t="shared" ca="1" si="49"/>
        <v>612281.51006480423</v>
      </c>
      <c r="W142">
        <f t="shared" ca="1" si="50"/>
        <v>574588.25720466289</v>
      </c>
      <c r="Z142" s="4">
        <f t="shared" ca="1" si="66"/>
        <v>1</v>
      </c>
      <c r="AA142">
        <f t="shared" ca="1" si="67"/>
        <v>0</v>
      </c>
      <c r="AC142" s="5"/>
      <c r="AX142" s="10">
        <f ca="1">Table1[[#This Row],[Car Value]]/Table1[[#This Row],[No. of Vehicles]]</f>
        <v>18898.249088741341</v>
      </c>
      <c r="AZ142">
        <f ca="1">IF(Table1[[#This Row],[Debts]]&gt;$BA$3,1,0)</f>
        <v>1</v>
      </c>
      <c r="BC142" s="12">
        <f ca="1">Table1[[#This Row],[Mortage left]]/Table1[[#This Row],[Value of The House]]</f>
        <v>0.80744840701931575</v>
      </c>
      <c r="BD142" s="4">
        <f t="shared" ca="1" si="68"/>
        <v>0</v>
      </c>
      <c r="BE142" s="5"/>
    </row>
    <row r="143" spans="4:57" x14ac:dyDescent="0.3">
      <c r="D143">
        <f t="shared" ca="1" si="52"/>
        <v>2</v>
      </c>
      <c r="E143" t="str">
        <f t="shared" ca="1" si="53"/>
        <v>Female</v>
      </c>
      <c r="F143">
        <f t="shared" ca="1" si="54"/>
        <v>30</v>
      </c>
      <c r="G143">
        <f t="shared" ca="1" si="55"/>
        <v>4</v>
      </c>
      <c r="H143" t="str">
        <f t="shared" ca="1" si="56"/>
        <v>IT</v>
      </c>
      <c r="I143">
        <f t="shared" ca="1" si="57"/>
        <v>5</v>
      </c>
      <c r="J143" t="str">
        <f t="shared" ca="1" si="58"/>
        <v>Other</v>
      </c>
      <c r="K143">
        <f t="shared" ca="1" si="59"/>
        <v>4</v>
      </c>
      <c r="L143">
        <f t="shared" ca="1" si="60"/>
        <v>1</v>
      </c>
      <c r="M143">
        <f t="shared" ca="1" si="61"/>
        <v>55953</v>
      </c>
      <c r="N143">
        <f t="shared" ca="1" si="62"/>
        <v>3</v>
      </c>
      <c r="O143" t="str">
        <f t="shared" ca="1" si="63"/>
        <v>Northwest Ter</v>
      </c>
      <c r="P143">
        <f t="shared" ca="1" si="46"/>
        <v>223812</v>
      </c>
      <c r="Q143">
        <f t="shared" ca="1" si="64"/>
        <v>15127.238506643884</v>
      </c>
      <c r="R143">
        <f t="shared" ca="1" si="51"/>
        <v>26168.829830441962</v>
      </c>
      <c r="S143">
        <f t="shared" ca="1" si="65"/>
        <v>24758</v>
      </c>
      <c r="T143">
        <f t="shared" ca="1" si="47"/>
        <v>31087.444505599437</v>
      </c>
      <c r="U143">
        <f t="shared" ca="1" si="48"/>
        <v>51401.848258483529</v>
      </c>
      <c r="V143">
        <f t="shared" ca="1" si="49"/>
        <v>301382.67808892549</v>
      </c>
      <c r="W143">
        <f t="shared" ca="1" si="50"/>
        <v>70972.683012243331</v>
      </c>
      <c r="Z143" s="4">
        <f t="shared" ca="1" si="66"/>
        <v>0</v>
      </c>
      <c r="AA143">
        <f t="shared" ca="1" si="67"/>
        <v>1</v>
      </c>
      <c r="AC143" s="5"/>
      <c r="AX143" s="10">
        <f ca="1">Table1[[#This Row],[Car Value]]/Table1[[#This Row],[No. of Vehicles]]</f>
        <v>26168.829830441962</v>
      </c>
      <c r="AZ143">
        <f ca="1">IF(Table1[[#This Row],[Debts]]&gt;$BA$3,1,0)</f>
        <v>1</v>
      </c>
      <c r="BC143" s="12">
        <f ca="1">Table1[[#This Row],[Mortage left]]/Table1[[#This Row],[Value of The House]]</f>
        <v>6.7589041278590445E-2</v>
      </c>
      <c r="BD143" s="4">
        <f t="shared" ca="1" si="68"/>
        <v>1</v>
      </c>
      <c r="BE143" s="5"/>
    </row>
    <row r="144" spans="4:57" x14ac:dyDescent="0.3">
      <c r="D144">
        <f t="shared" ca="1" si="52"/>
        <v>2</v>
      </c>
      <c r="E144" t="str">
        <f t="shared" ca="1" si="53"/>
        <v>Female</v>
      </c>
      <c r="F144">
        <f t="shared" ca="1" si="54"/>
        <v>26</v>
      </c>
      <c r="G144">
        <f t="shared" ca="1" si="55"/>
        <v>2</v>
      </c>
      <c r="H144" t="str">
        <f t="shared" ca="1" si="56"/>
        <v>Construction</v>
      </c>
      <c r="I144">
        <f t="shared" ca="1" si="57"/>
        <v>5</v>
      </c>
      <c r="J144" t="str">
        <f t="shared" ca="1" si="58"/>
        <v>Other</v>
      </c>
      <c r="K144">
        <f t="shared" ca="1" si="59"/>
        <v>3</v>
      </c>
      <c r="L144">
        <f t="shared" ca="1" si="60"/>
        <v>2</v>
      </c>
      <c r="M144">
        <f t="shared" ca="1" si="61"/>
        <v>38244</v>
      </c>
      <c r="N144">
        <f t="shared" ca="1" si="62"/>
        <v>7</v>
      </c>
      <c r="O144" t="str">
        <f t="shared" ca="1" si="63"/>
        <v>Manitoba</v>
      </c>
      <c r="P144">
        <f t="shared" ca="1" si="46"/>
        <v>229464</v>
      </c>
      <c r="Q144">
        <f t="shared" ca="1" si="64"/>
        <v>90419.699393131843</v>
      </c>
      <c r="R144">
        <f t="shared" ca="1" si="51"/>
        <v>71765.648494366498</v>
      </c>
      <c r="S144">
        <f t="shared" ca="1" si="65"/>
        <v>68145</v>
      </c>
      <c r="T144">
        <f t="shared" ca="1" si="47"/>
        <v>21955.525718220495</v>
      </c>
      <c r="U144">
        <f t="shared" ca="1" si="48"/>
        <v>1650.197002298783</v>
      </c>
      <c r="V144">
        <f t="shared" ca="1" si="49"/>
        <v>302879.84549666528</v>
      </c>
      <c r="W144">
        <f t="shared" ca="1" si="50"/>
        <v>180520.22511135234</v>
      </c>
      <c r="Z144" s="4">
        <f t="shared" ca="1" si="66"/>
        <v>0</v>
      </c>
      <c r="AA144">
        <f t="shared" ca="1" si="67"/>
        <v>1</v>
      </c>
      <c r="AC144" s="5"/>
      <c r="AX144" s="10">
        <f ca="1">Table1[[#This Row],[Car Value]]/Table1[[#This Row],[No. of Vehicles]]</f>
        <v>35882.824247183249</v>
      </c>
      <c r="AZ144">
        <f ca="1">IF(Table1[[#This Row],[Debts]]&gt;$BA$3,1,0)</f>
        <v>1</v>
      </c>
      <c r="BC144" s="12">
        <f ca="1">Table1[[#This Row],[Mortage left]]/Table1[[#This Row],[Value of The House]]</f>
        <v>0.39404742963223793</v>
      </c>
      <c r="BD144" s="4">
        <f t="shared" ca="1" si="68"/>
        <v>0</v>
      </c>
      <c r="BE144" s="5"/>
    </row>
    <row r="145" spans="4:57" x14ac:dyDescent="0.3">
      <c r="D145">
        <f t="shared" ca="1" si="52"/>
        <v>1</v>
      </c>
      <c r="E145" t="str">
        <f t="shared" ca="1" si="53"/>
        <v>Male</v>
      </c>
      <c r="F145">
        <f t="shared" ca="1" si="54"/>
        <v>40</v>
      </c>
      <c r="G145">
        <f t="shared" ca="1" si="55"/>
        <v>3</v>
      </c>
      <c r="H145" t="str">
        <f t="shared" ca="1" si="56"/>
        <v>Teaching</v>
      </c>
      <c r="I145">
        <f t="shared" ca="1" si="57"/>
        <v>3</v>
      </c>
      <c r="J145" t="str">
        <f t="shared" ca="1" si="58"/>
        <v>University</v>
      </c>
      <c r="K145">
        <f t="shared" ca="1" si="59"/>
        <v>2</v>
      </c>
      <c r="L145">
        <f t="shared" ca="1" si="60"/>
        <v>1</v>
      </c>
      <c r="M145">
        <f t="shared" ca="1" si="61"/>
        <v>34821</v>
      </c>
      <c r="N145">
        <f t="shared" ca="1" si="62"/>
        <v>11</v>
      </c>
      <c r="O145" t="str">
        <f t="shared" ca="1" si="63"/>
        <v>New bruncwick</v>
      </c>
      <c r="P145">
        <f t="shared" ca="1" si="46"/>
        <v>208926</v>
      </c>
      <c r="Q145">
        <f t="shared" ca="1" si="64"/>
        <v>27321.928738847</v>
      </c>
      <c r="R145">
        <f t="shared" ca="1" si="51"/>
        <v>22839.539400306297</v>
      </c>
      <c r="S145">
        <f t="shared" ca="1" si="65"/>
        <v>15893</v>
      </c>
      <c r="T145">
        <f t="shared" ca="1" si="47"/>
        <v>43167.01185910849</v>
      </c>
      <c r="U145">
        <f t="shared" ca="1" si="48"/>
        <v>21663.68750344975</v>
      </c>
      <c r="V145">
        <f t="shared" ca="1" si="49"/>
        <v>253429.22690375603</v>
      </c>
      <c r="W145">
        <f t="shared" ca="1" si="50"/>
        <v>86381.940597955487</v>
      </c>
      <c r="Z145" s="4">
        <f t="shared" ca="1" si="66"/>
        <v>1</v>
      </c>
      <c r="AA145">
        <f t="shared" ca="1" si="67"/>
        <v>0</v>
      </c>
      <c r="AC145" s="5"/>
      <c r="AX145" s="10">
        <f ca="1">Table1[[#This Row],[Car Value]]/Table1[[#This Row],[No. of Vehicles]]</f>
        <v>22839.539400306297</v>
      </c>
      <c r="AZ145">
        <f ca="1">IF(Table1[[#This Row],[Debts]]&gt;$BA$3,1,0)</f>
        <v>1</v>
      </c>
      <c r="BC145" s="12">
        <f ca="1">Table1[[#This Row],[Mortage left]]/Table1[[#This Row],[Value of The House]]</f>
        <v>0.13077323424967213</v>
      </c>
      <c r="BD145" s="4">
        <f t="shared" ca="1" si="68"/>
        <v>1</v>
      </c>
      <c r="BE145" s="5"/>
    </row>
    <row r="146" spans="4:57" x14ac:dyDescent="0.3">
      <c r="D146">
        <f t="shared" ca="1" si="52"/>
        <v>2</v>
      </c>
      <c r="E146" t="str">
        <f t="shared" ca="1" si="53"/>
        <v>Female</v>
      </c>
      <c r="F146">
        <f t="shared" ca="1" si="54"/>
        <v>26</v>
      </c>
      <c r="G146">
        <f t="shared" ca="1" si="55"/>
        <v>4</v>
      </c>
      <c r="H146" t="str">
        <f t="shared" ca="1" si="56"/>
        <v>IT</v>
      </c>
      <c r="I146">
        <f t="shared" ca="1" si="57"/>
        <v>4</v>
      </c>
      <c r="J146" t="str">
        <f t="shared" ca="1" si="58"/>
        <v>Technical</v>
      </c>
      <c r="K146">
        <f t="shared" ca="1" si="59"/>
        <v>3</v>
      </c>
      <c r="L146">
        <f t="shared" ca="1" si="60"/>
        <v>2</v>
      </c>
      <c r="M146">
        <f t="shared" ca="1" si="61"/>
        <v>50173</v>
      </c>
      <c r="N146">
        <f t="shared" ca="1" si="62"/>
        <v>11</v>
      </c>
      <c r="O146" t="str">
        <f t="shared" ca="1" si="63"/>
        <v>New bruncwick</v>
      </c>
      <c r="P146">
        <f t="shared" ca="1" si="46"/>
        <v>301038</v>
      </c>
      <c r="Q146">
        <f t="shared" ca="1" si="64"/>
        <v>231246.01313742384</v>
      </c>
      <c r="R146">
        <f t="shared" ca="1" si="51"/>
        <v>45867.648590652883</v>
      </c>
      <c r="S146">
        <f t="shared" ca="1" si="65"/>
        <v>44772</v>
      </c>
      <c r="T146">
        <f t="shared" ca="1" si="47"/>
        <v>97898.318588162379</v>
      </c>
      <c r="U146">
        <f t="shared" ca="1" si="48"/>
        <v>18930.857823244925</v>
      </c>
      <c r="V146">
        <f t="shared" ca="1" si="49"/>
        <v>365836.50641389779</v>
      </c>
      <c r="W146">
        <f t="shared" ca="1" si="50"/>
        <v>373916.33172558621</v>
      </c>
      <c r="Z146" s="4">
        <f t="shared" ca="1" si="66"/>
        <v>0</v>
      </c>
      <c r="AA146">
        <f t="shared" ca="1" si="67"/>
        <v>1</v>
      </c>
      <c r="AC146" s="5"/>
      <c r="AX146" s="10">
        <f ca="1">Table1[[#This Row],[Car Value]]/Table1[[#This Row],[No. of Vehicles]]</f>
        <v>22933.824295326442</v>
      </c>
      <c r="AZ146">
        <f ca="1">IF(Table1[[#This Row],[Debts]]&gt;$BA$3,1,0)</f>
        <v>1</v>
      </c>
      <c r="BC146" s="12">
        <f ca="1">Table1[[#This Row],[Mortage left]]/Table1[[#This Row],[Value of The House]]</f>
        <v>0.76816220257051882</v>
      </c>
      <c r="BD146" s="4">
        <f t="shared" ca="1" si="68"/>
        <v>0</v>
      </c>
      <c r="BE146" s="5"/>
    </row>
    <row r="147" spans="4:57" x14ac:dyDescent="0.3">
      <c r="D147">
        <f t="shared" ca="1" si="52"/>
        <v>1</v>
      </c>
      <c r="E147" t="str">
        <f t="shared" ca="1" si="53"/>
        <v>Male</v>
      </c>
      <c r="F147">
        <f t="shared" ca="1" si="54"/>
        <v>38</v>
      </c>
      <c r="G147">
        <f t="shared" ca="1" si="55"/>
        <v>3</v>
      </c>
      <c r="H147" t="str">
        <f t="shared" ca="1" si="56"/>
        <v>Teaching</v>
      </c>
      <c r="I147">
        <f t="shared" ca="1" si="57"/>
        <v>1</v>
      </c>
      <c r="J147" t="str">
        <f t="shared" ca="1" si="58"/>
        <v>High School</v>
      </c>
      <c r="K147">
        <f t="shared" ca="1" si="59"/>
        <v>3</v>
      </c>
      <c r="L147">
        <f t="shared" ca="1" si="60"/>
        <v>1</v>
      </c>
      <c r="M147">
        <f t="shared" ca="1" si="61"/>
        <v>66185</v>
      </c>
      <c r="N147">
        <f t="shared" ca="1" si="62"/>
        <v>12</v>
      </c>
      <c r="O147" t="str">
        <f t="shared" ca="1" si="63"/>
        <v>Nova scotia</v>
      </c>
      <c r="P147">
        <f t="shared" ca="1" si="46"/>
        <v>264740</v>
      </c>
      <c r="Q147">
        <f t="shared" ca="1" si="64"/>
        <v>72937.309645280897</v>
      </c>
      <c r="R147">
        <f t="shared" ca="1" si="51"/>
        <v>11890.13778040963</v>
      </c>
      <c r="S147">
        <f t="shared" ca="1" si="65"/>
        <v>9837</v>
      </c>
      <c r="T147">
        <f t="shared" ca="1" si="47"/>
        <v>45912.397457996318</v>
      </c>
      <c r="U147">
        <f t="shared" ca="1" si="48"/>
        <v>69091.937179767978</v>
      </c>
      <c r="V147">
        <f t="shared" ca="1" si="49"/>
        <v>345722.07496017765</v>
      </c>
      <c r="W147">
        <f t="shared" ca="1" si="50"/>
        <v>128686.70710327721</v>
      </c>
      <c r="Z147" s="4">
        <f t="shared" ca="1" si="66"/>
        <v>1</v>
      </c>
      <c r="AA147">
        <f t="shared" ca="1" si="67"/>
        <v>0</v>
      </c>
      <c r="AC147" s="5"/>
      <c r="AX147" s="10">
        <f ca="1">Table1[[#This Row],[Car Value]]/Table1[[#This Row],[No. of Vehicles]]</f>
        <v>11890.13778040963</v>
      </c>
      <c r="AZ147">
        <f ca="1">IF(Table1[[#This Row],[Debts]]&gt;$BA$3,1,0)</f>
        <v>1</v>
      </c>
      <c r="BC147" s="12">
        <f ca="1">Table1[[#This Row],[Mortage left]]/Table1[[#This Row],[Value of The House]]</f>
        <v>0.27550543795905758</v>
      </c>
      <c r="BD147" s="4">
        <f t="shared" ca="1" si="68"/>
        <v>0</v>
      </c>
      <c r="BE147" s="5"/>
    </row>
    <row r="148" spans="4:57" x14ac:dyDescent="0.3">
      <c r="D148">
        <f t="shared" ca="1" si="52"/>
        <v>1</v>
      </c>
      <c r="E148" t="str">
        <f t="shared" ca="1" si="53"/>
        <v>Male</v>
      </c>
      <c r="F148">
        <f t="shared" ca="1" si="54"/>
        <v>33</v>
      </c>
      <c r="G148">
        <f t="shared" ca="1" si="55"/>
        <v>3</v>
      </c>
      <c r="H148" t="str">
        <f t="shared" ca="1" si="56"/>
        <v>Teaching</v>
      </c>
      <c r="I148">
        <f t="shared" ca="1" si="57"/>
        <v>3</v>
      </c>
      <c r="J148" t="str">
        <f t="shared" ca="1" si="58"/>
        <v>University</v>
      </c>
      <c r="K148">
        <f t="shared" ca="1" si="59"/>
        <v>2</v>
      </c>
      <c r="L148">
        <f t="shared" ca="1" si="60"/>
        <v>1</v>
      </c>
      <c r="M148">
        <f t="shared" ca="1" si="61"/>
        <v>79777</v>
      </c>
      <c r="N148">
        <f t="shared" ca="1" si="62"/>
        <v>8</v>
      </c>
      <c r="O148" t="str">
        <f t="shared" ca="1" si="63"/>
        <v>Ontario</v>
      </c>
      <c r="P148">
        <f t="shared" ca="1" si="46"/>
        <v>478662</v>
      </c>
      <c r="Q148">
        <f t="shared" ca="1" si="64"/>
        <v>394345.12598769856</v>
      </c>
      <c r="R148">
        <f t="shared" ca="1" si="51"/>
        <v>62714.743690362251</v>
      </c>
      <c r="S148">
        <f t="shared" ca="1" si="65"/>
        <v>37278</v>
      </c>
      <c r="T148">
        <f t="shared" ca="1" si="47"/>
        <v>99912.013711549589</v>
      </c>
      <c r="U148">
        <f t="shared" ca="1" si="48"/>
        <v>53439.87541311793</v>
      </c>
      <c r="V148">
        <f t="shared" ca="1" si="49"/>
        <v>594816.61910348013</v>
      </c>
      <c r="W148">
        <f t="shared" ca="1" si="50"/>
        <v>531535.13969924813</v>
      </c>
      <c r="Z148" s="4">
        <f t="shared" ca="1" si="66"/>
        <v>1</v>
      </c>
      <c r="AA148">
        <f t="shared" ca="1" si="67"/>
        <v>0</v>
      </c>
      <c r="AC148" s="5"/>
      <c r="AX148" s="10">
        <f ca="1">Table1[[#This Row],[Car Value]]/Table1[[#This Row],[No. of Vehicles]]</f>
        <v>62714.743690362251</v>
      </c>
      <c r="AZ148">
        <f ca="1">IF(Table1[[#This Row],[Debts]]&gt;$BA$3,1,0)</f>
        <v>1</v>
      </c>
      <c r="BC148" s="12">
        <f ca="1">Table1[[#This Row],[Mortage left]]/Table1[[#This Row],[Value of The House]]</f>
        <v>0.82384882440573637</v>
      </c>
      <c r="BD148" s="4">
        <f t="shared" ca="1" si="68"/>
        <v>0</v>
      </c>
      <c r="BE148" s="5"/>
    </row>
    <row r="149" spans="4:57" x14ac:dyDescent="0.3">
      <c r="D149">
        <f t="shared" ca="1" si="52"/>
        <v>1</v>
      </c>
      <c r="E149" t="str">
        <f t="shared" ca="1" si="53"/>
        <v>Male</v>
      </c>
      <c r="F149">
        <f t="shared" ca="1" si="54"/>
        <v>42</v>
      </c>
      <c r="G149">
        <f t="shared" ca="1" si="55"/>
        <v>4</v>
      </c>
      <c r="H149" t="str">
        <f t="shared" ca="1" si="56"/>
        <v>IT</v>
      </c>
      <c r="I149">
        <f t="shared" ca="1" si="57"/>
        <v>1</v>
      </c>
      <c r="J149" t="str">
        <f t="shared" ca="1" si="58"/>
        <v>High School</v>
      </c>
      <c r="K149">
        <f t="shared" ca="1" si="59"/>
        <v>1</v>
      </c>
      <c r="L149">
        <f t="shared" ca="1" si="60"/>
        <v>1</v>
      </c>
      <c r="M149">
        <f t="shared" ca="1" si="61"/>
        <v>66371</v>
      </c>
      <c r="N149">
        <f t="shared" ca="1" si="62"/>
        <v>7</v>
      </c>
      <c r="O149" t="str">
        <f t="shared" ca="1" si="63"/>
        <v>Manitoba</v>
      </c>
      <c r="P149">
        <f t="shared" ca="1" si="46"/>
        <v>265484</v>
      </c>
      <c r="Q149">
        <f t="shared" ca="1" si="64"/>
        <v>85727.92190943523</v>
      </c>
      <c r="R149">
        <f t="shared" ca="1" si="51"/>
        <v>56573.873577972881</v>
      </c>
      <c r="S149">
        <f t="shared" ca="1" si="65"/>
        <v>31342</v>
      </c>
      <c r="T149">
        <f t="shared" ca="1" si="47"/>
        <v>117193.10155910316</v>
      </c>
      <c r="U149">
        <f t="shared" ca="1" si="48"/>
        <v>39171.824182425233</v>
      </c>
      <c r="V149">
        <f t="shared" ca="1" si="49"/>
        <v>361229.69776039809</v>
      </c>
      <c r="W149">
        <f t="shared" ca="1" si="50"/>
        <v>234263.02346853839</v>
      </c>
      <c r="Z149" s="4">
        <f t="shared" ca="1" si="66"/>
        <v>1</v>
      </c>
      <c r="AA149">
        <f t="shared" ca="1" si="67"/>
        <v>0</v>
      </c>
      <c r="AC149" s="5"/>
      <c r="AX149" s="10">
        <f ca="1">Table1[[#This Row],[Car Value]]/Table1[[#This Row],[No. of Vehicles]]</f>
        <v>56573.873577972881</v>
      </c>
      <c r="AZ149">
        <f ca="1">IF(Table1[[#This Row],[Debts]]&gt;$BA$3,1,0)</f>
        <v>1</v>
      </c>
      <c r="BC149" s="12">
        <f ca="1">Table1[[#This Row],[Mortage left]]/Table1[[#This Row],[Value of The House]]</f>
        <v>0.32291182108690253</v>
      </c>
      <c r="BD149" s="4">
        <f t="shared" ca="1" si="68"/>
        <v>0</v>
      </c>
      <c r="BE149" s="5"/>
    </row>
    <row r="150" spans="4:57" x14ac:dyDescent="0.3">
      <c r="D150">
        <f t="shared" ca="1" si="52"/>
        <v>2</v>
      </c>
      <c r="E150" t="str">
        <f t="shared" ca="1" si="53"/>
        <v>Female</v>
      </c>
      <c r="F150">
        <f t="shared" ca="1" si="54"/>
        <v>37</v>
      </c>
      <c r="G150">
        <f t="shared" ca="1" si="55"/>
        <v>6</v>
      </c>
      <c r="H150" t="str">
        <f t="shared" ca="1" si="56"/>
        <v>General Work</v>
      </c>
      <c r="I150">
        <f t="shared" ca="1" si="57"/>
        <v>5</v>
      </c>
      <c r="J150" t="str">
        <f t="shared" ca="1" si="58"/>
        <v>Other</v>
      </c>
      <c r="K150">
        <f t="shared" ca="1" si="59"/>
        <v>1</v>
      </c>
      <c r="L150">
        <f t="shared" ca="1" si="60"/>
        <v>2</v>
      </c>
      <c r="M150">
        <f t="shared" ca="1" si="61"/>
        <v>44999</v>
      </c>
      <c r="N150">
        <f t="shared" ca="1" si="62"/>
        <v>13</v>
      </c>
      <c r="O150" t="str">
        <f t="shared" ca="1" si="63"/>
        <v>Prince Edward Islnd</v>
      </c>
      <c r="P150">
        <f t="shared" ca="1" si="46"/>
        <v>179996</v>
      </c>
      <c r="Q150">
        <f t="shared" ca="1" si="64"/>
        <v>109701.52516917257</v>
      </c>
      <c r="R150">
        <f t="shared" ca="1" si="51"/>
        <v>69864.093044639012</v>
      </c>
      <c r="S150">
        <f t="shared" ca="1" si="65"/>
        <v>62494</v>
      </c>
      <c r="T150">
        <f t="shared" ca="1" si="47"/>
        <v>2040.6568389566769</v>
      </c>
      <c r="U150">
        <f t="shared" ca="1" si="48"/>
        <v>14837.240986757748</v>
      </c>
      <c r="V150">
        <f t="shared" ca="1" si="49"/>
        <v>264697.33403139678</v>
      </c>
      <c r="W150">
        <f t="shared" ca="1" si="50"/>
        <v>174236.18200812922</v>
      </c>
      <c r="Z150" s="4">
        <f t="shared" ca="1" si="66"/>
        <v>0</v>
      </c>
      <c r="AA150">
        <f t="shared" ca="1" si="67"/>
        <v>1</v>
      </c>
      <c r="AC150" s="5"/>
      <c r="AX150" s="10">
        <f ca="1">Table1[[#This Row],[Car Value]]/Table1[[#This Row],[No. of Vehicles]]</f>
        <v>34932.046522319506</v>
      </c>
      <c r="AZ150">
        <f ca="1">IF(Table1[[#This Row],[Debts]]&gt;$BA$3,1,0)</f>
        <v>0</v>
      </c>
      <c r="BC150" s="12">
        <f ca="1">Table1[[#This Row],[Mortage left]]/Table1[[#This Row],[Value of The House]]</f>
        <v>0.60946646130565441</v>
      </c>
      <c r="BD150" s="4">
        <f t="shared" ca="1" si="68"/>
        <v>0</v>
      </c>
      <c r="BE150" s="5"/>
    </row>
    <row r="151" spans="4:57" x14ac:dyDescent="0.3">
      <c r="D151">
        <f t="shared" ca="1" si="52"/>
        <v>2</v>
      </c>
      <c r="E151" t="str">
        <f t="shared" ca="1" si="53"/>
        <v>Female</v>
      </c>
      <c r="F151">
        <f t="shared" ca="1" si="54"/>
        <v>36</v>
      </c>
      <c r="G151">
        <f t="shared" ca="1" si="55"/>
        <v>2</v>
      </c>
      <c r="H151" t="str">
        <f t="shared" ca="1" si="56"/>
        <v>Construction</v>
      </c>
      <c r="I151">
        <f t="shared" ca="1" si="57"/>
        <v>5</v>
      </c>
      <c r="J151" t="str">
        <f t="shared" ca="1" si="58"/>
        <v>Other</v>
      </c>
      <c r="K151">
        <f t="shared" ca="1" si="59"/>
        <v>1</v>
      </c>
      <c r="L151">
        <f t="shared" ca="1" si="60"/>
        <v>2</v>
      </c>
      <c r="M151">
        <f t="shared" ca="1" si="61"/>
        <v>25875</v>
      </c>
      <c r="N151">
        <f t="shared" ca="1" si="62"/>
        <v>1</v>
      </c>
      <c r="O151" t="str">
        <f t="shared" ca="1" si="63"/>
        <v>Yukon</v>
      </c>
      <c r="P151">
        <f t="shared" ca="1" si="46"/>
        <v>129375</v>
      </c>
      <c r="Q151">
        <f t="shared" ca="1" si="64"/>
        <v>21967.544161064965</v>
      </c>
      <c r="R151">
        <f t="shared" ca="1" si="51"/>
        <v>21031.359985396539</v>
      </c>
      <c r="S151">
        <f t="shared" ca="1" si="65"/>
        <v>17036</v>
      </c>
      <c r="T151">
        <f t="shared" ca="1" si="47"/>
        <v>39772.125544014045</v>
      </c>
      <c r="U151">
        <f t="shared" ca="1" si="48"/>
        <v>13647.910374046656</v>
      </c>
      <c r="V151">
        <f t="shared" ca="1" si="49"/>
        <v>164054.27035944318</v>
      </c>
      <c r="W151">
        <f t="shared" ca="1" si="50"/>
        <v>78775.66970507901</v>
      </c>
      <c r="Z151" s="4">
        <f t="shared" ca="1" si="66"/>
        <v>0</v>
      </c>
      <c r="AA151">
        <f t="shared" ca="1" si="67"/>
        <v>1</v>
      </c>
      <c r="AC151" s="5"/>
      <c r="AX151" s="10">
        <f ca="1">Table1[[#This Row],[Car Value]]/Table1[[#This Row],[No. of Vehicles]]</f>
        <v>10515.679992698269</v>
      </c>
      <c r="AZ151">
        <f ca="1">IF(Table1[[#This Row],[Debts]]&gt;$BA$3,1,0)</f>
        <v>1</v>
      </c>
      <c r="BC151" s="12">
        <f ca="1">Table1[[#This Row],[Mortage left]]/Table1[[#This Row],[Value of The House]]</f>
        <v>0.1697974427908403</v>
      </c>
      <c r="BD151" s="4">
        <f t="shared" ca="1" si="68"/>
        <v>1</v>
      </c>
      <c r="BE151" s="5"/>
    </row>
    <row r="152" spans="4:57" x14ac:dyDescent="0.3">
      <c r="D152">
        <f t="shared" ca="1" si="52"/>
        <v>2</v>
      </c>
      <c r="E152" t="str">
        <f t="shared" ca="1" si="53"/>
        <v>Female</v>
      </c>
      <c r="F152">
        <f t="shared" ca="1" si="54"/>
        <v>29</v>
      </c>
      <c r="G152">
        <f t="shared" ca="1" si="55"/>
        <v>6</v>
      </c>
      <c r="H152" t="str">
        <f t="shared" ca="1" si="56"/>
        <v>General Work</v>
      </c>
      <c r="I152">
        <f t="shared" ca="1" si="57"/>
        <v>2</v>
      </c>
      <c r="J152" t="str">
        <f t="shared" ca="1" si="58"/>
        <v>College</v>
      </c>
      <c r="K152">
        <f t="shared" ca="1" si="59"/>
        <v>1</v>
      </c>
      <c r="L152">
        <f t="shared" ca="1" si="60"/>
        <v>1</v>
      </c>
      <c r="M152">
        <f t="shared" ca="1" si="61"/>
        <v>30872</v>
      </c>
      <c r="N152">
        <f t="shared" ca="1" si="62"/>
        <v>12</v>
      </c>
      <c r="O152" t="str">
        <f t="shared" ca="1" si="63"/>
        <v>Nova scotia</v>
      </c>
      <c r="P152">
        <f t="shared" ca="1" si="46"/>
        <v>154360</v>
      </c>
      <c r="Q152">
        <f t="shared" ca="1" si="64"/>
        <v>23050.708561091589</v>
      </c>
      <c r="R152">
        <f t="shared" ca="1" si="51"/>
        <v>5363.5611265925709</v>
      </c>
      <c r="S152">
        <f t="shared" ca="1" si="65"/>
        <v>4330</v>
      </c>
      <c r="T152">
        <f t="shared" ca="1" si="47"/>
        <v>30044.311451005626</v>
      </c>
      <c r="U152">
        <f t="shared" ca="1" si="48"/>
        <v>35231.334057267057</v>
      </c>
      <c r="V152">
        <f t="shared" ca="1" si="49"/>
        <v>194954.89518385963</v>
      </c>
      <c r="W152">
        <f t="shared" ca="1" si="50"/>
        <v>57425.020012097215</v>
      </c>
      <c r="Z152" s="4">
        <f t="shared" ca="1" si="66"/>
        <v>0</v>
      </c>
      <c r="AA152">
        <f t="shared" ca="1" si="67"/>
        <v>1</v>
      </c>
      <c r="AC152" s="5"/>
      <c r="AX152" s="10">
        <f ca="1">Table1[[#This Row],[Car Value]]/Table1[[#This Row],[No. of Vehicles]]</f>
        <v>5363.5611265925709</v>
      </c>
      <c r="AZ152">
        <f ca="1">IF(Table1[[#This Row],[Debts]]&gt;$BA$3,1,0)</f>
        <v>1</v>
      </c>
      <c r="BC152" s="12">
        <f ca="1">Table1[[#This Row],[Mortage left]]/Table1[[#This Row],[Value of The House]]</f>
        <v>0.14933084063935986</v>
      </c>
      <c r="BD152" s="4">
        <f t="shared" ca="1" si="68"/>
        <v>1</v>
      </c>
      <c r="BE152" s="5"/>
    </row>
    <row r="153" spans="4:57" x14ac:dyDescent="0.3">
      <c r="D153">
        <f t="shared" ca="1" si="52"/>
        <v>2</v>
      </c>
      <c r="E153" t="str">
        <f t="shared" ca="1" si="53"/>
        <v>Female</v>
      </c>
      <c r="F153">
        <f t="shared" ca="1" si="54"/>
        <v>41</v>
      </c>
      <c r="G153">
        <f t="shared" ca="1" si="55"/>
        <v>3</v>
      </c>
      <c r="H153" t="str">
        <f t="shared" ca="1" si="56"/>
        <v>Teaching</v>
      </c>
      <c r="I153">
        <f t="shared" ca="1" si="57"/>
        <v>1</v>
      </c>
      <c r="J153" t="str">
        <f t="shared" ca="1" si="58"/>
        <v>High School</v>
      </c>
      <c r="K153">
        <f t="shared" ca="1" si="59"/>
        <v>3</v>
      </c>
      <c r="L153">
        <f t="shared" ca="1" si="60"/>
        <v>2</v>
      </c>
      <c r="M153">
        <f t="shared" ca="1" si="61"/>
        <v>38146</v>
      </c>
      <c r="N153">
        <f t="shared" ca="1" si="62"/>
        <v>10</v>
      </c>
      <c r="O153" t="str">
        <f t="shared" ca="1" si="63"/>
        <v>Newfouland</v>
      </c>
      <c r="P153">
        <f t="shared" ca="1" si="46"/>
        <v>152584</v>
      </c>
      <c r="Q153">
        <f t="shared" ca="1" si="64"/>
        <v>41191.179325017889</v>
      </c>
      <c r="R153">
        <f t="shared" ca="1" si="51"/>
        <v>32186.052349153713</v>
      </c>
      <c r="S153">
        <f t="shared" ca="1" si="65"/>
        <v>145</v>
      </c>
      <c r="T153">
        <f t="shared" ca="1" si="47"/>
        <v>42407.620198974051</v>
      </c>
      <c r="U153">
        <f t="shared" ca="1" si="48"/>
        <v>29349.176116447845</v>
      </c>
      <c r="V153">
        <f t="shared" ca="1" si="49"/>
        <v>214119.22846560154</v>
      </c>
      <c r="W153">
        <f t="shared" ca="1" si="50"/>
        <v>83743.79952399194</v>
      </c>
      <c r="Z153" s="4">
        <f t="shared" ca="1" si="66"/>
        <v>0</v>
      </c>
      <c r="AA153">
        <f t="shared" ca="1" si="67"/>
        <v>1</v>
      </c>
      <c r="AC153" s="5"/>
      <c r="AX153" s="10">
        <f ca="1">Table1[[#This Row],[Car Value]]/Table1[[#This Row],[No. of Vehicles]]</f>
        <v>16093.026174576857</v>
      </c>
      <c r="AZ153">
        <f ca="1">IF(Table1[[#This Row],[Debts]]&gt;$BA$3,1,0)</f>
        <v>1</v>
      </c>
      <c r="BC153" s="12">
        <f ca="1">Table1[[#This Row],[Mortage left]]/Table1[[#This Row],[Value of The House]]</f>
        <v>0.2699573960901398</v>
      </c>
      <c r="BD153" s="4">
        <f t="shared" ca="1" si="68"/>
        <v>0</v>
      </c>
      <c r="BE153" s="5"/>
    </row>
    <row r="154" spans="4:57" x14ac:dyDescent="0.3">
      <c r="D154">
        <f t="shared" ca="1" si="52"/>
        <v>2</v>
      </c>
      <c r="E154" t="str">
        <f t="shared" ca="1" si="53"/>
        <v>Female</v>
      </c>
      <c r="F154">
        <f t="shared" ca="1" si="54"/>
        <v>26</v>
      </c>
      <c r="G154">
        <f t="shared" ca="1" si="55"/>
        <v>4</v>
      </c>
      <c r="H154" t="str">
        <f t="shared" ca="1" si="56"/>
        <v>IT</v>
      </c>
      <c r="I154">
        <f t="shared" ca="1" si="57"/>
        <v>2</v>
      </c>
      <c r="J154" t="str">
        <f t="shared" ca="1" si="58"/>
        <v>College</v>
      </c>
      <c r="K154">
        <f t="shared" ca="1" si="59"/>
        <v>4</v>
      </c>
      <c r="L154">
        <f t="shared" ca="1" si="60"/>
        <v>1</v>
      </c>
      <c r="M154">
        <f t="shared" ca="1" si="61"/>
        <v>51753</v>
      </c>
      <c r="N154">
        <f t="shared" ca="1" si="62"/>
        <v>6</v>
      </c>
      <c r="O154" t="str">
        <f t="shared" ca="1" si="63"/>
        <v>Saskatchewan</v>
      </c>
      <c r="P154">
        <f t="shared" ca="1" si="46"/>
        <v>310518</v>
      </c>
      <c r="Q154">
        <f t="shared" ca="1" si="64"/>
        <v>196447.92593290773</v>
      </c>
      <c r="R154">
        <f t="shared" ca="1" si="51"/>
        <v>27417.724660701886</v>
      </c>
      <c r="S154">
        <f t="shared" ca="1" si="65"/>
        <v>13225</v>
      </c>
      <c r="T154">
        <f t="shared" ca="1" si="47"/>
        <v>36557.938158652905</v>
      </c>
      <c r="U154">
        <f t="shared" ca="1" si="48"/>
        <v>46667.009816754929</v>
      </c>
      <c r="V154">
        <f t="shared" ca="1" si="49"/>
        <v>384602.73447745678</v>
      </c>
      <c r="W154">
        <f t="shared" ca="1" si="50"/>
        <v>246230.86409156065</v>
      </c>
      <c r="Z154" s="4">
        <f t="shared" ca="1" si="66"/>
        <v>0</v>
      </c>
      <c r="AA154">
        <f t="shared" ca="1" si="67"/>
        <v>1</v>
      </c>
      <c r="AC154" s="5"/>
      <c r="AX154" s="10">
        <f ca="1">Table1[[#This Row],[Car Value]]/Table1[[#This Row],[No. of Vehicles]]</f>
        <v>27417.724660701886</v>
      </c>
      <c r="AZ154">
        <f ca="1">IF(Table1[[#This Row],[Debts]]&gt;$BA$3,1,0)</f>
        <v>1</v>
      </c>
      <c r="BC154" s="12">
        <f ca="1">Table1[[#This Row],[Mortage left]]/Table1[[#This Row],[Value of The House]]</f>
        <v>0.63264585606279744</v>
      </c>
      <c r="BD154" s="4">
        <f t="shared" ca="1" si="68"/>
        <v>0</v>
      </c>
      <c r="BE154" s="5"/>
    </row>
    <row r="155" spans="4:57" x14ac:dyDescent="0.3">
      <c r="D155">
        <f t="shared" ca="1" si="52"/>
        <v>1</v>
      </c>
      <c r="E155" t="str">
        <f t="shared" ca="1" si="53"/>
        <v>Male</v>
      </c>
      <c r="F155">
        <f t="shared" ca="1" si="54"/>
        <v>40</v>
      </c>
      <c r="G155">
        <f t="shared" ca="1" si="55"/>
        <v>5</v>
      </c>
      <c r="H155" t="str">
        <f t="shared" ca="1" si="56"/>
        <v>Agriculture</v>
      </c>
      <c r="I155">
        <f t="shared" ca="1" si="57"/>
        <v>5</v>
      </c>
      <c r="J155" t="str">
        <f t="shared" ca="1" si="58"/>
        <v>Other</v>
      </c>
      <c r="K155">
        <f t="shared" ca="1" si="59"/>
        <v>3</v>
      </c>
      <c r="L155">
        <f t="shared" ca="1" si="60"/>
        <v>1</v>
      </c>
      <c r="M155">
        <f t="shared" ca="1" si="61"/>
        <v>81431</v>
      </c>
      <c r="N155">
        <f t="shared" ca="1" si="62"/>
        <v>2</v>
      </c>
      <c r="O155" t="str">
        <f t="shared" ca="1" si="63"/>
        <v>BC</v>
      </c>
      <c r="P155">
        <f t="shared" ca="1" si="46"/>
        <v>325724</v>
      </c>
      <c r="Q155">
        <f t="shared" ca="1" si="64"/>
        <v>201389.14782674352</v>
      </c>
      <c r="R155">
        <f t="shared" ca="1" si="51"/>
        <v>26050.54999109585</v>
      </c>
      <c r="S155">
        <f t="shared" ca="1" si="65"/>
        <v>2668</v>
      </c>
      <c r="T155">
        <f t="shared" ca="1" si="47"/>
        <v>101920.25575733896</v>
      </c>
      <c r="U155">
        <f t="shared" ca="1" si="48"/>
        <v>21318.285582965284</v>
      </c>
      <c r="V155">
        <f t="shared" ca="1" si="49"/>
        <v>373092.83557406114</v>
      </c>
      <c r="W155">
        <f t="shared" ca="1" si="50"/>
        <v>305977.40358408249</v>
      </c>
      <c r="Z155" s="4">
        <f t="shared" ca="1" si="66"/>
        <v>1</v>
      </c>
      <c r="AA155">
        <f t="shared" ca="1" si="67"/>
        <v>0</v>
      </c>
      <c r="AC155" s="5"/>
      <c r="AX155" s="10">
        <f ca="1">Table1[[#This Row],[Car Value]]/Table1[[#This Row],[No. of Vehicles]]</f>
        <v>26050.54999109585</v>
      </c>
      <c r="AZ155">
        <f ca="1">IF(Table1[[#This Row],[Debts]]&gt;$BA$3,1,0)</f>
        <v>1</v>
      </c>
      <c r="BC155" s="12">
        <f ca="1">Table1[[#This Row],[Mortage left]]/Table1[[#This Row],[Value of The House]]</f>
        <v>0.61828157528073924</v>
      </c>
      <c r="BD155" s="4">
        <f t="shared" ca="1" si="68"/>
        <v>0</v>
      </c>
      <c r="BE155" s="5"/>
    </row>
    <row r="156" spans="4:57" x14ac:dyDescent="0.3">
      <c r="D156">
        <f t="shared" ca="1" si="52"/>
        <v>2</v>
      </c>
      <c r="E156" t="str">
        <f t="shared" ca="1" si="53"/>
        <v>Female</v>
      </c>
      <c r="F156">
        <f t="shared" ca="1" si="54"/>
        <v>34</v>
      </c>
      <c r="G156">
        <f t="shared" ca="1" si="55"/>
        <v>1</v>
      </c>
      <c r="H156" t="str">
        <f t="shared" ca="1" si="56"/>
        <v>Health</v>
      </c>
      <c r="I156">
        <f t="shared" ca="1" si="57"/>
        <v>3</v>
      </c>
      <c r="J156" t="str">
        <f t="shared" ca="1" si="58"/>
        <v>University</v>
      </c>
      <c r="K156">
        <f t="shared" ca="1" si="59"/>
        <v>0</v>
      </c>
      <c r="L156">
        <f t="shared" ca="1" si="60"/>
        <v>1</v>
      </c>
      <c r="M156">
        <f t="shared" ca="1" si="61"/>
        <v>37810</v>
      </c>
      <c r="N156">
        <f t="shared" ca="1" si="62"/>
        <v>10</v>
      </c>
      <c r="O156" t="str">
        <f t="shared" ca="1" si="63"/>
        <v>Newfouland</v>
      </c>
      <c r="P156">
        <f t="shared" ca="1" si="46"/>
        <v>226860</v>
      </c>
      <c r="Q156">
        <f t="shared" ca="1" si="64"/>
        <v>20974.999603502907</v>
      </c>
      <c r="R156">
        <f t="shared" ca="1" si="51"/>
        <v>32162.958811090484</v>
      </c>
      <c r="S156">
        <f t="shared" ca="1" si="65"/>
        <v>13683</v>
      </c>
      <c r="T156">
        <f t="shared" ca="1" si="47"/>
        <v>36800.546275883884</v>
      </c>
      <c r="U156">
        <f t="shared" ca="1" si="48"/>
        <v>21012.435830062481</v>
      </c>
      <c r="V156">
        <f t="shared" ca="1" si="49"/>
        <v>280035.39464115293</v>
      </c>
      <c r="W156">
        <f t="shared" ca="1" si="50"/>
        <v>71458.545879386787</v>
      </c>
      <c r="Z156" s="4">
        <f t="shared" ca="1" si="66"/>
        <v>0</v>
      </c>
      <c r="AA156">
        <f t="shared" ca="1" si="67"/>
        <v>1</v>
      </c>
      <c r="AC156" s="5"/>
      <c r="AX156" s="10">
        <f ca="1">Table1[[#This Row],[Car Value]]/Table1[[#This Row],[No. of Vehicles]]</f>
        <v>32162.958811090484</v>
      </c>
      <c r="AZ156">
        <f ca="1">IF(Table1[[#This Row],[Debts]]&gt;$BA$3,1,0)</f>
        <v>1</v>
      </c>
      <c r="BC156" s="12">
        <f ca="1">Table1[[#This Row],[Mortage left]]/Table1[[#This Row],[Value of The House]]</f>
        <v>9.2457901805090836E-2</v>
      </c>
      <c r="BD156" s="4">
        <f t="shared" ca="1" si="68"/>
        <v>1</v>
      </c>
      <c r="BE156" s="5"/>
    </row>
    <row r="157" spans="4:57" x14ac:dyDescent="0.3">
      <c r="D157">
        <f t="shared" ca="1" si="52"/>
        <v>2</v>
      </c>
      <c r="E157" t="str">
        <f t="shared" ca="1" si="53"/>
        <v>Female</v>
      </c>
      <c r="F157">
        <f t="shared" ca="1" si="54"/>
        <v>34</v>
      </c>
      <c r="G157">
        <f t="shared" ca="1" si="55"/>
        <v>2</v>
      </c>
      <c r="H157" t="str">
        <f t="shared" ca="1" si="56"/>
        <v>Construction</v>
      </c>
      <c r="I157">
        <f t="shared" ca="1" si="57"/>
        <v>5</v>
      </c>
      <c r="J157" t="str">
        <f t="shared" ca="1" si="58"/>
        <v>Other</v>
      </c>
      <c r="K157">
        <f t="shared" ca="1" si="59"/>
        <v>4</v>
      </c>
      <c r="L157">
        <f t="shared" ca="1" si="60"/>
        <v>2</v>
      </c>
      <c r="M157">
        <f t="shared" ca="1" si="61"/>
        <v>46380</v>
      </c>
      <c r="N157">
        <f t="shared" ca="1" si="62"/>
        <v>3</v>
      </c>
      <c r="O157" t="str">
        <f t="shared" ca="1" si="63"/>
        <v>Northwest Ter</v>
      </c>
      <c r="P157">
        <f t="shared" ca="1" si="46"/>
        <v>278280</v>
      </c>
      <c r="Q157">
        <f t="shared" ca="1" si="64"/>
        <v>198519.57107610832</v>
      </c>
      <c r="R157">
        <f t="shared" ca="1" si="51"/>
        <v>38134.31683567688</v>
      </c>
      <c r="S157">
        <f t="shared" ca="1" si="65"/>
        <v>4358</v>
      </c>
      <c r="T157">
        <f t="shared" ca="1" si="47"/>
        <v>5290.8324456218888</v>
      </c>
      <c r="U157">
        <f t="shared" ca="1" si="48"/>
        <v>64929.538649400492</v>
      </c>
      <c r="V157">
        <f t="shared" ca="1" si="49"/>
        <v>381343.85548507737</v>
      </c>
      <c r="W157">
        <f t="shared" ca="1" si="50"/>
        <v>208168.40352173022</v>
      </c>
      <c r="Z157" s="4">
        <f t="shared" ca="1" si="66"/>
        <v>0</v>
      </c>
      <c r="AA157">
        <f t="shared" ca="1" si="67"/>
        <v>1</v>
      </c>
      <c r="AC157" s="5"/>
      <c r="AX157" s="10">
        <f ca="1">Table1[[#This Row],[Car Value]]/Table1[[#This Row],[No. of Vehicles]]</f>
        <v>19067.15841783844</v>
      </c>
      <c r="AZ157">
        <f ca="1">IF(Table1[[#This Row],[Debts]]&gt;$BA$3,1,0)</f>
        <v>0</v>
      </c>
      <c r="BC157" s="12">
        <f ca="1">Table1[[#This Row],[Mortage left]]/Table1[[#This Row],[Value of The House]]</f>
        <v>0.71338066363413943</v>
      </c>
      <c r="BD157" s="4">
        <f t="shared" ca="1" si="68"/>
        <v>0</v>
      </c>
      <c r="BE157" s="5"/>
    </row>
    <row r="158" spans="4:57" x14ac:dyDescent="0.3">
      <c r="D158">
        <f t="shared" ca="1" si="52"/>
        <v>1</v>
      </c>
      <c r="E158" t="str">
        <f t="shared" ca="1" si="53"/>
        <v>Male</v>
      </c>
      <c r="F158">
        <f t="shared" ca="1" si="54"/>
        <v>32</v>
      </c>
      <c r="G158">
        <f t="shared" ca="1" si="55"/>
        <v>3</v>
      </c>
      <c r="H158" t="str">
        <f t="shared" ca="1" si="56"/>
        <v>Teaching</v>
      </c>
      <c r="I158">
        <f t="shared" ca="1" si="57"/>
        <v>1</v>
      </c>
      <c r="J158" t="str">
        <f t="shared" ca="1" si="58"/>
        <v>High School</v>
      </c>
      <c r="K158">
        <f t="shared" ca="1" si="59"/>
        <v>1</v>
      </c>
      <c r="L158">
        <f t="shared" ca="1" si="60"/>
        <v>1</v>
      </c>
      <c r="M158">
        <f t="shared" ca="1" si="61"/>
        <v>50528</v>
      </c>
      <c r="N158">
        <f t="shared" ca="1" si="62"/>
        <v>12</v>
      </c>
      <c r="O158" t="str">
        <f t="shared" ca="1" si="63"/>
        <v>Nova scotia</v>
      </c>
      <c r="P158">
        <f t="shared" ca="1" si="46"/>
        <v>252640</v>
      </c>
      <c r="Q158">
        <f t="shared" ca="1" si="64"/>
        <v>112129.65089039116</v>
      </c>
      <c r="R158">
        <f t="shared" ca="1" si="51"/>
        <v>41851.25337907701</v>
      </c>
      <c r="S158">
        <f t="shared" ca="1" si="65"/>
        <v>11692</v>
      </c>
      <c r="T158">
        <f t="shared" ca="1" si="47"/>
        <v>72228.33651971331</v>
      </c>
      <c r="U158">
        <f t="shared" ca="1" si="48"/>
        <v>74545.104172849547</v>
      </c>
      <c r="V158">
        <f t="shared" ca="1" si="49"/>
        <v>369036.35755192657</v>
      </c>
      <c r="W158">
        <f t="shared" ca="1" si="50"/>
        <v>196049.98741010448</v>
      </c>
      <c r="Z158" s="4">
        <f t="shared" ca="1" si="66"/>
        <v>1</v>
      </c>
      <c r="AA158">
        <f t="shared" ca="1" si="67"/>
        <v>0</v>
      </c>
      <c r="AC158" s="5"/>
      <c r="AX158" s="10">
        <f ca="1">Table1[[#This Row],[Car Value]]/Table1[[#This Row],[No. of Vehicles]]</f>
        <v>41851.25337907701</v>
      </c>
      <c r="AZ158">
        <f ca="1">IF(Table1[[#This Row],[Debts]]&gt;$BA$3,1,0)</f>
        <v>1</v>
      </c>
      <c r="BC158" s="12">
        <f ca="1">Table1[[#This Row],[Mortage left]]/Table1[[#This Row],[Value of The House]]</f>
        <v>0.4438317403831189</v>
      </c>
      <c r="BD158" s="4">
        <f t="shared" ca="1" si="68"/>
        <v>0</v>
      </c>
      <c r="BE158" s="5"/>
    </row>
    <row r="159" spans="4:57" x14ac:dyDescent="0.3">
      <c r="D159">
        <f t="shared" ca="1" si="52"/>
        <v>1</v>
      </c>
      <c r="E159" t="str">
        <f t="shared" ca="1" si="53"/>
        <v>Male</v>
      </c>
      <c r="F159">
        <f t="shared" ca="1" si="54"/>
        <v>37</v>
      </c>
      <c r="G159">
        <f t="shared" ca="1" si="55"/>
        <v>3</v>
      </c>
      <c r="H159" t="str">
        <f t="shared" ca="1" si="56"/>
        <v>Teaching</v>
      </c>
      <c r="I159">
        <f t="shared" ca="1" si="57"/>
        <v>3</v>
      </c>
      <c r="J159" t="str">
        <f t="shared" ca="1" si="58"/>
        <v>University</v>
      </c>
      <c r="K159">
        <f t="shared" ca="1" si="59"/>
        <v>4</v>
      </c>
      <c r="L159">
        <f t="shared" ca="1" si="60"/>
        <v>1</v>
      </c>
      <c r="M159">
        <f t="shared" ca="1" si="61"/>
        <v>64516</v>
      </c>
      <c r="N159">
        <f t="shared" ca="1" si="62"/>
        <v>8</v>
      </c>
      <c r="O159" t="str">
        <f t="shared" ca="1" si="63"/>
        <v>Ontario</v>
      </c>
      <c r="P159">
        <f t="shared" ca="1" si="46"/>
        <v>387096</v>
      </c>
      <c r="Q159">
        <f t="shared" ca="1" si="64"/>
        <v>56698.692978757128</v>
      </c>
      <c r="R159">
        <f t="shared" ca="1" si="51"/>
        <v>22719.620327634431</v>
      </c>
      <c r="S159">
        <f t="shared" ca="1" si="65"/>
        <v>13200</v>
      </c>
      <c r="T159">
        <f t="shared" ca="1" si="47"/>
        <v>116205.61888469932</v>
      </c>
      <c r="U159">
        <f t="shared" ca="1" si="48"/>
        <v>37606.120383693094</v>
      </c>
      <c r="V159">
        <f t="shared" ca="1" si="49"/>
        <v>447421.74071132753</v>
      </c>
      <c r="W159">
        <f t="shared" ca="1" si="50"/>
        <v>186104.31186345645</v>
      </c>
      <c r="Z159" s="4">
        <f t="shared" ca="1" si="66"/>
        <v>1</v>
      </c>
      <c r="AA159">
        <f t="shared" ca="1" si="67"/>
        <v>0</v>
      </c>
      <c r="AC159" s="5"/>
      <c r="AX159" s="10">
        <f ca="1">Table1[[#This Row],[Car Value]]/Table1[[#This Row],[No. of Vehicles]]</f>
        <v>22719.620327634431</v>
      </c>
      <c r="AZ159">
        <f ca="1">IF(Table1[[#This Row],[Debts]]&gt;$BA$3,1,0)</f>
        <v>1</v>
      </c>
      <c r="BC159" s="12">
        <f ca="1">Table1[[#This Row],[Mortage left]]/Table1[[#This Row],[Value of The House]]</f>
        <v>0.14647191647228885</v>
      </c>
      <c r="BD159" s="4">
        <f t="shared" ca="1" si="68"/>
        <v>1</v>
      </c>
      <c r="BE159" s="5"/>
    </row>
    <row r="160" spans="4:57" x14ac:dyDescent="0.3">
      <c r="D160">
        <f t="shared" ca="1" si="52"/>
        <v>2</v>
      </c>
      <c r="E160" t="str">
        <f t="shared" ca="1" si="53"/>
        <v>Female</v>
      </c>
      <c r="F160">
        <f t="shared" ca="1" si="54"/>
        <v>26</v>
      </c>
      <c r="G160">
        <f t="shared" ca="1" si="55"/>
        <v>6</v>
      </c>
      <c r="H160" t="str">
        <f t="shared" ca="1" si="56"/>
        <v>General Work</v>
      </c>
      <c r="I160">
        <f t="shared" ca="1" si="57"/>
        <v>1</v>
      </c>
      <c r="J160" t="str">
        <f t="shared" ca="1" si="58"/>
        <v>High School</v>
      </c>
      <c r="K160">
        <f t="shared" ca="1" si="59"/>
        <v>1</v>
      </c>
      <c r="L160">
        <f t="shared" ca="1" si="60"/>
        <v>1</v>
      </c>
      <c r="M160">
        <f t="shared" ca="1" si="61"/>
        <v>50053</v>
      </c>
      <c r="N160">
        <f t="shared" ca="1" si="62"/>
        <v>7</v>
      </c>
      <c r="O160" t="str">
        <f t="shared" ca="1" si="63"/>
        <v>Manitoba</v>
      </c>
      <c r="P160">
        <f t="shared" ca="1" si="46"/>
        <v>250265</v>
      </c>
      <c r="Q160">
        <f t="shared" ca="1" si="64"/>
        <v>80846.685659524053</v>
      </c>
      <c r="R160">
        <f t="shared" ca="1" si="51"/>
        <v>30874.923212473605</v>
      </c>
      <c r="S160">
        <f t="shared" ca="1" si="65"/>
        <v>13131</v>
      </c>
      <c r="T160">
        <f t="shared" ca="1" si="47"/>
        <v>43863.948365168973</v>
      </c>
      <c r="U160">
        <f t="shared" ca="1" si="48"/>
        <v>40163.694456682715</v>
      </c>
      <c r="V160">
        <f t="shared" ca="1" si="49"/>
        <v>321303.61766915635</v>
      </c>
      <c r="W160">
        <f t="shared" ca="1" si="50"/>
        <v>137841.63402469302</v>
      </c>
      <c r="Z160" s="4">
        <f t="shared" ca="1" si="66"/>
        <v>0</v>
      </c>
      <c r="AA160">
        <f t="shared" ca="1" si="67"/>
        <v>1</v>
      </c>
      <c r="AC160" s="5"/>
      <c r="AX160" s="10">
        <f ca="1">Table1[[#This Row],[Car Value]]/Table1[[#This Row],[No. of Vehicles]]</f>
        <v>30874.923212473605</v>
      </c>
      <c r="AZ160">
        <f ca="1">IF(Table1[[#This Row],[Debts]]&gt;$BA$3,1,0)</f>
        <v>1</v>
      </c>
      <c r="BC160" s="12">
        <f ca="1">Table1[[#This Row],[Mortage left]]/Table1[[#This Row],[Value of The House]]</f>
        <v>0.3230443156634929</v>
      </c>
      <c r="BD160" s="4">
        <f t="shared" ca="1" si="68"/>
        <v>0</v>
      </c>
      <c r="BE160" s="5"/>
    </row>
    <row r="161" spans="4:57" x14ac:dyDescent="0.3">
      <c r="D161">
        <f t="shared" ca="1" si="52"/>
        <v>2</v>
      </c>
      <c r="E161" t="str">
        <f t="shared" ca="1" si="53"/>
        <v>Female</v>
      </c>
      <c r="F161">
        <f t="shared" ca="1" si="54"/>
        <v>41</v>
      </c>
      <c r="G161">
        <f t="shared" ca="1" si="55"/>
        <v>6</v>
      </c>
      <c r="H161" t="str">
        <f t="shared" ca="1" si="56"/>
        <v>General Work</v>
      </c>
      <c r="I161">
        <f t="shared" ca="1" si="57"/>
        <v>1</v>
      </c>
      <c r="J161" t="str">
        <f t="shared" ca="1" si="58"/>
        <v>High School</v>
      </c>
      <c r="K161">
        <f t="shared" ca="1" si="59"/>
        <v>2</v>
      </c>
      <c r="L161">
        <f t="shared" ca="1" si="60"/>
        <v>1</v>
      </c>
      <c r="M161">
        <f t="shared" ca="1" si="61"/>
        <v>40849</v>
      </c>
      <c r="N161">
        <f t="shared" ca="1" si="62"/>
        <v>1</v>
      </c>
      <c r="O161" t="str">
        <f t="shared" ca="1" si="63"/>
        <v>Yukon</v>
      </c>
      <c r="P161">
        <f t="shared" ca="1" si="46"/>
        <v>204245</v>
      </c>
      <c r="Q161">
        <f t="shared" ca="1" si="64"/>
        <v>83330.566258876395</v>
      </c>
      <c r="R161">
        <f t="shared" ca="1" si="51"/>
        <v>10070.885509897607</v>
      </c>
      <c r="S161">
        <f t="shared" ca="1" si="65"/>
        <v>8530</v>
      </c>
      <c r="T161">
        <f t="shared" ca="1" si="47"/>
        <v>68522.799203910748</v>
      </c>
      <c r="U161">
        <f t="shared" ca="1" si="48"/>
        <v>38846.695723805475</v>
      </c>
      <c r="V161">
        <f t="shared" ca="1" si="49"/>
        <v>253162.58123370307</v>
      </c>
      <c r="W161">
        <f t="shared" ca="1" si="50"/>
        <v>160383.36546278716</v>
      </c>
      <c r="Z161" s="4">
        <f t="shared" ca="1" si="66"/>
        <v>0</v>
      </c>
      <c r="AA161">
        <f t="shared" ca="1" si="67"/>
        <v>1</v>
      </c>
      <c r="AC161" s="5"/>
      <c r="AX161" s="10">
        <f ca="1">Table1[[#This Row],[Car Value]]/Table1[[#This Row],[No. of Vehicles]]</f>
        <v>10070.885509897607</v>
      </c>
      <c r="AZ161">
        <f ca="1">IF(Table1[[#This Row],[Debts]]&gt;$BA$3,1,0)</f>
        <v>1</v>
      </c>
      <c r="BC161" s="12">
        <f ca="1">Table1[[#This Row],[Mortage left]]/Table1[[#This Row],[Value of The House]]</f>
        <v>0.40799317613100144</v>
      </c>
      <c r="BD161" s="4">
        <f t="shared" ca="1" si="68"/>
        <v>0</v>
      </c>
      <c r="BE161" s="5"/>
    </row>
    <row r="162" spans="4:57" x14ac:dyDescent="0.3">
      <c r="D162">
        <f t="shared" ca="1" si="52"/>
        <v>1</v>
      </c>
      <c r="E162" t="str">
        <f t="shared" ca="1" si="53"/>
        <v>Male</v>
      </c>
      <c r="F162">
        <f t="shared" ca="1" si="54"/>
        <v>34</v>
      </c>
      <c r="G162">
        <f t="shared" ca="1" si="55"/>
        <v>2</v>
      </c>
      <c r="H162" t="str">
        <f t="shared" ca="1" si="56"/>
        <v>Construction</v>
      </c>
      <c r="I162">
        <f t="shared" ca="1" si="57"/>
        <v>4</v>
      </c>
      <c r="J162" t="str">
        <f t="shared" ca="1" si="58"/>
        <v>Technical</v>
      </c>
      <c r="K162">
        <f t="shared" ca="1" si="59"/>
        <v>3</v>
      </c>
      <c r="L162">
        <f t="shared" ca="1" si="60"/>
        <v>1</v>
      </c>
      <c r="M162">
        <f t="shared" ca="1" si="61"/>
        <v>43546</v>
      </c>
      <c r="N162">
        <f t="shared" ca="1" si="62"/>
        <v>9</v>
      </c>
      <c r="O162" t="str">
        <f t="shared" ca="1" si="63"/>
        <v>Quebec</v>
      </c>
      <c r="P162">
        <f t="shared" ca="1" si="46"/>
        <v>174184</v>
      </c>
      <c r="Q162">
        <f t="shared" ca="1" si="64"/>
        <v>67351.241893974962</v>
      </c>
      <c r="R162">
        <f t="shared" ca="1" si="51"/>
        <v>16398.007466527171</v>
      </c>
      <c r="S162">
        <f t="shared" ca="1" si="65"/>
        <v>90</v>
      </c>
      <c r="T162">
        <f t="shared" ca="1" si="47"/>
        <v>21000.858665935408</v>
      </c>
      <c r="U162">
        <f t="shared" ca="1" si="48"/>
        <v>32716.132534144665</v>
      </c>
      <c r="V162">
        <f t="shared" ca="1" si="49"/>
        <v>223298.14000067185</v>
      </c>
      <c r="W162">
        <f t="shared" ca="1" si="50"/>
        <v>88442.100559910366</v>
      </c>
      <c r="Z162" s="4">
        <f t="shared" ca="1" si="66"/>
        <v>1</v>
      </c>
      <c r="AA162">
        <f t="shared" ca="1" si="67"/>
        <v>0</v>
      </c>
      <c r="AC162" s="5"/>
      <c r="AX162" s="10">
        <f ca="1">Table1[[#This Row],[Car Value]]/Table1[[#This Row],[No. of Vehicles]]</f>
        <v>16398.007466527171</v>
      </c>
      <c r="AZ162">
        <f ca="1">IF(Table1[[#This Row],[Debts]]&gt;$BA$3,1,0)</f>
        <v>1</v>
      </c>
      <c r="BC162" s="12">
        <f ca="1">Table1[[#This Row],[Mortage left]]/Table1[[#This Row],[Value of The House]]</f>
        <v>0.38666721337192256</v>
      </c>
      <c r="BD162" s="4">
        <f t="shared" ca="1" si="68"/>
        <v>0</v>
      </c>
      <c r="BE162" s="5"/>
    </row>
    <row r="163" spans="4:57" x14ac:dyDescent="0.3">
      <c r="D163">
        <f t="shared" ca="1" si="52"/>
        <v>1</v>
      </c>
      <c r="E163" t="str">
        <f t="shared" ca="1" si="53"/>
        <v>Male</v>
      </c>
      <c r="F163">
        <f t="shared" ca="1" si="54"/>
        <v>36</v>
      </c>
      <c r="G163">
        <f t="shared" ca="1" si="55"/>
        <v>3</v>
      </c>
      <c r="H163" t="str">
        <f t="shared" ca="1" si="56"/>
        <v>Teaching</v>
      </c>
      <c r="I163">
        <f t="shared" ca="1" si="57"/>
        <v>4</v>
      </c>
      <c r="J163" t="str">
        <f t="shared" ca="1" si="58"/>
        <v>Technical</v>
      </c>
      <c r="K163">
        <f t="shared" ca="1" si="59"/>
        <v>2</v>
      </c>
      <c r="L163">
        <f t="shared" ca="1" si="60"/>
        <v>2</v>
      </c>
      <c r="M163">
        <f t="shared" ca="1" si="61"/>
        <v>61865</v>
      </c>
      <c r="N163">
        <f t="shared" ca="1" si="62"/>
        <v>6</v>
      </c>
      <c r="O163" t="str">
        <f t="shared" ca="1" si="63"/>
        <v>Saskatchewan</v>
      </c>
      <c r="P163">
        <f t="shared" ca="1" si="46"/>
        <v>247460</v>
      </c>
      <c r="Q163">
        <f t="shared" ca="1" si="64"/>
        <v>49.622627305915145</v>
      </c>
      <c r="R163">
        <f t="shared" ca="1" si="51"/>
        <v>24962.84900348671</v>
      </c>
      <c r="S163">
        <f t="shared" ca="1" si="65"/>
        <v>21898</v>
      </c>
      <c r="T163">
        <f t="shared" ca="1" si="47"/>
        <v>91218.685630020205</v>
      </c>
      <c r="U163">
        <f t="shared" ca="1" si="48"/>
        <v>30303.283904009237</v>
      </c>
      <c r="V163">
        <f t="shared" ca="1" si="49"/>
        <v>302726.13290749595</v>
      </c>
      <c r="W163">
        <f t="shared" ca="1" si="50"/>
        <v>113166.30825732612</v>
      </c>
      <c r="Z163" s="4">
        <f t="shared" ca="1" si="66"/>
        <v>1</v>
      </c>
      <c r="AA163">
        <f t="shared" ca="1" si="67"/>
        <v>0</v>
      </c>
      <c r="AC163" s="5"/>
      <c r="AX163" s="10">
        <f ca="1">Table1[[#This Row],[Car Value]]/Table1[[#This Row],[No. of Vehicles]]</f>
        <v>12481.424501743355</v>
      </c>
      <c r="AZ163">
        <f ca="1">IF(Table1[[#This Row],[Debts]]&gt;$BA$3,1,0)</f>
        <v>1</v>
      </c>
      <c r="BC163" s="12">
        <f ca="1">Table1[[#This Row],[Mortage left]]/Table1[[#This Row],[Value of The House]]</f>
        <v>2.0052787240731895E-4</v>
      </c>
      <c r="BD163" s="4">
        <f t="shared" ca="1" si="68"/>
        <v>1</v>
      </c>
      <c r="BE163" s="5"/>
    </row>
    <row r="164" spans="4:57" x14ac:dyDescent="0.3">
      <c r="D164">
        <f t="shared" ca="1" si="52"/>
        <v>2</v>
      </c>
      <c r="E164" t="str">
        <f t="shared" ca="1" si="53"/>
        <v>Female</v>
      </c>
      <c r="F164">
        <f t="shared" ca="1" si="54"/>
        <v>25</v>
      </c>
      <c r="G164">
        <f t="shared" ca="1" si="55"/>
        <v>3</v>
      </c>
      <c r="H164" t="str">
        <f t="shared" ca="1" si="56"/>
        <v>Teaching</v>
      </c>
      <c r="I164">
        <f t="shared" ca="1" si="57"/>
        <v>5</v>
      </c>
      <c r="J164" t="str">
        <f t="shared" ca="1" si="58"/>
        <v>Other</v>
      </c>
      <c r="K164">
        <f t="shared" ca="1" si="59"/>
        <v>2</v>
      </c>
      <c r="L164">
        <f t="shared" ca="1" si="60"/>
        <v>2</v>
      </c>
      <c r="M164">
        <f t="shared" ca="1" si="61"/>
        <v>48672</v>
      </c>
      <c r="N164">
        <f t="shared" ca="1" si="62"/>
        <v>10</v>
      </c>
      <c r="O164" t="str">
        <f t="shared" ca="1" si="63"/>
        <v>Newfouland</v>
      </c>
      <c r="P164">
        <f t="shared" ca="1" si="46"/>
        <v>292032</v>
      </c>
      <c r="Q164">
        <f t="shared" ca="1" si="64"/>
        <v>166691.20999860295</v>
      </c>
      <c r="R164">
        <f t="shared" ca="1" si="51"/>
        <v>40317.379532571744</v>
      </c>
      <c r="S164">
        <f t="shared" ca="1" si="65"/>
        <v>1371</v>
      </c>
      <c r="T164">
        <f t="shared" ca="1" si="47"/>
        <v>72818.582823290446</v>
      </c>
      <c r="U164">
        <f t="shared" ca="1" si="48"/>
        <v>46884.318636106182</v>
      </c>
      <c r="V164">
        <f t="shared" ca="1" si="49"/>
        <v>379233.69816867798</v>
      </c>
      <c r="W164">
        <f t="shared" ca="1" si="50"/>
        <v>240880.79282189341</v>
      </c>
      <c r="Z164" s="4">
        <f t="shared" ca="1" si="66"/>
        <v>0</v>
      </c>
      <c r="AA164">
        <f t="shared" ca="1" si="67"/>
        <v>1</v>
      </c>
      <c r="AC164" s="5"/>
      <c r="AX164" s="10">
        <f ca="1">Table1[[#This Row],[Car Value]]/Table1[[#This Row],[No. of Vehicles]]</f>
        <v>20158.689766285872</v>
      </c>
      <c r="AZ164">
        <f ca="1">IF(Table1[[#This Row],[Debts]]&gt;$BA$3,1,0)</f>
        <v>1</v>
      </c>
      <c r="BC164" s="12">
        <f ca="1">Table1[[#This Row],[Mortage left]]/Table1[[#This Row],[Value of The House]]</f>
        <v>0.57079775503575958</v>
      </c>
      <c r="BD164" s="4">
        <f t="shared" ca="1" si="68"/>
        <v>0</v>
      </c>
      <c r="BE164" s="5"/>
    </row>
    <row r="165" spans="4:57" x14ac:dyDescent="0.3">
      <c r="D165">
        <f t="shared" ca="1" si="52"/>
        <v>2</v>
      </c>
      <c r="E165" t="str">
        <f t="shared" ca="1" si="53"/>
        <v>Female</v>
      </c>
      <c r="F165">
        <f t="shared" ca="1" si="54"/>
        <v>41</v>
      </c>
      <c r="G165">
        <f t="shared" ca="1" si="55"/>
        <v>5</v>
      </c>
      <c r="H165" t="str">
        <f t="shared" ca="1" si="56"/>
        <v>Agriculture</v>
      </c>
      <c r="I165">
        <f t="shared" ca="1" si="57"/>
        <v>2</v>
      </c>
      <c r="J165" t="str">
        <f t="shared" ca="1" si="58"/>
        <v>College</v>
      </c>
      <c r="K165">
        <f t="shared" ca="1" si="59"/>
        <v>1</v>
      </c>
      <c r="L165">
        <f t="shared" ca="1" si="60"/>
        <v>2</v>
      </c>
      <c r="M165">
        <f t="shared" ca="1" si="61"/>
        <v>31679</v>
      </c>
      <c r="N165">
        <f t="shared" ca="1" si="62"/>
        <v>9</v>
      </c>
      <c r="O165" t="str">
        <f t="shared" ca="1" si="63"/>
        <v>Quebec</v>
      </c>
      <c r="P165">
        <f t="shared" ref="P165:P228" ca="1" si="69">M165*RANDBETWEEN(4,6)</f>
        <v>158395</v>
      </c>
      <c r="Q165">
        <f t="shared" ca="1" si="64"/>
        <v>56395.900635950056</v>
      </c>
      <c r="R165">
        <f t="shared" ca="1" si="51"/>
        <v>9568.9434359207444</v>
      </c>
      <c r="S165">
        <f t="shared" ca="1" si="65"/>
        <v>8632</v>
      </c>
      <c r="T165">
        <f t="shared" ref="T165:T228" ca="1" si="70">M165*RAND()*2</f>
        <v>32951.118056042964</v>
      </c>
      <c r="U165">
        <f t="shared" ref="U165:U228" ca="1" si="71">RAND()*M165*1.5</f>
        <v>9695.0586857407779</v>
      </c>
      <c r="V165">
        <f t="shared" ref="V165:V228" ca="1" si="72">P165+R165+U165</f>
        <v>177659.00212166153</v>
      </c>
      <c r="W165">
        <f t="shared" ref="W165:W228" ca="1" si="73">Q165+S165+T165</f>
        <v>97979.018691993027</v>
      </c>
      <c r="Z165" s="4">
        <f t="shared" ca="1" si="66"/>
        <v>0</v>
      </c>
      <c r="AA165">
        <f t="shared" ca="1" si="67"/>
        <v>1</v>
      </c>
      <c r="AC165" s="5"/>
      <c r="AX165" s="10">
        <f ca="1">Table1[[#This Row],[Car Value]]/Table1[[#This Row],[No. of Vehicles]]</f>
        <v>4784.4717179603722</v>
      </c>
      <c r="AZ165">
        <f ca="1">IF(Table1[[#This Row],[Debts]]&gt;$BA$3,1,0)</f>
        <v>1</v>
      </c>
      <c r="BC165" s="12">
        <f ca="1">Table1[[#This Row],[Mortage left]]/Table1[[#This Row],[Value of The House]]</f>
        <v>0.35604596506171315</v>
      </c>
      <c r="BD165" s="4">
        <f t="shared" ca="1" si="68"/>
        <v>0</v>
      </c>
      <c r="BE165" s="5"/>
    </row>
    <row r="166" spans="4:57" x14ac:dyDescent="0.3">
      <c r="D166">
        <f t="shared" ca="1" si="52"/>
        <v>1</v>
      </c>
      <c r="E166" t="str">
        <f t="shared" ca="1" si="53"/>
        <v>Male</v>
      </c>
      <c r="F166">
        <f t="shared" ca="1" si="54"/>
        <v>29</v>
      </c>
      <c r="G166">
        <f t="shared" ca="1" si="55"/>
        <v>1</v>
      </c>
      <c r="H166" t="str">
        <f t="shared" ca="1" si="56"/>
        <v>Health</v>
      </c>
      <c r="I166">
        <f t="shared" ca="1" si="57"/>
        <v>5</v>
      </c>
      <c r="J166" t="str">
        <f t="shared" ca="1" si="58"/>
        <v>Other</v>
      </c>
      <c r="K166">
        <f t="shared" ca="1" si="59"/>
        <v>3</v>
      </c>
      <c r="L166">
        <f t="shared" ca="1" si="60"/>
        <v>1</v>
      </c>
      <c r="M166">
        <f t="shared" ca="1" si="61"/>
        <v>38163</v>
      </c>
      <c r="N166">
        <f t="shared" ca="1" si="62"/>
        <v>6</v>
      </c>
      <c r="O166" t="str">
        <f t="shared" ca="1" si="63"/>
        <v>Saskatchewan</v>
      </c>
      <c r="P166">
        <f t="shared" ca="1" si="69"/>
        <v>190815</v>
      </c>
      <c r="Q166">
        <f t="shared" ca="1" si="64"/>
        <v>122612.39513028972</v>
      </c>
      <c r="R166">
        <f t="shared" ca="1" si="51"/>
        <v>15284.583973319803</v>
      </c>
      <c r="S166">
        <f t="shared" ca="1" si="65"/>
        <v>5272</v>
      </c>
      <c r="T166">
        <f t="shared" ca="1" si="70"/>
        <v>32750.917672974072</v>
      </c>
      <c r="U166">
        <f t="shared" ca="1" si="71"/>
        <v>3405.1563270583397</v>
      </c>
      <c r="V166">
        <f t="shared" ca="1" si="72"/>
        <v>209504.74030037812</v>
      </c>
      <c r="W166">
        <f t="shared" ca="1" si="73"/>
        <v>160635.31280326378</v>
      </c>
      <c r="Z166" s="4">
        <f t="shared" ca="1" si="66"/>
        <v>1</v>
      </c>
      <c r="AA166">
        <f t="shared" ca="1" si="67"/>
        <v>0</v>
      </c>
      <c r="AC166" s="5"/>
      <c r="AX166" s="10">
        <f ca="1">Table1[[#This Row],[Car Value]]/Table1[[#This Row],[No. of Vehicles]]</f>
        <v>15284.583973319803</v>
      </c>
      <c r="AZ166">
        <f ca="1">IF(Table1[[#This Row],[Debts]]&gt;$BA$3,1,0)</f>
        <v>1</v>
      </c>
      <c r="BC166" s="12">
        <f ca="1">Table1[[#This Row],[Mortage left]]/Table1[[#This Row],[Value of The House]]</f>
        <v>0.64257209931236914</v>
      </c>
      <c r="BD166" s="4">
        <f t="shared" ca="1" si="68"/>
        <v>0</v>
      </c>
      <c r="BE166" s="5"/>
    </row>
    <row r="167" spans="4:57" x14ac:dyDescent="0.3">
      <c r="D167">
        <f t="shared" ca="1" si="52"/>
        <v>1</v>
      </c>
      <c r="E167" t="str">
        <f t="shared" ca="1" si="53"/>
        <v>Male</v>
      </c>
      <c r="F167">
        <f t="shared" ca="1" si="54"/>
        <v>25</v>
      </c>
      <c r="G167">
        <f t="shared" ca="1" si="55"/>
        <v>1</v>
      </c>
      <c r="H167" t="str">
        <f t="shared" ca="1" si="56"/>
        <v>Health</v>
      </c>
      <c r="I167">
        <f t="shared" ca="1" si="57"/>
        <v>2</v>
      </c>
      <c r="J167" t="str">
        <f t="shared" ca="1" si="58"/>
        <v>College</v>
      </c>
      <c r="K167">
        <f t="shared" ca="1" si="59"/>
        <v>0</v>
      </c>
      <c r="L167">
        <f t="shared" ca="1" si="60"/>
        <v>2</v>
      </c>
      <c r="M167">
        <f t="shared" ca="1" si="61"/>
        <v>25864</v>
      </c>
      <c r="N167">
        <f t="shared" ca="1" si="62"/>
        <v>3</v>
      </c>
      <c r="O167" t="str">
        <f t="shared" ca="1" si="63"/>
        <v>Northwest Ter</v>
      </c>
      <c r="P167">
        <f t="shared" ca="1" si="69"/>
        <v>155184</v>
      </c>
      <c r="Q167">
        <f t="shared" ca="1" si="64"/>
        <v>129479.71361318913</v>
      </c>
      <c r="R167">
        <f t="shared" ca="1" si="51"/>
        <v>7240.6970148626351</v>
      </c>
      <c r="S167">
        <f t="shared" ca="1" si="65"/>
        <v>5401</v>
      </c>
      <c r="T167">
        <f t="shared" ca="1" si="70"/>
        <v>27297.815202206977</v>
      </c>
      <c r="U167">
        <f t="shared" ca="1" si="71"/>
        <v>4445.1273683601694</v>
      </c>
      <c r="V167">
        <f t="shared" ca="1" si="72"/>
        <v>166869.82438322282</v>
      </c>
      <c r="W167">
        <f t="shared" ca="1" si="73"/>
        <v>162178.5288153961</v>
      </c>
      <c r="Z167" s="4">
        <f t="shared" ca="1" si="66"/>
        <v>1</v>
      </c>
      <c r="AA167">
        <f t="shared" ca="1" si="67"/>
        <v>0</v>
      </c>
      <c r="AC167" s="5"/>
      <c r="AX167" s="10">
        <f ca="1">Table1[[#This Row],[Car Value]]/Table1[[#This Row],[No. of Vehicles]]</f>
        <v>3620.3485074313176</v>
      </c>
      <c r="AZ167">
        <f ca="1">IF(Table1[[#This Row],[Debts]]&gt;$BA$3,1,0)</f>
        <v>1</v>
      </c>
      <c r="BC167" s="12">
        <f ca="1">Table1[[#This Row],[Mortage left]]/Table1[[#This Row],[Value of The House]]</f>
        <v>0.83436252199446548</v>
      </c>
      <c r="BD167" s="4">
        <f t="shared" ca="1" si="68"/>
        <v>0</v>
      </c>
      <c r="BE167" s="5"/>
    </row>
    <row r="168" spans="4:57" x14ac:dyDescent="0.3">
      <c r="D168">
        <f t="shared" ca="1" si="52"/>
        <v>2</v>
      </c>
      <c r="E168" t="str">
        <f t="shared" ca="1" si="53"/>
        <v>Female</v>
      </c>
      <c r="F168">
        <f t="shared" ca="1" si="54"/>
        <v>27</v>
      </c>
      <c r="G168">
        <f t="shared" ca="1" si="55"/>
        <v>1</v>
      </c>
      <c r="H168" t="str">
        <f t="shared" ca="1" si="56"/>
        <v>Health</v>
      </c>
      <c r="I168">
        <f t="shared" ca="1" si="57"/>
        <v>2</v>
      </c>
      <c r="J168" t="str">
        <f t="shared" ca="1" si="58"/>
        <v>College</v>
      </c>
      <c r="K168">
        <f t="shared" ca="1" si="59"/>
        <v>4</v>
      </c>
      <c r="L168">
        <f t="shared" ca="1" si="60"/>
        <v>2</v>
      </c>
      <c r="M168">
        <f t="shared" ca="1" si="61"/>
        <v>51146</v>
      </c>
      <c r="N168">
        <f t="shared" ca="1" si="62"/>
        <v>3</v>
      </c>
      <c r="O168" t="str">
        <f t="shared" ca="1" si="63"/>
        <v>Northwest Ter</v>
      </c>
      <c r="P168">
        <f t="shared" ca="1" si="69"/>
        <v>255730</v>
      </c>
      <c r="Q168">
        <f t="shared" ca="1" si="64"/>
        <v>160757.11094593586</v>
      </c>
      <c r="R168">
        <f t="shared" ca="1" si="51"/>
        <v>93980.464216870605</v>
      </c>
      <c r="S168">
        <f t="shared" ca="1" si="65"/>
        <v>18336</v>
      </c>
      <c r="T168">
        <f t="shared" ca="1" si="70"/>
        <v>36508.175456555233</v>
      </c>
      <c r="U168">
        <f t="shared" ca="1" si="71"/>
        <v>47938.950750581462</v>
      </c>
      <c r="V168">
        <f t="shared" ca="1" si="72"/>
        <v>397649.41496745206</v>
      </c>
      <c r="W168">
        <f t="shared" ca="1" si="73"/>
        <v>215601.2864024911</v>
      </c>
      <c r="Z168" s="4">
        <f t="shared" ca="1" si="66"/>
        <v>0</v>
      </c>
      <c r="AA168">
        <f t="shared" ca="1" si="67"/>
        <v>1</v>
      </c>
      <c r="AC168" s="5"/>
      <c r="AX168" s="10">
        <f ca="1">Table1[[#This Row],[Car Value]]/Table1[[#This Row],[No. of Vehicles]]</f>
        <v>46990.232108435303</v>
      </c>
      <c r="AZ168">
        <f ca="1">IF(Table1[[#This Row],[Debts]]&gt;$BA$3,1,0)</f>
        <v>1</v>
      </c>
      <c r="BC168" s="12">
        <f ca="1">Table1[[#This Row],[Mortage left]]/Table1[[#This Row],[Value of The House]]</f>
        <v>0.62862046277689698</v>
      </c>
      <c r="BD168" s="4">
        <f t="shared" ca="1" si="68"/>
        <v>0</v>
      </c>
      <c r="BE168" s="5"/>
    </row>
    <row r="169" spans="4:57" x14ac:dyDescent="0.3">
      <c r="D169">
        <f t="shared" ca="1" si="52"/>
        <v>1</v>
      </c>
      <c r="E169" t="str">
        <f t="shared" ca="1" si="53"/>
        <v>Male</v>
      </c>
      <c r="F169">
        <f t="shared" ca="1" si="54"/>
        <v>37</v>
      </c>
      <c r="G169">
        <f t="shared" ca="1" si="55"/>
        <v>3</v>
      </c>
      <c r="H169" t="str">
        <f t="shared" ca="1" si="56"/>
        <v>Teaching</v>
      </c>
      <c r="I169">
        <f t="shared" ca="1" si="57"/>
        <v>5</v>
      </c>
      <c r="J169" t="str">
        <f t="shared" ca="1" si="58"/>
        <v>Other</v>
      </c>
      <c r="K169">
        <f t="shared" ca="1" si="59"/>
        <v>3</v>
      </c>
      <c r="L169">
        <f t="shared" ca="1" si="60"/>
        <v>1</v>
      </c>
      <c r="M169">
        <f t="shared" ca="1" si="61"/>
        <v>52857</v>
      </c>
      <c r="N169">
        <f t="shared" ca="1" si="62"/>
        <v>10</v>
      </c>
      <c r="O169" t="str">
        <f t="shared" ca="1" si="63"/>
        <v>Newfouland</v>
      </c>
      <c r="P169">
        <f t="shared" ca="1" si="69"/>
        <v>211428</v>
      </c>
      <c r="Q169">
        <f t="shared" ca="1" si="64"/>
        <v>75572.46971347995</v>
      </c>
      <c r="R169">
        <f t="shared" ca="1" si="51"/>
        <v>45919.966829503624</v>
      </c>
      <c r="S169">
        <f t="shared" ca="1" si="65"/>
        <v>37607</v>
      </c>
      <c r="T169">
        <f t="shared" ca="1" si="70"/>
        <v>91739.974884982774</v>
      </c>
      <c r="U169">
        <f t="shared" ca="1" si="71"/>
        <v>36799.852693994151</v>
      </c>
      <c r="V169">
        <f t="shared" ca="1" si="72"/>
        <v>294147.81952349778</v>
      </c>
      <c r="W169">
        <f t="shared" ca="1" si="73"/>
        <v>204919.44459846272</v>
      </c>
      <c r="Z169" s="4">
        <f t="shared" ca="1" si="66"/>
        <v>1</v>
      </c>
      <c r="AA169">
        <f t="shared" ca="1" si="67"/>
        <v>0</v>
      </c>
      <c r="AC169" s="5"/>
      <c r="AX169" s="10">
        <f ca="1">Table1[[#This Row],[Car Value]]/Table1[[#This Row],[No. of Vehicles]]</f>
        <v>45919.966829503624</v>
      </c>
      <c r="AZ169">
        <f ca="1">IF(Table1[[#This Row],[Debts]]&gt;$BA$3,1,0)</f>
        <v>1</v>
      </c>
      <c r="BC169" s="12">
        <f ca="1">Table1[[#This Row],[Mortage left]]/Table1[[#This Row],[Value of The House]]</f>
        <v>0.35743832280246679</v>
      </c>
      <c r="BD169" s="4">
        <f t="shared" ca="1" si="68"/>
        <v>0</v>
      </c>
      <c r="BE169" s="5"/>
    </row>
    <row r="170" spans="4:57" x14ac:dyDescent="0.3">
      <c r="D170">
        <f t="shared" ca="1" si="52"/>
        <v>2</v>
      </c>
      <c r="E170" t="str">
        <f t="shared" ca="1" si="53"/>
        <v>Female</v>
      </c>
      <c r="F170">
        <f t="shared" ca="1" si="54"/>
        <v>32</v>
      </c>
      <c r="G170">
        <f t="shared" ca="1" si="55"/>
        <v>6</v>
      </c>
      <c r="H170" t="str">
        <f t="shared" ca="1" si="56"/>
        <v>General Work</v>
      </c>
      <c r="I170">
        <f t="shared" ca="1" si="57"/>
        <v>4</v>
      </c>
      <c r="J170" t="str">
        <f t="shared" ca="1" si="58"/>
        <v>Technical</v>
      </c>
      <c r="K170">
        <f t="shared" ca="1" si="59"/>
        <v>4</v>
      </c>
      <c r="L170">
        <f t="shared" ca="1" si="60"/>
        <v>2</v>
      </c>
      <c r="M170">
        <f t="shared" ca="1" si="61"/>
        <v>74446</v>
      </c>
      <c r="N170">
        <f t="shared" ca="1" si="62"/>
        <v>10</v>
      </c>
      <c r="O170" t="str">
        <f t="shared" ca="1" si="63"/>
        <v>Newfouland</v>
      </c>
      <c r="P170">
        <f t="shared" ca="1" si="69"/>
        <v>372230</v>
      </c>
      <c r="Q170">
        <f t="shared" ca="1" si="64"/>
        <v>321537.07893962739</v>
      </c>
      <c r="R170">
        <f t="shared" ca="1" si="51"/>
        <v>75779.4601243629</v>
      </c>
      <c r="S170">
        <f t="shared" ca="1" si="65"/>
        <v>64224</v>
      </c>
      <c r="T170">
        <f t="shared" ca="1" si="70"/>
        <v>48277.291807980488</v>
      </c>
      <c r="U170">
        <f t="shared" ca="1" si="71"/>
        <v>62448.004011805941</v>
      </c>
      <c r="V170">
        <f t="shared" ca="1" si="72"/>
        <v>510457.46413616883</v>
      </c>
      <c r="W170">
        <f t="shared" ca="1" si="73"/>
        <v>434038.3707476079</v>
      </c>
      <c r="Z170" s="4">
        <f t="shared" ca="1" si="66"/>
        <v>0</v>
      </c>
      <c r="AA170">
        <f t="shared" ca="1" si="67"/>
        <v>1</v>
      </c>
      <c r="AC170" s="5"/>
      <c r="AX170" s="10">
        <f ca="1">Table1[[#This Row],[Car Value]]/Table1[[#This Row],[No. of Vehicles]]</f>
        <v>37889.73006218145</v>
      </c>
      <c r="AZ170">
        <f ca="1">IF(Table1[[#This Row],[Debts]]&gt;$BA$3,1,0)</f>
        <v>1</v>
      </c>
      <c r="BC170" s="12">
        <f ca="1">Table1[[#This Row],[Mortage left]]/Table1[[#This Row],[Value of The House]]</f>
        <v>0.86381290852329851</v>
      </c>
      <c r="BD170" s="4">
        <f t="shared" ca="1" si="68"/>
        <v>0</v>
      </c>
      <c r="BE170" s="5"/>
    </row>
    <row r="171" spans="4:57" x14ac:dyDescent="0.3">
      <c r="D171">
        <f t="shared" ca="1" si="52"/>
        <v>1</v>
      </c>
      <c r="E171" t="str">
        <f t="shared" ca="1" si="53"/>
        <v>Male</v>
      </c>
      <c r="F171">
        <f t="shared" ca="1" si="54"/>
        <v>41</v>
      </c>
      <c r="G171">
        <f t="shared" ca="1" si="55"/>
        <v>2</v>
      </c>
      <c r="H171" t="str">
        <f t="shared" ca="1" si="56"/>
        <v>Construction</v>
      </c>
      <c r="I171">
        <f t="shared" ca="1" si="57"/>
        <v>3</v>
      </c>
      <c r="J171" t="str">
        <f t="shared" ca="1" si="58"/>
        <v>University</v>
      </c>
      <c r="K171">
        <f t="shared" ca="1" si="59"/>
        <v>1</v>
      </c>
      <c r="L171">
        <f t="shared" ca="1" si="60"/>
        <v>2</v>
      </c>
      <c r="M171">
        <f t="shared" ca="1" si="61"/>
        <v>55688</v>
      </c>
      <c r="N171">
        <f t="shared" ca="1" si="62"/>
        <v>9</v>
      </c>
      <c r="O171" t="str">
        <f t="shared" ca="1" si="63"/>
        <v>Quebec</v>
      </c>
      <c r="P171">
        <f t="shared" ca="1" si="69"/>
        <v>334128</v>
      </c>
      <c r="Q171">
        <f t="shared" ca="1" si="64"/>
        <v>89531.541767041592</v>
      </c>
      <c r="R171">
        <f t="shared" ca="1" si="51"/>
        <v>40103.967327390055</v>
      </c>
      <c r="S171">
        <f t="shared" ca="1" si="65"/>
        <v>7235</v>
      </c>
      <c r="T171">
        <f t="shared" ca="1" si="70"/>
        <v>104788.17394429576</v>
      </c>
      <c r="U171">
        <f t="shared" ca="1" si="71"/>
        <v>1672.6420745700811</v>
      </c>
      <c r="V171">
        <f t="shared" ca="1" si="72"/>
        <v>375904.6094019601</v>
      </c>
      <c r="W171">
        <f t="shared" ca="1" si="73"/>
        <v>201554.71571133734</v>
      </c>
      <c r="Z171" s="4">
        <f t="shared" ca="1" si="66"/>
        <v>1</v>
      </c>
      <c r="AA171">
        <f t="shared" ca="1" si="67"/>
        <v>0</v>
      </c>
      <c r="AC171" s="5"/>
      <c r="AX171" s="10">
        <f ca="1">Table1[[#This Row],[Car Value]]/Table1[[#This Row],[No. of Vehicles]]</f>
        <v>20051.983663695028</v>
      </c>
      <c r="AZ171">
        <f ca="1">IF(Table1[[#This Row],[Debts]]&gt;$BA$3,1,0)</f>
        <v>1</v>
      </c>
      <c r="BC171" s="12">
        <f ca="1">Table1[[#This Row],[Mortage left]]/Table1[[#This Row],[Value of The House]]</f>
        <v>0.26795581862951201</v>
      </c>
      <c r="BD171" s="4">
        <f t="shared" ca="1" si="68"/>
        <v>0</v>
      </c>
      <c r="BE171" s="5"/>
    </row>
    <row r="172" spans="4:57" x14ac:dyDescent="0.3">
      <c r="D172">
        <f t="shared" ca="1" si="52"/>
        <v>2</v>
      </c>
      <c r="E172" t="str">
        <f t="shared" ca="1" si="53"/>
        <v>Female</v>
      </c>
      <c r="F172">
        <f t="shared" ca="1" si="54"/>
        <v>35</v>
      </c>
      <c r="G172">
        <f t="shared" ca="1" si="55"/>
        <v>4</v>
      </c>
      <c r="H172" t="str">
        <f t="shared" ca="1" si="56"/>
        <v>IT</v>
      </c>
      <c r="I172">
        <f t="shared" ca="1" si="57"/>
        <v>2</v>
      </c>
      <c r="J172" t="str">
        <f t="shared" ca="1" si="58"/>
        <v>College</v>
      </c>
      <c r="K172">
        <f t="shared" ca="1" si="59"/>
        <v>2</v>
      </c>
      <c r="L172">
        <f t="shared" ca="1" si="60"/>
        <v>2</v>
      </c>
      <c r="M172">
        <f t="shared" ca="1" si="61"/>
        <v>44246</v>
      </c>
      <c r="N172">
        <f t="shared" ca="1" si="62"/>
        <v>2</v>
      </c>
      <c r="O172" t="str">
        <f t="shared" ca="1" si="63"/>
        <v>BC</v>
      </c>
      <c r="P172">
        <f t="shared" ca="1" si="69"/>
        <v>176984</v>
      </c>
      <c r="Q172">
        <f t="shared" ca="1" si="64"/>
        <v>3873.3115804218114</v>
      </c>
      <c r="R172">
        <f t="shared" ca="1" si="51"/>
        <v>25312.960979664258</v>
      </c>
      <c r="S172">
        <f t="shared" ca="1" si="65"/>
        <v>7909</v>
      </c>
      <c r="T172">
        <f t="shared" ca="1" si="70"/>
        <v>6169.5359067613417</v>
      </c>
      <c r="U172">
        <f t="shared" ca="1" si="71"/>
        <v>49767.9437578168</v>
      </c>
      <c r="V172">
        <f t="shared" ca="1" si="72"/>
        <v>252064.90473748106</v>
      </c>
      <c r="W172">
        <f t="shared" ca="1" si="73"/>
        <v>17951.847487183153</v>
      </c>
      <c r="Z172" s="4">
        <f t="shared" ca="1" si="66"/>
        <v>0</v>
      </c>
      <c r="AA172">
        <f t="shared" ca="1" si="67"/>
        <v>1</v>
      </c>
      <c r="AC172" s="5"/>
      <c r="AX172" s="10">
        <f ca="1">Table1[[#This Row],[Car Value]]/Table1[[#This Row],[No. of Vehicles]]</f>
        <v>12656.480489832129</v>
      </c>
      <c r="AZ172">
        <f ca="1">IF(Table1[[#This Row],[Debts]]&gt;$BA$3,1,0)</f>
        <v>0</v>
      </c>
      <c r="BC172" s="12">
        <f ca="1">Table1[[#This Row],[Mortage left]]/Table1[[#This Row],[Value of The House]]</f>
        <v>2.1885094587204557E-2</v>
      </c>
      <c r="BD172" s="4">
        <f t="shared" ca="1" si="68"/>
        <v>1</v>
      </c>
      <c r="BE172" s="5"/>
    </row>
    <row r="173" spans="4:57" x14ac:dyDescent="0.3">
      <c r="D173">
        <f t="shared" ca="1" si="52"/>
        <v>1</v>
      </c>
      <c r="E173" t="str">
        <f t="shared" ca="1" si="53"/>
        <v>Male</v>
      </c>
      <c r="F173">
        <f t="shared" ca="1" si="54"/>
        <v>43</v>
      </c>
      <c r="G173">
        <f t="shared" ca="1" si="55"/>
        <v>4</v>
      </c>
      <c r="H173" t="str">
        <f t="shared" ca="1" si="56"/>
        <v>IT</v>
      </c>
      <c r="I173">
        <f t="shared" ca="1" si="57"/>
        <v>4</v>
      </c>
      <c r="J173" t="str">
        <f t="shared" ca="1" si="58"/>
        <v>Technical</v>
      </c>
      <c r="K173">
        <f t="shared" ca="1" si="59"/>
        <v>2</v>
      </c>
      <c r="L173">
        <f t="shared" ca="1" si="60"/>
        <v>1</v>
      </c>
      <c r="M173">
        <f t="shared" ca="1" si="61"/>
        <v>43574</v>
      </c>
      <c r="N173">
        <f t="shared" ca="1" si="62"/>
        <v>8</v>
      </c>
      <c r="O173" t="str">
        <f t="shared" ca="1" si="63"/>
        <v>Ontario</v>
      </c>
      <c r="P173">
        <f t="shared" ca="1" si="69"/>
        <v>174296</v>
      </c>
      <c r="Q173">
        <f t="shared" ca="1" si="64"/>
        <v>64999.695047962923</v>
      </c>
      <c r="R173">
        <f t="shared" ca="1" si="51"/>
        <v>32750.995680821921</v>
      </c>
      <c r="S173">
        <f t="shared" ca="1" si="65"/>
        <v>14628</v>
      </c>
      <c r="T173">
        <f t="shared" ca="1" si="70"/>
        <v>53091.613651920721</v>
      </c>
      <c r="U173">
        <f t="shared" ca="1" si="71"/>
        <v>49176.800170448914</v>
      </c>
      <c r="V173">
        <f t="shared" ca="1" si="72"/>
        <v>256223.79585127084</v>
      </c>
      <c r="W173">
        <f t="shared" ca="1" si="73"/>
        <v>132719.30869988364</v>
      </c>
      <c r="Z173" s="4">
        <f t="shared" ca="1" si="66"/>
        <v>1</v>
      </c>
      <c r="AA173">
        <f t="shared" ca="1" si="67"/>
        <v>0</v>
      </c>
      <c r="AC173" s="5"/>
      <c r="AX173" s="10">
        <f ca="1">Table1[[#This Row],[Car Value]]/Table1[[#This Row],[No. of Vehicles]]</f>
        <v>32750.995680821921</v>
      </c>
      <c r="AZ173">
        <f ca="1">IF(Table1[[#This Row],[Debts]]&gt;$BA$3,1,0)</f>
        <v>1</v>
      </c>
      <c r="BC173" s="12">
        <f ca="1">Table1[[#This Row],[Mortage left]]/Table1[[#This Row],[Value of The House]]</f>
        <v>0.37292706113716279</v>
      </c>
      <c r="BD173" s="4">
        <f t="shared" ca="1" si="68"/>
        <v>0</v>
      </c>
      <c r="BE173" s="5"/>
    </row>
    <row r="174" spans="4:57" x14ac:dyDescent="0.3">
      <c r="D174">
        <f t="shared" ca="1" si="52"/>
        <v>1</v>
      </c>
      <c r="E174" t="str">
        <f t="shared" ca="1" si="53"/>
        <v>Male</v>
      </c>
      <c r="F174">
        <f t="shared" ca="1" si="54"/>
        <v>25</v>
      </c>
      <c r="G174">
        <f t="shared" ca="1" si="55"/>
        <v>6</v>
      </c>
      <c r="H174" t="str">
        <f t="shared" ca="1" si="56"/>
        <v>General Work</v>
      </c>
      <c r="I174">
        <f t="shared" ca="1" si="57"/>
        <v>3</v>
      </c>
      <c r="J174" t="str">
        <f t="shared" ca="1" si="58"/>
        <v>University</v>
      </c>
      <c r="K174">
        <f t="shared" ca="1" si="59"/>
        <v>2</v>
      </c>
      <c r="L174">
        <f t="shared" ca="1" si="60"/>
        <v>1</v>
      </c>
      <c r="M174">
        <f t="shared" ca="1" si="61"/>
        <v>39715</v>
      </c>
      <c r="N174">
        <f t="shared" ca="1" si="62"/>
        <v>7</v>
      </c>
      <c r="O174" t="str">
        <f t="shared" ca="1" si="63"/>
        <v>Manitoba</v>
      </c>
      <c r="P174">
        <f t="shared" ca="1" si="69"/>
        <v>198575</v>
      </c>
      <c r="Q174">
        <f t="shared" ca="1" si="64"/>
        <v>147063.41620511806</v>
      </c>
      <c r="R174">
        <f t="shared" ca="1" si="51"/>
        <v>13661.603586569654</v>
      </c>
      <c r="S174">
        <f t="shared" ca="1" si="65"/>
        <v>10743</v>
      </c>
      <c r="T174">
        <f t="shared" ca="1" si="70"/>
        <v>37596.410373461702</v>
      </c>
      <c r="U174">
        <f t="shared" ca="1" si="71"/>
        <v>40077.634450959013</v>
      </c>
      <c r="V174">
        <f t="shared" ca="1" si="72"/>
        <v>252314.23803752867</v>
      </c>
      <c r="W174">
        <f t="shared" ca="1" si="73"/>
        <v>195402.82657857976</v>
      </c>
      <c r="Z174" s="4">
        <f t="shared" ca="1" si="66"/>
        <v>1</v>
      </c>
      <c r="AA174">
        <f t="shared" ca="1" si="67"/>
        <v>0</v>
      </c>
      <c r="AC174" s="5"/>
      <c r="AX174" s="10">
        <f ca="1">Table1[[#This Row],[Car Value]]/Table1[[#This Row],[No. of Vehicles]]</f>
        <v>13661.603586569654</v>
      </c>
      <c r="AZ174">
        <f ca="1">IF(Table1[[#This Row],[Debts]]&gt;$BA$3,1,0)</f>
        <v>1</v>
      </c>
      <c r="BC174" s="12">
        <f ca="1">Table1[[#This Row],[Mortage left]]/Table1[[#This Row],[Value of The House]]</f>
        <v>0.74059381193563167</v>
      </c>
      <c r="BD174" s="4">
        <f t="shared" ca="1" si="68"/>
        <v>0</v>
      </c>
      <c r="BE174" s="5"/>
    </row>
    <row r="175" spans="4:57" x14ac:dyDescent="0.3">
      <c r="D175">
        <f t="shared" ca="1" si="52"/>
        <v>2</v>
      </c>
      <c r="E175" t="str">
        <f t="shared" ca="1" si="53"/>
        <v>Female</v>
      </c>
      <c r="F175">
        <f t="shared" ca="1" si="54"/>
        <v>44</v>
      </c>
      <c r="G175">
        <f t="shared" ca="1" si="55"/>
        <v>5</v>
      </c>
      <c r="H175" t="str">
        <f t="shared" ca="1" si="56"/>
        <v>Agriculture</v>
      </c>
      <c r="I175">
        <f t="shared" ca="1" si="57"/>
        <v>2</v>
      </c>
      <c r="J175" t="str">
        <f t="shared" ca="1" si="58"/>
        <v>College</v>
      </c>
      <c r="K175">
        <f t="shared" ca="1" si="59"/>
        <v>2</v>
      </c>
      <c r="L175">
        <f t="shared" ca="1" si="60"/>
        <v>1</v>
      </c>
      <c r="M175">
        <f t="shared" ca="1" si="61"/>
        <v>38970</v>
      </c>
      <c r="N175">
        <f t="shared" ca="1" si="62"/>
        <v>9</v>
      </c>
      <c r="O175" t="str">
        <f t="shared" ca="1" si="63"/>
        <v>Quebec</v>
      </c>
      <c r="P175">
        <f t="shared" ca="1" si="69"/>
        <v>233820</v>
      </c>
      <c r="Q175">
        <f t="shared" ca="1" si="64"/>
        <v>109097.93320795022</v>
      </c>
      <c r="R175">
        <f t="shared" ca="1" si="51"/>
        <v>19665.106735384019</v>
      </c>
      <c r="S175">
        <f t="shared" ca="1" si="65"/>
        <v>9445</v>
      </c>
      <c r="T175">
        <f t="shared" ca="1" si="70"/>
        <v>53726.838969758996</v>
      </c>
      <c r="U175">
        <f t="shared" ca="1" si="71"/>
        <v>23786.63140887694</v>
      </c>
      <c r="V175">
        <f t="shared" ca="1" si="72"/>
        <v>277271.73814426095</v>
      </c>
      <c r="W175">
        <f t="shared" ca="1" si="73"/>
        <v>172269.77217770921</v>
      </c>
      <c r="Z175" s="4">
        <f t="shared" ca="1" si="66"/>
        <v>0</v>
      </c>
      <c r="AA175">
        <f t="shared" ca="1" si="67"/>
        <v>1</v>
      </c>
      <c r="AC175" s="5"/>
      <c r="AX175" s="10">
        <f ca="1">Table1[[#This Row],[Car Value]]/Table1[[#This Row],[No. of Vehicles]]</f>
        <v>19665.106735384019</v>
      </c>
      <c r="AZ175">
        <f ca="1">IF(Table1[[#This Row],[Debts]]&gt;$BA$3,1,0)</f>
        <v>1</v>
      </c>
      <c r="BC175" s="12">
        <f ca="1">Table1[[#This Row],[Mortage left]]/Table1[[#This Row],[Value of The House]]</f>
        <v>0.46658939871674887</v>
      </c>
      <c r="BD175" s="4">
        <f t="shared" ca="1" si="68"/>
        <v>0</v>
      </c>
      <c r="BE175" s="5"/>
    </row>
    <row r="176" spans="4:57" x14ac:dyDescent="0.3">
      <c r="D176">
        <f t="shared" ca="1" si="52"/>
        <v>2</v>
      </c>
      <c r="E176" t="str">
        <f t="shared" ca="1" si="53"/>
        <v>Female</v>
      </c>
      <c r="F176">
        <f t="shared" ca="1" si="54"/>
        <v>31</v>
      </c>
      <c r="G176">
        <f t="shared" ca="1" si="55"/>
        <v>5</v>
      </c>
      <c r="H176" t="str">
        <f t="shared" ca="1" si="56"/>
        <v>Agriculture</v>
      </c>
      <c r="I176">
        <f t="shared" ca="1" si="57"/>
        <v>5</v>
      </c>
      <c r="J176" t="str">
        <f t="shared" ca="1" si="58"/>
        <v>Other</v>
      </c>
      <c r="K176">
        <f t="shared" ca="1" si="59"/>
        <v>4</v>
      </c>
      <c r="L176">
        <f t="shared" ca="1" si="60"/>
        <v>2</v>
      </c>
      <c r="M176">
        <f t="shared" ca="1" si="61"/>
        <v>77086</v>
      </c>
      <c r="N176">
        <f t="shared" ca="1" si="62"/>
        <v>2</v>
      </c>
      <c r="O176" t="str">
        <f t="shared" ca="1" si="63"/>
        <v>BC</v>
      </c>
      <c r="P176">
        <f t="shared" ca="1" si="69"/>
        <v>462516</v>
      </c>
      <c r="Q176">
        <f t="shared" ca="1" si="64"/>
        <v>224472.70481481554</v>
      </c>
      <c r="R176">
        <f t="shared" ca="1" si="51"/>
        <v>21589.277162248502</v>
      </c>
      <c r="S176">
        <f t="shared" ca="1" si="65"/>
        <v>20600</v>
      </c>
      <c r="T176">
        <f t="shared" ca="1" si="70"/>
        <v>139229.61484684414</v>
      </c>
      <c r="U176">
        <f t="shared" ca="1" si="71"/>
        <v>51773.259315808566</v>
      </c>
      <c r="V176">
        <f t="shared" ca="1" si="72"/>
        <v>535878.53647805704</v>
      </c>
      <c r="W176">
        <f t="shared" ca="1" si="73"/>
        <v>384302.31966165965</v>
      </c>
      <c r="Z176" s="4">
        <f t="shared" ca="1" si="66"/>
        <v>0</v>
      </c>
      <c r="AA176">
        <f t="shared" ca="1" si="67"/>
        <v>1</v>
      </c>
      <c r="AC176" s="5"/>
      <c r="AX176" s="10">
        <f ca="1">Table1[[#This Row],[Car Value]]/Table1[[#This Row],[No. of Vehicles]]</f>
        <v>10794.638581124251</v>
      </c>
      <c r="AZ176">
        <f ca="1">IF(Table1[[#This Row],[Debts]]&gt;$BA$3,1,0)</f>
        <v>1</v>
      </c>
      <c r="BC176" s="12">
        <f ca="1">Table1[[#This Row],[Mortage left]]/Table1[[#This Row],[Value of The House]]</f>
        <v>0.48532959900806794</v>
      </c>
      <c r="BD176" s="4">
        <f t="shared" ca="1" si="68"/>
        <v>0</v>
      </c>
      <c r="BE176" s="5"/>
    </row>
    <row r="177" spans="4:57" x14ac:dyDescent="0.3">
      <c r="D177">
        <f t="shared" ca="1" si="52"/>
        <v>2</v>
      </c>
      <c r="E177" t="str">
        <f t="shared" ca="1" si="53"/>
        <v>Female</v>
      </c>
      <c r="F177">
        <f t="shared" ca="1" si="54"/>
        <v>33</v>
      </c>
      <c r="G177">
        <f t="shared" ca="1" si="55"/>
        <v>2</v>
      </c>
      <c r="H177" t="str">
        <f t="shared" ca="1" si="56"/>
        <v>Construction</v>
      </c>
      <c r="I177">
        <f t="shared" ca="1" si="57"/>
        <v>3</v>
      </c>
      <c r="J177" t="str">
        <f t="shared" ca="1" si="58"/>
        <v>University</v>
      </c>
      <c r="K177">
        <f t="shared" ca="1" si="59"/>
        <v>1</v>
      </c>
      <c r="L177">
        <f t="shared" ca="1" si="60"/>
        <v>2</v>
      </c>
      <c r="M177">
        <f t="shared" ca="1" si="61"/>
        <v>57771</v>
      </c>
      <c r="N177">
        <f t="shared" ca="1" si="62"/>
        <v>10</v>
      </c>
      <c r="O177" t="str">
        <f t="shared" ca="1" si="63"/>
        <v>Newfouland</v>
      </c>
      <c r="P177">
        <f t="shared" ca="1" si="69"/>
        <v>231084</v>
      </c>
      <c r="Q177">
        <f t="shared" ca="1" si="64"/>
        <v>223655.67988427132</v>
      </c>
      <c r="R177">
        <f t="shared" ca="1" si="51"/>
        <v>111854.55489737229</v>
      </c>
      <c r="S177">
        <f t="shared" ca="1" si="65"/>
        <v>81010</v>
      </c>
      <c r="T177">
        <f t="shared" ca="1" si="70"/>
        <v>102621.77117531048</v>
      </c>
      <c r="U177">
        <f t="shared" ca="1" si="71"/>
        <v>7588.7165272276634</v>
      </c>
      <c r="V177">
        <f t="shared" ca="1" si="72"/>
        <v>350527.27142459992</v>
      </c>
      <c r="W177">
        <f t="shared" ca="1" si="73"/>
        <v>407287.45105958183</v>
      </c>
      <c r="Z177" s="4">
        <f t="shared" ca="1" si="66"/>
        <v>0</v>
      </c>
      <c r="AA177">
        <f t="shared" ca="1" si="67"/>
        <v>1</v>
      </c>
      <c r="AC177" s="5"/>
      <c r="AX177" s="10">
        <f ca="1">Table1[[#This Row],[Car Value]]/Table1[[#This Row],[No. of Vehicles]]</f>
        <v>55927.277448686145</v>
      </c>
      <c r="AZ177">
        <f ca="1">IF(Table1[[#This Row],[Debts]]&gt;$BA$3,1,0)</f>
        <v>1</v>
      </c>
      <c r="BC177" s="12">
        <f ca="1">Table1[[#This Row],[Mortage left]]/Table1[[#This Row],[Value of The House]]</f>
        <v>0.96785445934928993</v>
      </c>
      <c r="BD177" s="4">
        <f t="shared" ca="1" si="68"/>
        <v>0</v>
      </c>
      <c r="BE177" s="5"/>
    </row>
    <row r="178" spans="4:57" x14ac:dyDescent="0.3">
      <c r="D178">
        <f t="shared" ca="1" si="52"/>
        <v>2</v>
      </c>
      <c r="E178" t="str">
        <f t="shared" ca="1" si="53"/>
        <v>Female</v>
      </c>
      <c r="F178">
        <f t="shared" ca="1" si="54"/>
        <v>28</v>
      </c>
      <c r="G178">
        <f t="shared" ca="1" si="55"/>
        <v>2</v>
      </c>
      <c r="H178" t="str">
        <f t="shared" ca="1" si="56"/>
        <v>Construction</v>
      </c>
      <c r="I178">
        <f t="shared" ca="1" si="57"/>
        <v>4</v>
      </c>
      <c r="J178" t="str">
        <f t="shared" ca="1" si="58"/>
        <v>Technical</v>
      </c>
      <c r="K178">
        <f t="shared" ca="1" si="59"/>
        <v>1</v>
      </c>
      <c r="L178">
        <f t="shared" ca="1" si="60"/>
        <v>2</v>
      </c>
      <c r="M178">
        <f t="shared" ca="1" si="61"/>
        <v>37565</v>
      </c>
      <c r="N178">
        <f t="shared" ca="1" si="62"/>
        <v>7</v>
      </c>
      <c r="O178" t="str">
        <f t="shared" ca="1" si="63"/>
        <v>Manitoba</v>
      </c>
      <c r="P178">
        <f t="shared" ca="1" si="69"/>
        <v>187825</v>
      </c>
      <c r="Q178">
        <f t="shared" ca="1" si="64"/>
        <v>87371.390016704288</v>
      </c>
      <c r="R178">
        <f t="shared" ca="1" si="51"/>
        <v>49431.046967221366</v>
      </c>
      <c r="S178">
        <f t="shared" ca="1" si="65"/>
        <v>41878</v>
      </c>
      <c r="T178">
        <f t="shared" ca="1" si="70"/>
        <v>6877.4530330392681</v>
      </c>
      <c r="U178">
        <f t="shared" ca="1" si="71"/>
        <v>41385.651562449479</v>
      </c>
      <c r="V178">
        <f t="shared" ca="1" si="72"/>
        <v>278641.69852967083</v>
      </c>
      <c r="W178">
        <f t="shared" ca="1" si="73"/>
        <v>136126.84304974356</v>
      </c>
      <c r="Z178" s="4">
        <f t="shared" ca="1" si="66"/>
        <v>0</v>
      </c>
      <c r="AA178">
        <f t="shared" ca="1" si="67"/>
        <v>1</v>
      </c>
      <c r="AC178" s="5"/>
      <c r="AX178" s="10">
        <f ca="1">Table1[[#This Row],[Car Value]]/Table1[[#This Row],[No. of Vehicles]]</f>
        <v>24715.523483610683</v>
      </c>
      <c r="AZ178">
        <f ca="1">IF(Table1[[#This Row],[Debts]]&gt;$BA$3,1,0)</f>
        <v>0</v>
      </c>
      <c r="BC178" s="12">
        <f ca="1">Table1[[#This Row],[Mortage left]]/Table1[[#This Row],[Value of The House]]</f>
        <v>0.46517444438548805</v>
      </c>
      <c r="BD178" s="4">
        <f t="shared" ca="1" si="68"/>
        <v>0</v>
      </c>
      <c r="BE178" s="5"/>
    </row>
    <row r="179" spans="4:57" x14ac:dyDescent="0.3">
      <c r="D179">
        <f t="shared" ca="1" si="52"/>
        <v>2</v>
      </c>
      <c r="E179" t="str">
        <f t="shared" ca="1" si="53"/>
        <v>Female</v>
      </c>
      <c r="F179">
        <f t="shared" ca="1" si="54"/>
        <v>27</v>
      </c>
      <c r="G179">
        <f t="shared" ca="1" si="55"/>
        <v>6</v>
      </c>
      <c r="H179" t="str">
        <f t="shared" ca="1" si="56"/>
        <v>General Work</v>
      </c>
      <c r="I179">
        <f t="shared" ca="1" si="57"/>
        <v>5</v>
      </c>
      <c r="J179" t="str">
        <f t="shared" ca="1" si="58"/>
        <v>Other</v>
      </c>
      <c r="K179">
        <f t="shared" ca="1" si="59"/>
        <v>2</v>
      </c>
      <c r="L179">
        <f t="shared" ca="1" si="60"/>
        <v>2</v>
      </c>
      <c r="M179">
        <f t="shared" ca="1" si="61"/>
        <v>87491</v>
      </c>
      <c r="N179">
        <f t="shared" ca="1" si="62"/>
        <v>1</v>
      </c>
      <c r="O179" t="str">
        <f t="shared" ca="1" si="63"/>
        <v>Yukon</v>
      </c>
      <c r="P179">
        <f t="shared" ca="1" si="69"/>
        <v>524946</v>
      </c>
      <c r="Q179">
        <f t="shared" ca="1" si="64"/>
        <v>115181.11947816575</v>
      </c>
      <c r="R179">
        <f t="shared" ca="1" si="51"/>
        <v>24787.162282474721</v>
      </c>
      <c r="S179">
        <f t="shared" ca="1" si="65"/>
        <v>11690</v>
      </c>
      <c r="T179">
        <f t="shared" ca="1" si="70"/>
        <v>110909.95788138013</v>
      </c>
      <c r="U179">
        <f t="shared" ca="1" si="71"/>
        <v>126884.57327859185</v>
      </c>
      <c r="V179">
        <f t="shared" ca="1" si="72"/>
        <v>676617.73556106654</v>
      </c>
      <c r="W179">
        <f t="shared" ca="1" si="73"/>
        <v>237781.07735954589</v>
      </c>
      <c r="Z179" s="4">
        <f t="shared" ca="1" si="66"/>
        <v>0</v>
      </c>
      <c r="AA179">
        <f t="shared" ca="1" si="67"/>
        <v>1</v>
      </c>
      <c r="AC179" s="5"/>
      <c r="AX179" s="10">
        <f ca="1">Table1[[#This Row],[Car Value]]/Table1[[#This Row],[No. of Vehicles]]</f>
        <v>12393.58114123736</v>
      </c>
      <c r="AZ179">
        <f ca="1">IF(Table1[[#This Row],[Debts]]&gt;$BA$3,1,0)</f>
        <v>1</v>
      </c>
      <c r="BC179" s="12">
        <f ca="1">Table1[[#This Row],[Mortage left]]/Table1[[#This Row],[Value of The House]]</f>
        <v>0.21941517694803991</v>
      </c>
      <c r="BD179" s="4">
        <f t="shared" ca="1" si="68"/>
        <v>0</v>
      </c>
      <c r="BE179" s="5"/>
    </row>
    <row r="180" spans="4:57" x14ac:dyDescent="0.3">
      <c r="D180">
        <f t="shared" ca="1" si="52"/>
        <v>2</v>
      </c>
      <c r="E180" t="str">
        <f t="shared" ca="1" si="53"/>
        <v>Female</v>
      </c>
      <c r="F180">
        <f t="shared" ca="1" si="54"/>
        <v>45</v>
      </c>
      <c r="G180">
        <f t="shared" ca="1" si="55"/>
        <v>1</v>
      </c>
      <c r="H180" t="str">
        <f t="shared" ca="1" si="56"/>
        <v>Health</v>
      </c>
      <c r="I180">
        <f t="shared" ca="1" si="57"/>
        <v>4</v>
      </c>
      <c r="J180" t="str">
        <f t="shared" ca="1" si="58"/>
        <v>Technical</v>
      </c>
      <c r="K180">
        <f t="shared" ca="1" si="59"/>
        <v>3</v>
      </c>
      <c r="L180">
        <f t="shared" ca="1" si="60"/>
        <v>2</v>
      </c>
      <c r="M180">
        <f t="shared" ca="1" si="61"/>
        <v>79362</v>
      </c>
      <c r="N180">
        <f t="shared" ca="1" si="62"/>
        <v>5</v>
      </c>
      <c r="O180" t="str">
        <f t="shared" ca="1" si="63"/>
        <v>Nunavut</v>
      </c>
      <c r="P180">
        <f t="shared" ca="1" si="69"/>
        <v>317448</v>
      </c>
      <c r="Q180">
        <f t="shared" ca="1" si="64"/>
        <v>73267.121905804102</v>
      </c>
      <c r="R180">
        <f t="shared" ca="1" si="51"/>
        <v>43668.846405659198</v>
      </c>
      <c r="S180">
        <f t="shared" ca="1" si="65"/>
        <v>5148</v>
      </c>
      <c r="T180">
        <f t="shared" ca="1" si="70"/>
        <v>81671.792215881709</v>
      </c>
      <c r="U180">
        <f t="shared" ca="1" si="71"/>
        <v>54582.931634650209</v>
      </c>
      <c r="V180">
        <f t="shared" ca="1" si="72"/>
        <v>415699.77804030944</v>
      </c>
      <c r="W180">
        <f t="shared" ca="1" si="73"/>
        <v>160086.91412168581</v>
      </c>
      <c r="Z180" s="4">
        <f t="shared" ca="1" si="66"/>
        <v>0</v>
      </c>
      <c r="AA180">
        <f t="shared" ca="1" si="67"/>
        <v>1</v>
      </c>
      <c r="AC180" s="5"/>
      <c r="AX180" s="10">
        <f ca="1">Table1[[#This Row],[Car Value]]/Table1[[#This Row],[No. of Vehicles]]</f>
        <v>21834.423202829599</v>
      </c>
      <c r="AZ180">
        <f ca="1">IF(Table1[[#This Row],[Debts]]&gt;$BA$3,1,0)</f>
        <v>1</v>
      </c>
      <c r="BC180" s="12">
        <f ca="1">Table1[[#This Row],[Mortage left]]/Table1[[#This Row],[Value of The House]]</f>
        <v>0.23080038905837838</v>
      </c>
      <c r="BD180" s="4">
        <f t="shared" ca="1" si="68"/>
        <v>0</v>
      </c>
      <c r="BE180" s="5"/>
    </row>
    <row r="181" spans="4:57" x14ac:dyDescent="0.3">
      <c r="D181">
        <f t="shared" ca="1" si="52"/>
        <v>2</v>
      </c>
      <c r="E181" t="str">
        <f t="shared" ca="1" si="53"/>
        <v>Female</v>
      </c>
      <c r="F181">
        <f t="shared" ca="1" si="54"/>
        <v>42</v>
      </c>
      <c r="G181">
        <f t="shared" ca="1" si="55"/>
        <v>6</v>
      </c>
      <c r="H181" t="str">
        <f t="shared" ca="1" si="56"/>
        <v>General Work</v>
      </c>
      <c r="I181">
        <f t="shared" ca="1" si="57"/>
        <v>2</v>
      </c>
      <c r="J181" t="str">
        <f t="shared" ca="1" si="58"/>
        <v>College</v>
      </c>
      <c r="K181">
        <f t="shared" ca="1" si="59"/>
        <v>1</v>
      </c>
      <c r="L181">
        <f t="shared" ca="1" si="60"/>
        <v>2</v>
      </c>
      <c r="M181">
        <f t="shared" ca="1" si="61"/>
        <v>40048</v>
      </c>
      <c r="N181">
        <f t="shared" ca="1" si="62"/>
        <v>6</v>
      </c>
      <c r="O181" t="str">
        <f t="shared" ca="1" si="63"/>
        <v>Saskatchewan</v>
      </c>
      <c r="P181">
        <f t="shared" ca="1" si="69"/>
        <v>160192</v>
      </c>
      <c r="Q181">
        <f t="shared" ca="1" si="64"/>
        <v>57075.516192845833</v>
      </c>
      <c r="R181">
        <f t="shared" ca="1" si="51"/>
        <v>45632.098963258883</v>
      </c>
      <c r="S181">
        <f t="shared" ca="1" si="65"/>
        <v>11531</v>
      </c>
      <c r="T181">
        <f t="shared" ca="1" si="70"/>
        <v>73364.327752914236</v>
      </c>
      <c r="U181">
        <f t="shared" ca="1" si="71"/>
        <v>30782.153635779134</v>
      </c>
      <c r="V181">
        <f t="shared" ca="1" si="72"/>
        <v>236606.25259903801</v>
      </c>
      <c r="W181">
        <f t="shared" ca="1" si="73"/>
        <v>141970.84394576005</v>
      </c>
      <c r="Z181" s="4">
        <f t="shared" ca="1" si="66"/>
        <v>0</v>
      </c>
      <c r="AA181">
        <f t="shared" ca="1" si="67"/>
        <v>1</v>
      </c>
      <c r="AC181" s="5"/>
      <c r="AX181" s="10">
        <f ca="1">Table1[[#This Row],[Car Value]]/Table1[[#This Row],[No. of Vehicles]]</f>
        <v>22816.049481629441</v>
      </c>
      <c r="AZ181">
        <f ca="1">IF(Table1[[#This Row],[Debts]]&gt;$BA$3,1,0)</f>
        <v>1</v>
      </c>
      <c r="BC181" s="12">
        <f ca="1">Table1[[#This Row],[Mortage left]]/Table1[[#This Row],[Value of The House]]</f>
        <v>0.3562944228978091</v>
      </c>
      <c r="BD181" s="4">
        <f t="shared" ca="1" si="68"/>
        <v>0</v>
      </c>
      <c r="BE181" s="5"/>
    </row>
    <row r="182" spans="4:57" x14ac:dyDescent="0.3">
      <c r="D182">
        <f t="shared" ca="1" si="52"/>
        <v>1</v>
      </c>
      <c r="E182" t="str">
        <f t="shared" ca="1" si="53"/>
        <v>Male</v>
      </c>
      <c r="F182">
        <f t="shared" ca="1" si="54"/>
        <v>45</v>
      </c>
      <c r="G182">
        <f t="shared" ca="1" si="55"/>
        <v>4</v>
      </c>
      <c r="H182" t="str">
        <f t="shared" ca="1" si="56"/>
        <v>IT</v>
      </c>
      <c r="I182">
        <f t="shared" ca="1" si="57"/>
        <v>1</v>
      </c>
      <c r="J182" t="str">
        <f t="shared" ca="1" si="58"/>
        <v>High School</v>
      </c>
      <c r="K182">
        <f t="shared" ca="1" si="59"/>
        <v>0</v>
      </c>
      <c r="L182">
        <f t="shared" ca="1" si="60"/>
        <v>1</v>
      </c>
      <c r="M182">
        <f t="shared" ca="1" si="61"/>
        <v>64020</v>
      </c>
      <c r="N182">
        <f t="shared" ca="1" si="62"/>
        <v>2</v>
      </c>
      <c r="O182" t="str">
        <f t="shared" ca="1" si="63"/>
        <v>BC</v>
      </c>
      <c r="P182">
        <f t="shared" ca="1" si="69"/>
        <v>384120</v>
      </c>
      <c r="Q182">
        <f t="shared" ca="1" si="64"/>
        <v>61737.849936818406</v>
      </c>
      <c r="R182">
        <f t="shared" ca="1" si="51"/>
        <v>16276.975490158447</v>
      </c>
      <c r="S182">
        <f t="shared" ca="1" si="65"/>
        <v>3563</v>
      </c>
      <c r="T182">
        <f t="shared" ca="1" si="70"/>
        <v>69858.473854553929</v>
      </c>
      <c r="U182">
        <f t="shared" ca="1" si="71"/>
        <v>13866.62704680258</v>
      </c>
      <c r="V182">
        <f t="shared" ca="1" si="72"/>
        <v>414263.60253696103</v>
      </c>
      <c r="W182">
        <f t="shared" ca="1" si="73"/>
        <v>135159.32379137233</v>
      </c>
      <c r="Z182" s="4">
        <f t="shared" ca="1" si="66"/>
        <v>1</v>
      </c>
      <c r="AA182">
        <f t="shared" ca="1" si="67"/>
        <v>0</v>
      </c>
      <c r="AC182" s="5"/>
      <c r="AX182" s="10">
        <f ca="1">Table1[[#This Row],[Car Value]]/Table1[[#This Row],[No. of Vehicles]]</f>
        <v>16276.975490158447</v>
      </c>
      <c r="AZ182">
        <f ca="1">IF(Table1[[#This Row],[Debts]]&gt;$BA$3,1,0)</f>
        <v>1</v>
      </c>
      <c r="BC182" s="12">
        <f ca="1">Table1[[#This Row],[Mortage left]]/Table1[[#This Row],[Value of The House]]</f>
        <v>0.16072542418207436</v>
      </c>
      <c r="BD182" s="4">
        <f t="shared" ca="1" si="68"/>
        <v>1</v>
      </c>
      <c r="BE182" s="5"/>
    </row>
    <row r="183" spans="4:57" x14ac:dyDescent="0.3">
      <c r="D183">
        <f t="shared" ca="1" si="52"/>
        <v>1</v>
      </c>
      <c r="E183" t="str">
        <f t="shared" ca="1" si="53"/>
        <v>Male</v>
      </c>
      <c r="F183">
        <f t="shared" ca="1" si="54"/>
        <v>33</v>
      </c>
      <c r="G183">
        <f t="shared" ca="1" si="55"/>
        <v>5</v>
      </c>
      <c r="H183" t="str">
        <f t="shared" ca="1" si="56"/>
        <v>Agriculture</v>
      </c>
      <c r="I183">
        <f t="shared" ca="1" si="57"/>
        <v>1</v>
      </c>
      <c r="J183" t="str">
        <f t="shared" ca="1" si="58"/>
        <v>High School</v>
      </c>
      <c r="K183">
        <f t="shared" ca="1" si="59"/>
        <v>3</v>
      </c>
      <c r="L183">
        <f t="shared" ca="1" si="60"/>
        <v>2</v>
      </c>
      <c r="M183">
        <f t="shared" ca="1" si="61"/>
        <v>27824</v>
      </c>
      <c r="N183">
        <f t="shared" ca="1" si="62"/>
        <v>12</v>
      </c>
      <c r="O183" t="str">
        <f t="shared" ca="1" si="63"/>
        <v>Nova scotia</v>
      </c>
      <c r="P183">
        <f t="shared" ca="1" si="69"/>
        <v>139120</v>
      </c>
      <c r="Q183">
        <f t="shared" ca="1" si="64"/>
        <v>123378.0284082677</v>
      </c>
      <c r="R183">
        <f t="shared" ca="1" si="51"/>
        <v>55417.741857884175</v>
      </c>
      <c r="S183">
        <f t="shared" ca="1" si="65"/>
        <v>29878</v>
      </c>
      <c r="T183">
        <f t="shared" ca="1" si="70"/>
        <v>10294.34906102929</v>
      </c>
      <c r="U183">
        <f t="shared" ca="1" si="71"/>
        <v>39293.825809447415</v>
      </c>
      <c r="V183">
        <f t="shared" ca="1" si="72"/>
        <v>233831.56766733158</v>
      </c>
      <c r="W183">
        <f t="shared" ca="1" si="73"/>
        <v>163550.377469297</v>
      </c>
      <c r="Z183" s="4">
        <f t="shared" ca="1" si="66"/>
        <v>1</v>
      </c>
      <c r="AA183">
        <f t="shared" ca="1" si="67"/>
        <v>0</v>
      </c>
      <c r="AC183" s="5"/>
      <c r="AX183" s="10">
        <f ca="1">Table1[[#This Row],[Car Value]]/Table1[[#This Row],[No. of Vehicles]]</f>
        <v>27708.870928942088</v>
      </c>
      <c r="AZ183">
        <f ca="1">IF(Table1[[#This Row],[Debts]]&gt;$BA$3,1,0)</f>
        <v>0</v>
      </c>
      <c r="BC183" s="12">
        <f ca="1">Table1[[#This Row],[Mortage left]]/Table1[[#This Row],[Value of The House]]</f>
        <v>0.88684609264137215</v>
      </c>
      <c r="BD183" s="4">
        <f t="shared" ca="1" si="68"/>
        <v>0</v>
      </c>
      <c r="BE183" s="5"/>
    </row>
    <row r="184" spans="4:57" x14ac:dyDescent="0.3">
      <c r="D184">
        <f t="shared" ca="1" si="52"/>
        <v>1</v>
      </c>
      <c r="E184" t="str">
        <f t="shared" ca="1" si="53"/>
        <v>Male</v>
      </c>
      <c r="F184">
        <f t="shared" ca="1" si="54"/>
        <v>39</v>
      </c>
      <c r="G184">
        <f t="shared" ca="1" si="55"/>
        <v>4</v>
      </c>
      <c r="H184" t="str">
        <f t="shared" ca="1" si="56"/>
        <v>IT</v>
      </c>
      <c r="I184">
        <f t="shared" ca="1" si="57"/>
        <v>5</v>
      </c>
      <c r="J184" t="str">
        <f t="shared" ca="1" si="58"/>
        <v>Other</v>
      </c>
      <c r="K184">
        <f t="shared" ca="1" si="59"/>
        <v>3</v>
      </c>
      <c r="L184">
        <f t="shared" ca="1" si="60"/>
        <v>2</v>
      </c>
      <c r="M184">
        <f t="shared" ca="1" si="61"/>
        <v>75466</v>
      </c>
      <c r="N184">
        <f t="shared" ca="1" si="62"/>
        <v>4</v>
      </c>
      <c r="O184" t="str">
        <f t="shared" ca="1" si="63"/>
        <v>Alberta</v>
      </c>
      <c r="P184">
        <f t="shared" ca="1" si="69"/>
        <v>377330</v>
      </c>
      <c r="Q184">
        <f t="shared" ca="1" si="64"/>
        <v>60348.290169319727</v>
      </c>
      <c r="R184">
        <f t="shared" ca="1" si="51"/>
        <v>35934.567794296221</v>
      </c>
      <c r="S184">
        <f t="shared" ca="1" si="65"/>
        <v>1314</v>
      </c>
      <c r="T184">
        <f t="shared" ca="1" si="70"/>
        <v>35477.452552583942</v>
      </c>
      <c r="U184">
        <f t="shared" ca="1" si="71"/>
        <v>104311.88808328757</v>
      </c>
      <c r="V184">
        <f t="shared" ca="1" si="72"/>
        <v>517576.45587758376</v>
      </c>
      <c r="W184">
        <f t="shared" ca="1" si="73"/>
        <v>97139.742721903662</v>
      </c>
      <c r="Z184" s="4">
        <f t="shared" ca="1" si="66"/>
        <v>1</v>
      </c>
      <c r="AA184">
        <f t="shared" ca="1" si="67"/>
        <v>0</v>
      </c>
      <c r="AC184" s="5"/>
      <c r="AX184" s="10">
        <f ca="1">Table1[[#This Row],[Car Value]]/Table1[[#This Row],[No. of Vehicles]]</f>
        <v>17967.283897148111</v>
      </c>
      <c r="AZ184">
        <f ca="1">IF(Table1[[#This Row],[Debts]]&gt;$BA$3,1,0)</f>
        <v>1</v>
      </c>
      <c r="BC184" s="12">
        <f ca="1">Table1[[#This Row],[Mortage left]]/Table1[[#This Row],[Value of The House]]</f>
        <v>0.15993504404452263</v>
      </c>
      <c r="BD184" s="4">
        <f t="shared" ca="1" si="68"/>
        <v>1</v>
      </c>
      <c r="BE184" s="5"/>
    </row>
    <row r="185" spans="4:57" x14ac:dyDescent="0.3">
      <c r="D185">
        <f t="shared" ca="1" si="52"/>
        <v>2</v>
      </c>
      <c r="E185" t="str">
        <f t="shared" ca="1" si="53"/>
        <v>Female</v>
      </c>
      <c r="F185">
        <f t="shared" ca="1" si="54"/>
        <v>40</v>
      </c>
      <c r="G185">
        <f t="shared" ca="1" si="55"/>
        <v>3</v>
      </c>
      <c r="H185" t="str">
        <f t="shared" ca="1" si="56"/>
        <v>Teaching</v>
      </c>
      <c r="I185">
        <f t="shared" ca="1" si="57"/>
        <v>5</v>
      </c>
      <c r="J185" t="str">
        <f t="shared" ca="1" si="58"/>
        <v>Other</v>
      </c>
      <c r="K185">
        <f t="shared" ca="1" si="59"/>
        <v>2</v>
      </c>
      <c r="L185">
        <f t="shared" ca="1" si="60"/>
        <v>2</v>
      </c>
      <c r="M185">
        <f t="shared" ca="1" si="61"/>
        <v>65398</v>
      </c>
      <c r="N185">
        <f t="shared" ca="1" si="62"/>
        <v>13</v>
      </c>
      <c r="O185" t="str">
        <f t="shared" ca="1" si="63"/>
        <v>Prince Edward Islnd</v>
      </c>
      <c r="P185">
        <f t="shared" ca="1" si="69"/>
        <v>261592</v>
      </c>
      <c r="Q185">
        <f t="shared" ca="1" si="64"/>
        <v>141583.87147369119</v>
      </c>
      <c r="R185">
        <f t="shared" ca="1" si="51"/>
        <v>102458.59484246148</v>
      </c>
      <c r="S185">
        <f t="shared" ca="1" si="65"/>
        <v>89660</v>
      </c>
      <c r="T185">
        <f t="shared" ca="1" si="70"/>
        <v>56216.449129009576</v>
      </c>
      <c r="U185">
        <f t="shared" ca="1" si="71"/>
        <v>15824.062209193104</v>
      </c>
      <c r="V185">
        <f t="shared" ca="1" si="72"/>
        <v>379874.65705165459</v>
      </c>
      <c r="W185">
        <f t="shared" ca="1" si="73"/>
        <v>287460.32060270075</v>
      </c>
      <c r="Z185" s="4">
        <f t="shared" ca="1" si="66"/>
        <v>0</v>
      </c>
      <c r="AA185">
        <f t="shared" ca="1" si="67"/>
        <v>1</v>
      </c>
      <c r="AC185" s="5"/>
      <c r="AX185" s="10">
        <f ca="1">Table1[[#This Row],[Car Value]]/Table1[[#This Row],[No. of Vehicles]]</f>
        <v>51229.297421230738</v>
      </c>
      <c r="AZ185">
        <f ca="1">IF(Table1[[#This Row],[Debts]]&gt;$BA$3,1,0)</f>
        <v>1</v>
      </c>
      <c r="BC185" s="12">
        <f ca="1">Table1[[#This Row],[Mortage left]]/Table1[[#This Row],[Value of The House]]</f>
        <v>0.54123930194230407</v>
      </c>
      <c r="BD185" s="4">
        <f t="shared" ca="1" si="68"/>
        <v>0</v>
      </c>
      <c r="BE185" s="5"/>
    </row>
    <row r="186" spans="4:57" x14ac:dyDescent="0.3">
      <c r="D186">
        <f t="shared" ca="1" si="52"/>
        <v>1</v>
      </c>
      <c r="E186" t="str">
        <f t="shared" ca="1" si="53"/>
        <v>Male</v>
      </c>
      <c r="F186">
        <f t="shared" ca="1" si="54"/>
        <v>31</v>
      </c>
      <c r="G186">
        <f t="shared" ca="1" si="55"/>
        <v>3</v>
      </c>
      <c r="H186" t="str">
        <f t="shared" ca="1" si="56"/>
        <v>Teaching</v>
      </c>
      <c r="I186">
        <f t="shared" ca="1" si="57"/>
        <v>5</v>
      </c>
      <c r="J186" t="str">
        <f t="shared" ca="1" si="58"/>
        <v>Other</v>
      </c>
      <c r="K186">
        <f t="shared" ca="1" si="59"/>
        <v>1</v>
      </c>
      <c r="L186">
        <f t="shared" ca="1" si="60"/>
        <v>2</v>
      </c>
      <c r="M186">
        <f t="shared" ca="1" si="61"/>
        <v>79398</v>
      </c>
      <c r="N186">
        <f t="shared" ca="1" si="62"/>
        <v>2</v>
      </c>
      <c r="O186" t="str">
        <f t="shared" ca="1" si="63"/>
        <v>BC</v>
      </c>
      <c r="P186">
        <f t="shared" ca="1" si="69"/>
        <v>396990</v>
      </c>
      <c r="Q186">
        <f t="shared" ca="1" si="64"/>
        <v>192450.81150835703</v>
      </c>
      <c r="R186">
        <f t="shared" ca="1" si="51"/>
        <v>54191.41496430921</v>
      </c>
      <c r="S186">
        <f t="shared" ca="1" si="65"/>
        <v>30248</v>
      </c>
      <c r="T186">
        <f t="shared" ca="1" si="70"/>
        <v>30759.399561011571</v>
      </c>
      <c r="U186">
        <f t="shared" ca="1" si="71"/>
        <v>25978.501203559448</v>
      </c>
      <c r="V186">
        <f t="shared" ca="1" si="72"/>
        <v>477159.91616786865</v>
      </c>
      <c r="W186">
        <f t="shared" ca="1" si="73"/>
        <v>253458.21106936861</v>
      </c>
      <c r="Z186" s="4">
        <f t="shared" ca="1" si="66"/>
        <v>1</v>
      </c>
      <c r="AA186">
        <f t="shared" ca="1" si="67"/>
        <v>0</v>
      </c>
      <c r="AC186" s="5"/>
      <c r="AX186" s="10">
        <f ca="1">Table1[[#This Row],[Car Value]]/Table1[[#This Row],[No. of Vehicles]]</f>
        <v>27095.707482154605</v>
      </c>
      <c r="AZ186">
        <f ca="1">IF(Table1[[#This Row],[Debts]]&gt;$BA$3,1,0)</f>
        <v>1</v>
      </c>
      <c r="BC186" s="12">
        <f ca="1">Table1[[#This Row],[Mortage left]]/Table1[[#This Row],[Value of The House]]</f>
        <v>0.48477496034750756</v>
      </c>
      <c r="BD186" s="4">
        <f t="shared" ca="1" si="68"/>
        <v>0</v>
      </c>
      <c r="BE186" s="5"/>
    </row>
    <row r="187" spans="4:57" x14ac:dyDescent="0.3">
      <c r="D187">
        <f t="shared" ca="1" si="52"/>
        <v>2</v>
      </c>
      <c r="E187" t="str">
        <f t="shared" ca="1" si="53"/>
        <v>Female</v>
      </c>
      <c r="F187">
        <f t="shared" ca="1" si="54"/>
        <v>40</v>
      </c>
      <c r="G187">
        <f t="shared" ca="1" si="55"/>
        <v>2</v>
      </c>
      <c r="H187" t="str">
        <f t="shared" ca="1" si="56"/>
        <v>Construction</v>
      </c>
      <c r="I187">
        <f t="shared" ca="1" si="57"/>
        <v>2</v>
      </c>
      <c r="J187" t="str">
        <f t="shared" ca="1" si="58"/>
        <v>College</v>
      </c>
      <c r="K187">
        <f t="shared" ca="1" si="59"/>
        <v>1</v>
      </c>
      <c r="L187">
        <f t="shared" ca="1" si="60"/>
        <v>2</v>
      </c>
      <c r="M187">
        <f t="shared" ca="1" si="61"/>
        <v>58660</v>
      </c>
      <c r="N187">
        <f t="shared" ca="1" si="62"/>
        <v>10</v>
      </c>
      <c r="O187" t="str">
        <f t="shared" ca="1" si="63"/>
        <v>Newfouland</v>
      </c>
      <c r="P187">
        <f t="shared" ca="1" si="69"/>
        <v>234640</v>
      </c>
      <c r="Q187">
        <f t="shared" ca="1" si="64"/>
        <v>83122.72784515949</v>
      </c>
      <c r="R187">
        <f t="shared" ca="1" si="51"/>
        <v>78248.389930919468</v>
      </c>
      <c r="S187">
        <f t="shared" ca="1" si="65"/>
        <v>21109</v>
      </c>
      <c r="T187">
        <f t="shared" ca="1" si="70"/>
        <v>107128.71418861588</v>
      </c>
      <c r="U187">
        <f t="shared" ca="1" si="71"/>
        <v>33392.636660169454</v>
      </c>
      <c r="V187">
        <f t="shared" ca="1" si="72"/>
        <v>346281.02659108891</v>
      </c>
      <c r="W187">
        <f t="shared" ca="1" si="73"/>
        <v>211360.44203377538</v>
      </c>
      <c r="Z187" s="4">
        <f t="shared" ca="1" si="66"/>
        <v>0</v>
      </c>
      <c r="AA187">
        <f t="shared" ca="1" si="67"/>
        <v>1</v>
      </c>
      <c r="AC187" s="5"/>
      <c r="AX187" s="10">
        <f ca="1">Table1[[#This Row],[Car Value]]/Table1[[#This Row],[No. of Vehicles]]</f>
        <v>39124.194965459734</v>
      </c>
      <c r="AZ187">
        <f ca="1">IF(Table1[[#This Row],[Debts]]&gt;$BA$3,1,0)</f>
        <v>1</v>
      </c>
      <c r="BC187" s="12">
        <f ca="1">Table1[[#This Row],[Mortage left]]/Table1[[#This Row],[Value of The House]]</f>
        <v>0.35425642620678272</v>
      </c>
      <c r="BD187" s="4">
        <f t="shared" ca="1" si="68"/>
        <v>0</v>
      </c>
      <c r="BE187" s="5"/>
    </row>
    <row r="188" spans="4:57" x14ac:dyDescent="0.3">
      <c r="D188">
        <f t="shared" ca="1" si="52"/>
        <v>1</v>
      </c>
      <c r="E188" t="str">
        <f t="shared" ca="1" si="53"/>
        <v>Male</v>
      </c>
      <c r="F188">
        <f t="shared" ca="1" si="54"/>
        <v>34</v>
      </c>
      <c r="G188">
        <f t="shared" ca="1" si="55"/>
        <v>3</v>
      </c>
      <c r="H188" t="str">
        <f t="shared" ca="1" si="56"/>
        <v>Teaching</v>
      </c>
      <c r="I188">
        <f t="shared" ca="1" si="57"/>
        <v>4</v>
      </c>
      <c r="J188" t="str">
        <f t="shared" ca="1" si="58"/>
        <v>Technical</v>
      </c>
      <c r="K188">
        <f t="shared" ca="1" si="59"/>
        <v>4</v>
      </c>
      <c r="L188">
        <f t="shared" ca="1" si="60"/>
        <v>1</v>
      </c>
      <c r="M188">
        <f t="shared" ca="1" si="61"/>
        <v>49326</v>
      </c>
      <c r="N188">
        <f t="shared" ca="1" si="62"/>
        <v>12</v>
      </c>
      <c r="O188" t="str">
        <f t="shared" ca="1" si="63"/>
        <v>Nova scotia</v>
      </c>
      <c r="P188">
        <f t="shared" ca="1" si="69"/>
        <v>246630</v>
      </c>
      <c r="Q188">
        <f t="shared" ca="1" si="64"/>
        <v>118438.51923818553</v>
      </c>
      <c r="R188">
        <f t="shared" ca="1" si="51"/>
        <v>483.87246425279767</v>
      </c>
      <c r="S188">
        <f t="shared" ca="1" si="65"/>
        <v>407</v>
      </c>
      <c r="T188">
        <f t="shared" ca="1" si="70"/>
        <v>60615.344349534826</v>
      </c>
      <c r="U188">
        <f t="shared" ca="1" si="71"/>
        <v>4956.6825789298182</v>
      </c>
      <c r="V188">
        <f t="shared" ca="1" si="72"/>
        <v>252070.55504318263</v>
      </c>
      <c r="W188">
        <f t="shared" ca="1" si="73"/>
        <v>179460.86358772035</v>
      </c>
      <c r="Z188" s="4">
        <f t="shared" ca="1" si="66"/>
        <v>1</v>
      </c>
      <c r="AA188">
        <f t="shared" ca="1" si="67"/>
        <v>0</v>
      </c>
      <c r="AC188" s="5"/>
      <c r="AX188" s="10">
        <f ca="1">Table1[[#This Row],[Car Value]]/Table1[[#This Row],[No. of Vehicles]]</f>
        <v>483.87246425279767</v>
      </c>
      <c r="AZ188">
        <f ca="1">IF(Table1[[#This Row],[Debts]]&gt;$BA$3,1,0)</f>
        <v>1</v>
      </c>
      <c r="BC188" s="12">
        <f ca="1">Table1[[#This Row],[Mortage left]]/Table1[[#This Row],[Value of The House]]</f>
        <v>0.48022754424922165</v>
      </c>
      <c r="BD188" s="4">
        <f t="shared" ca="1" si="68"/>
        <v>0</v>
      </c>
      <c r="BE188" s="5"/>
    </row>
    <row r="189" spans="4:57" x14ac:dyDescent="0.3">
      <c r="D189">
        <f t="shared" ca="1" si="52"/>
        <v>2</v>
      </c>
      <c r="E189" t="str">
        <f t="shared" ca="1" si="53"/>
        <v>Female</v>
      </c>
      <c r="F189">
        <f t="shared" ca="1" si="54"/>
        <v>44</v>
      </c>
      <c r="G189">
        <f t="shared" ca="1" si="55"/>
        <v>3</v>
      </c>
      <c r="H189" t="str">
        <f t="shared" ca="1" si="56"/>
        <v>Teaching</v>
      </c>
      <c r="I189">
        <f t="shared" ca="1" si="57"/>
        <v>3</v>
      </c>
      <c r="J189" t="str">
        <f t="shared" ca="1" si="58"/>
        <v>University</v>
      </c>
      <c r="K189">
        <f t="shared" ca="1" si="59"/>
        <v>4</v>
      </c>
      <c r="L189">
        <f t="shared" ca="1" si="60"/>
        <v>1</v>
      </c>
      <c r="M189">
        <f t="shared" ca="1" si="61"/>
        <v>29243</v>
      </c>
      <c r="N189">
        <f t="shared" ca="1" si="62"/>
        <v>6</v>
      </c>
      <c r="O189" t="str">
        <f t="shared" ca="1" si="63"/>
        <v>Saskatchewan</v>
      </c>
      <c r="P189">
        <f t="shared" ca="1" si="69"/>
        <v>116972</v>
      </c>
      <c r="Q189">
        <f t="shared" ca="1" si="64"/>
        <v>82485.487917925682</v>
      </c>
      <c r="R189">
        <f t="shared" ca="1" si="51"/>
        <v>8655.0594001517384</v>
      </c>
      <c r="S189">
        <f t="shared" ca="1" si="65"/>
        <v>4113</v>
      </c>
      <c r="T189">
        <f t="shared" ca="1" si="70"/>
        <v>33662.356888339375</v>
      </c>
      <c r="U189">
        <f t="shared" ca="1" si="71"/>
        <v>7979.3665752712905</v>
      </c>
      <c r="V189">
        <f t="shared" ca="1" si="72"/>
        <v>133606.42597542304</v>
      </c>
      <c r="W189">
        <f t="shared" ca="1" si="73"/>
        <v>120260.84480626506</v>
      </c>
      <c r="Z189" s="4">
        <f t="shared" ca="1" si="66"/>
        <v>0</v>
      </c>
      <c r="AA189">
        <f t="shared" ca="1" si="67"/>
        <v>1</v>
      </c>
      <c r="AC189" s="5"/>
      <c r="AX189" s="10">
        <f ca="1">Table1[[#This Row],[Car Value]]/Table1[[#This Row],[No. of Vehicles]]</f>
        <v>8655.0594001517384</v>
      </c>
      <c r="AZ189">
        <f ca="1">IF(Table1[[#This Row],[Debts]]&gt;$BA$3,1,0)</f>
        <v>1</v>
      </c>
      <c r="BC189" s="12">
        <f ca="1">Table1[[#This Row],[Mortage left]]/Table1[[#This Row],[Value of The House]]</f>
        <v>0.70517292957225386</v>
      </c>
      <c r="BD189" s="4">
        <f t="shared" ca="1" si="68"/>
        <v>0</v>
      </c>
      <c r="BE189" s="5"/>
    </row>
    <row r="190" spans="4:57" x14ac:dyDescent="0.3">
      <c r="D190">
        <f t="shared" ca="1" si="52"/>
        <v>2</v>
      </c>
      <c r="E190" t="str">
        <f t="shared" ca="1" si="53"/>
        <v>Female</v>
      </c>
      <c r="F190">
        <f t="shared" ca="1" si="54"/>
        <v>28</v>
      </c>
      <c r="G190">
        <f t="shared" ca="1" si="55"/>
        <v>6</v>
      </c>
      <c r="H190" t="str">
        <f t="shared" ca="1" si="56"/>
        <v>General Work</v>
      </c>
      <c r="I190">
        <f t="shared" ca="1" si="57"/>
        <v>4</v>
      </c>
      <c r="J190" t="str">
        <f t="shared" ca="1" si="58"/>
        <v>Technical</v>
      </c>
      <c r="K190">
        <f t="shared" ca="1" si="59"/>
        <v>4</v>
      </c>
      <c r="L190">
        <f t="shared" ca="1" si="60"/>
        <v>1</v>
      </c>
      <c r="M190">
        <f t="shared" ca="1" si="61"/>
        <v>38020</v>
      </c>
      <c r="N190">
        <f t="shared" ca="1" si="62"/>
        <v>3</v>
      </c>
      <c r="O190" t="str">
        <f t="shared" ca="1" si="63"/>
        <v>Northwest Ter</v>
      </c>
      <c r="P190">
        <f t="shared" ca="1" si="69"/>
        <v>152080</v>
      </c>
      <c r="Q190">
        <f t="shared" ca="1" si="64"/>
        <v>102452.08036522061</v>
      </c>
      <c r="R190">
        <f t="shared" ca="1" si="51"/>
        <v>9453.3619784222101</v>
      </c>
      <c r="S190">
        <f t="shared" ca="1" si="65"/>
        <v>1748</v>
      </c>
      <c r="T190">
        <f t="shared" ca="1" si="70"/>
        <v>5150.422573394234</v>
      </c>
      <c r="U190">
        <f t="shared" ca="1" si="71"/>
        <v>51049.511059674427</v>
      </c>
      <c r="V190">
        <f t="shared" ca="1" si="72"/>
        <v>212582.87303809664</v>
      </c>
      <c r="W190">
        <f t="shared" ca="1" si="73"/>
        <v>109350.50293861484</v>
      </c>
      <c r="Z190" s="4">
        <f t="shared" ca="1" si="66"/>
        <v>0</v>
      </c>
      <c r="AA190">
        <f t="shared" ca="1" si="67"/>
        <v>1</v>
      </c>
      <c r="AC190" s="5"/>
      <c r="AX190" s="10">
        <f ca="1">Table1[[#This Row],[Car Value]]/Table1[[#This Row],[No. of Vehicles]]</f>
        <v>9453.3619784222101</v>
      </c>
      <c r="AZ190">
        <f ca="1">IF(Table1[[#This Row],[Debts]]&gt;$BA$3,1,0)</f>
        <v>0</v>
      </c>
      <c r="BC190" s="12">
        <f ca="1">Table1[[#This Row],[Mortage left]]/Table1[[#This Row],[Value of The House]]</f>
        <v>0.67367228015005665</v>
      </c>
      <c r="BD190" s="4">
        <f t="shared" ca="1" si="68"/>
        <v>0</v>
      </c>
      <c r="BE190" s="5"/>
    </row>
    <row r="191" spans="4:57" x14ac:dyDescent="0.3">
      <c r="D191">
        <f t="shared" ca="1" si="52"/>
        <v>1</v>
      </c>
      <c r="E191" t="str">
        <f t="shared" ca="1" si="53"/>
        <v>Male</v>
      </c>
      <c r="F191">
        <f t="shared" ca="1" si="54"/>
        <v>26</v>
      </c>
      <c r="G191">
        <f t="shared" ca="1" si="55"/>
        <v>4</v>
      </c>
      <c r="H191" t="str">
        <f t="shared" ca="1" si="56"/>
        <v>IT</v>
      </c>
      <c r="I191">
        <f t="shared" ca="1" si="57"/>
        <v>2</v>
      </c>
      <c r="J191" t="str">
        <f t="shared" ca="1" si="58"/>
        <v>College</v>
      </c>
      <c r="K191">
        <f t="shared" ca="1" si="59"/>
        <v>4</v>
      </c>
      <c r="L191">
        <f t="shared" ca="1" si="60"/>
        <v>2</v>
      </c>
      <c r="M191">
        <f t="shared" ca="1" si="61"/>
        <v>70372</v>
      </c>
      <c r="N191">
        <f t="shared" ca="1" si="62"/>
        <v>2</v>
      </c>
      <c r="O191" t="str">
        <f t="shared" ca="1" si="63"/>
        <v>BC</v>
      </c>
      <c r="P191">
        <f t="shared" ca="1" si="69"/>
        <v>422232</v>
      </c>
      <c r="Q191">
        <f t="shared" ca="1" si="64"/>
        <v>387649.91974468896</v>
      </c>
      <c r="R191">
        <f t="shared" ca="1" si="51"/>
        <v>96083.578648844297</v>
      </c>
      <c r="S191">
        <f t="shared" ca="1" si="65"/>
        <v>58473</v>
      </c>
      <c r="T191">
        <f t="shared" ca="1" si="70"/>
        <v>78788.468828108409</v>
      </c>
      <c r="U191">
        <f t="shared" ca="1" si="71"/>
        <v>88965.333080759534</v>
      </c>
      <c r="V191">
        <f t="shared" ca="1" si="72"/>
        <v>607280.91172960377</v>
      </c>
      <c r="W191">
        <f t="shared" ca="1" si="73"/>
        <v>524911.38857279741</v>
      </c>
      <c r="Z191" s="4">
        <f t="shared" ca="1" si="66"/>
        <v>1</v>
      </c>
      <c r="AA191">
        <f t="shared" ca="1" si="67"/>
        <v>0</v>
      </c>
      <c r="AC191" s="5"/>
      <c r="AX191" s="10">
        <f ca="1">Table1[[#This Row],[Car Value]]/Table1[[#This Row],[No. of Vehicles]]</f>
        <v>48041.789324422149</v>
      </c>
      <c r="AZ191">
        <f ca="1">IF(Table1[[#This Row],[Debts]]&gt;$BA$3,1,0)</f>
        <v>1</v>
      </c>
      <c r="BC191" s="12">
        <f ca="1">Table1[[#This Row],[Mortage left]]/Table1[[#This Row],[Value of The House]]</f>
        <v>0.91809696978127897</v>
      </c>
      <c r="BD191" s="4">
        <f t="shared" ca="1" si="68"/>
        <v>0</v>
      </c>
      <c r="BE191" s="5"/>
    </row>
    <row r="192" spans="4:57" x14ac:dyDescent="0.3">
      <c r="D192">
        <f t="shared" ca="1" si="52"/>
        <v>1</v>
      </c>
      <c r="E192" t="str">
        <f t="shared" ca="1" si="53"/>
        <v>Male</v>
      </c>
      <c r="F192">
        <f t="shared" ca="1" si="54"/>
        <v>29</v>
      </c>
      <c r="G192">
        <f t="shared" ca="1" si="55"/>
        <v>2</v>
      </c>
      <c r="H192" t="str">
        <f t="shared" ca="1" si="56"/>
        <v>Construction</v>
      </c>
      <c r="I192">
        <f t="shared" ca="1" si="57"/>
        <v>5</v>
      </c>
      <c r="J192" t="str">
        <f t="shared" ca="1" si="58"/>
        <v>Other</v>
      </c>
      <c r="K192">
        <f t="shared" ca="1" si="59"/>
        <v>1</v>
      </c>
      <c r="L192">
        <f t="shared" ca="1" si="60"/>
        <v>1</v>
      </c>
      <c r="M192">
        <f t="shared" ca="1" si="61"/>
        <v>69227</v>
      </c>
      <c r="N192">
        <f t="shared" ca="1" si="62"/>
        <v>5</v>
      </c>
      <c r="O192" t="str">
        <f t="shared" ca="1" si="63"/>
        <v>Nunavut</v>
      </c>
      <c r="P192">
        <f t="shared" ca="1" si="69"/>
        <v>276908</v>
      </c>
      <c r="Q192">
        <f t="shared" ca="1" si="64"/>
        <v>134364.09349807911</v>
      </c>
      <c r="R192">
        <f t="shared" ca="1" si="51"/>
        <v>20971.570093457267</v>
      </c>
      <c r="S192">
        <f t="shared" ca="1" si="65"/>
        <v>13713</v>
      </c>
      <c r="T192">
        <f t="shared" ca="1" si="70"/>
        <v>47592.870191717273</v>
      </c>
      <c r="U192">
        <f t="shared" ca="1" si="71"/>
        <v>63671.974095590078</v>
      </c>
      <c r="V192">
        <f t="shared" ca="1" si="72"/>
        <v>361551.5441890473</v>
      </c>
      <c r="W192">
        <f t="shared" ca="1" si="73"/>
        <v>195669.96368979639</v>
      </c>
      <c r="Z192" s="4">
        <f t="shared" ca="1" si="66"/>
        <v>1</v>
      </c>
      <c r="AA192">
        <f t="shared" ca="1" si="67"/>
        <v>0</v>
      </c>
      <c r="AC192" s="5"/>
      <c r="AX192" s="10">
        <f ca="1">Table1[[#This Row],[Car Value]]/Table1[[#This Row],[No. of Vehicles]]</f>
        <v>20971.570093457267</v>
      </c>
      <c r="AZ192">
        <f ca="1">IF(Table1[[#This Row],[Debts]]&gt;$BA$3,1,0)</f>
        <v>1</v>
      </c>
      <c r="BC192" s="12">
        <f ca="1">Table1[[#This Row],[Mortage left]]/Table1[[#This Row],[Value of The House]]</f>
        <v>0.48523008904791159</v>
      </c>
      <c r="BD192" s="4">
        <f t="shared" ca="1" si="68"/>
        <v>0</v>
      </c>
      <c r="BE192" s="5"/>
    </row>
    <row r="193" spans="4:57" x14ac:dyDescent="0.3">
      <c r="D193">
        <f t="shared" ca="1" si="52"/>
        <v>2</v>
      </c>
      <c r="E193" t="str">
        <f t="shared" ca="1" si="53"/>
        <v>Female</v>
      </c>
      <c r="F193">
        <f t="shared" ca="1" si="54"/>
        <v>44</v>
      </c>
      <c r="G193">
        <f t="shared" ca="1" si="55"/>
        <v>3</v>
      </c>
      <c r="H193" t="str">
        <f t="shared" ca="1" si="56"/>
        <v>Teaching</v>
      </c>
      <c r="I193">
        <f t="shared" ca="1" si="57"/>
        <v>1</v>
      </c>
      <c r="J193" t="str">
        <f t="shared" ca="1" si="58"/>
        <v>High School</v>
      </c>
      <c r="K193">
        <f t="shared" ca="1" si="59"/>
        <v>1</v>
      </c>
      <c r="L193">
        <f t="shared" ca="1" si="60"/>
        <v>1</v>
      </c>
      <c r="M193">
        <f t="shared" ca="1" si="61"/>
        <v>25657</v>
      </c>
      <c r="N193">
        <f t="shared" ca="1" si="62"/>
        <v>4</v>
      </c>
      <c r="O193" t="str">
        <f t="shared" ca="1" si="63"/>
        <v>Alberta</v>
      </c>
      <c r="P193">
        <f t="shared" ca="1" si="69"/>
        <v>102628</v>
      </c>
      <c r="Q193">
        <f t="shared" ca="1" si="64"/>
        <v>48199.34799769571</v>
      </c>
      <c r="R193">
        <f t="shared" ca="1" si="51"/>
        <v>22852.065968140556</v>
      </c>
      <c r="S193">
        <f t="shared" ca="1" si="65"/>
        <v>13802</v>
      </c>
      <c r="T193">
        <f t="shared" ca="1" si="70"/>
        <v>47718.147305647093</v>
      </c>
      <c r="U193">
        <f t="shared" ca="1" si="71"/>
        <v>16681.415222059844</v>
      </c>
      <c r="V193">
        <f t="shared" ca="1" si="72"/>
        <v>142161.4811902004</v>
      </c>
      <c r="W193">
        <f t="shared" ca="1" si="73"/>
        <v>109719.4953033428</v>
      </c>
      <c r="Z193" s="4">
        <f t="shared" ca="1" si="66"/>
        <v>0</v>
      </c>
      <c r="AA193">
        <f t="shared" ca="1" si="67"/>
        <v>1</v>
      </c>
      <c r="AC193" s="5"/>
      <c r="AX193" s="10">
        <f ca="1">Table1[[#This Row],[Car Value]]/Table1[[#This Row],[No. of Vehicles]]</f>
        <v>22852.065968140556</v>
      </c>
      <c r="AZ193">
        <f ca="1">IF(Table1[[#This Row],[Debts]]&gt;$BA$3,1,0)</f>
        <v>1</v>
      </c>
      <c r="BC193" s="12">
        <f ca="1">Table1[[#This Row],[Mortage left]]/Table1[[#This Row],[Value of The House]]</f>
        <v>0.46965105037315069</v>
      </c>
      <c r="BD193" s="4">
        <f t="shared" ca="1" si="68"/>
        <v>0</v>
      </c>
      <c r="BE193" s="5"/>
    </row>
    <row r="194" spans="4:57" x14ac:dyDescent="0.3">
      <c r="D194">
        <f t="shared" ca="1" si="52"/>
        <v>2</v>
      </c>
      <c r="E194" t="str">
        <f t="shared" ca="1" si="53"/>
        <v>Female</v>
      </c>
      <c r="F194">
        <f t="shared" ca="1" si="54"/>
        <v>36</v>
      </c>
      <c r="G194">
        <f t="shared" ca="1" si="55"/>
        <v>4</v>
      </c>
      <c r="H194" t="str">
        <f t="shared" ca="1" si="56"/>
        <v>IT</v>
      </c>
      <c r="I194">
        <f t="shared" ca="1" si="57"/>
        <v>2</v>
      </c>
      <c r="J194" t="str">
        <f t="shared" ca="1" si="58"/>
        <v>College</v>
      </c>
      <c r="K194">
        <f t="shared" ca="1" si="59"/>
        <v>4</v>
      </c>
      <c r="L194">
        <f t="shared" ca="1" si="60"/>
        <v>1</v>
      </c>
      <c r="M194">
        <f t="shared" ca="1" si="61"/>
        <v>41026</v>
      </c>
      <c r="N194">
        <f t="shared" ca="1" si="62"/>
        <v>4</v>
      </c>
      <c r="O194" t="str">
        <f t="shared" ca="1" si="63"/>
        <v>Alberta</v>
      </c>
      <c r="P194">
        <f t="shared" ca="1" si="69"/>
        <v>246156</v>
      </c>
      <c r="Q194">
        <f t="shared" ca="1" si="64"/>
        <v>223865.09681326081</v>
      </c>
      <c r="R194">
        <f t="shared" ca="1" si="51"/>
        <v>40937.577550531569</v>
      </c>
      <c r="S194">
        <f t="shared" ca="1" si="65"/>
        <v>30044</v>
      </c>
      <c r="T194">
        <f t="shared" ca="1" si="70"/>
        <v>55411.883598445034</v>
      </c>
      <c r="U194">
        <f t="shared" ca="1" si="71"/>
        <v>49503.625222440998</v>
      </c>
      <c r="V194">
        <f t="shared" ca="1" si="72"/>
        <v>336597.20277297258</v>
      </c>
      <c r="W194">
        <f t="shared" ca="1" si="73"/>
        <v>309320.98041170585</v>
      </c>
      <c r="Z194" s="4">
        <f t="shared" ca="1" si="66"/>
        <v>0</v>
      </c>
      <c r="AA194">
        <f t="shared" ca="1" si="67"/>
        <v>1</v>
      </c>
      <c r="AC194" s="5"/>
      <c r="AX194" s="10">
        <f ca="1">Table1[[#This Row],[Car Value]]/Table1[[#This Row],[No. of Vehicles]]</f>
        <v>40937.577550531569</v>
      </c>
      <c r="AZ194">
        <f ca="1">IF(Table1[[#This Row],[Debts]]&gt;$BA$3,1,0)</f>
        <v>1</v>
      </c>
      <c r="BC194" s="12">
        <f ca="1">Table1[[#This Row],[Mortage left]]/Table1[[#This Row],[Value of The House]]</f>
        <v>0.9094439981688881</v>
      </c>
      <c r="BD194" s="4">
        <f t="shared" ca="1" si="68"/>
        <v>0</v>
      </c>
      <c r="BE194" s="5"/>
    </row>
    <row r="195" spans="4:57" x14ac:dyDescent="0.3">
      <c r="D195">
        <f t="shared" ca="1" si="52"/>
        <v>1</v>
      </c>
      <c r="E195" t="str">
        <f t="shared" ca="1" si="53"/>
        <v>Male</v>
      </c>
      <c r="F195">
        <f t="shared" ca="1" si="54"/>
        <v>44</v>
      </c>
      <c r="G195">
        <f t="shared" ca="1" si="55"/>
        <v>4</v>
      </c>
      <c r="H195" t="str">
        <f t="shared" ca="1" si="56"/>
        <v>IT</v>
      </c>
      <c r="I195">
        <f t="shared" ca="1" si="57"/>
        <v>3</v>
      </c>
      <c r="J195" t="str">
        <f t="shared" ca="1" si="58"/>
        <v>University</v>
      </c>
      <c r="K195">
        <f t="shared" ca="1" si="59"/>
        <v>1</v>
      </c>
      <c r="L195">
        <f t="shared" ca="1" si="60"/>
        <v>1</v>
      </c>
      <c r="M195">
        <f t="shared" ca="1" si="61"/>
        <v>89019</v>
      </c>
      <c r="N195">
        <f t="shared" ca="1" si="62"/>
        <v>1</v>
      </c>
      <c r="O195" t="str">
        <f t="shared" ca="1" si="63"/>
        <v>Yukon</v>
      </c>
      <c r="P195">
        <f t="shared" ca="1" si="69"/>
        <v>534114</v>
      </c>
      <c r="Q195">
        <f t="shared" ca="1" si="64"/>
        <v>1268.1837892815481</v>
      </c>
      <c r="R195">
        <f t="shared" ref="R195:R258" ca="1" si="74">L195*RAND()*M195</f>
        <v>46202.268224985317</v>
      </c>
      <c r="S195">
        <f t="shared" ca="1" si="65"/>
        <v>37924</v>
      </c>
      <c r="T195">
        <f t="shared" ca="1" si="70"/>
        <v>70331.37005624325</v>
      </c>
      <c r="U195">
        <f t="shared" ca="1" si="71"/>
        <v>43096.995800199707</v>
      </c>
      <c r="V195">
        <f t="shared" ca="1" si="72"/>
        <v>623413.26402518502</v>
      </c>
      <c r="W195">
        <f t="shared" ca="1" si="73"/>
        <v>109523.55384552479</v>
      </c>
      <c r="Z195" s="4">
        <f t="shared" ca="1" si="66"/>
        <v>1</v>
      </c>
      <c r="AA195">
        <f t="shared" ca="1" si="67"/>
        <v>0</v>
      </c>
      <c r="AC195" s="5"/>
      <c r="AX195" s="10">
        <f ca="1">Table1[[#This Row],[Car Value]]/Table1[[#This Row],[No. of Vehicles]]</f>
        <v>46202.268224985317</v>
      </c>
      <c r="AZ195">
        <f ca="1">IF(Table1[[#This Row],[Debts]]&gt;$BA$3,1,0)</f>
        <v>1</v>
      </c>
      <c r="BC195" s="12">
        <f ca="1">Table1[[#This Row],[Mortage left]]/Table1[[#This Row],[Value of The House]]</f>
        <v>2.3743691221004282E-3</v>
      </c>
      <c r="BD195" s="4">
        <f t="shared" ca="1" si="68"/>
        <v>1</v>
      </c>
      <c r="BE195" s="5"/>
    </row>
    <row r="196" spans="4:57" x14ac:dyDescent="0.3">
      <c r="D196">
        <f t="shared" ref="D196:D259" ca="1" si="75">RANDBETWEEN(1,2)</f>
        <v>1</v>
      </c>
      <c r="E196" t="str">
        <f t="shared" ref="E196:E259" ca="1" si="76">IF(D196=1,"Male","Female")</f>
        <v>Male</v>
      </c>
      <c r="F196">
        <f t="shared" ref="F196:F259" ca="1" si="77">RANDBETWEEN(25,45)</f>
        <v>33</v>
      </c>
      <c r="G196">
        <f t="shared" ref="G196:G259" ca="1" si="78">RANDBETWEEN(1,6)</f>
        <v>2</v>
      </c>
      <c r="H196" t="str">
        <f t="shared" ref="H196:H259" ca="1" si="79">VLOOKUP(G196,$AI$3:$AJ$8,2)</f>
        <v>Construction</v>
      </c>
      <c r="I196">
        <f t="shared" ref="I196:I259" ca="1" si="80">RANDBETWEEN(1,5)</f>
        <v>1</v>
      </c>
      <c r="J196" t="str">
        <f t="shared" ref="J196:J259" ca="1" si="81">+VLOOKUP(I196,$AK$3:$AL$7,2)</f>
        <v>High School</v>
      </c>
      <c r="K196">
        <f t="shared" ref="K196:K259" ca="1" si="82">RANDBETWEEN(0,4)</f>
        <v>4</v>
      </c>
      <c r="L196">
        <f t="shared" ref="L196:L259" ca="1" si="83">RANDBETWEEN(1,2)</f>
        <v>1</v>
      </c>
      <c r="M196">
        <f t="shared" ref="M196:M259" ca="1" si="84">RANDBETWEEN(25000,90000)</f>
        <v>87347</v>
      </c>
      <c r="N196">
        <f t="shared" ref="N196:N259" ca="1" si="85">RANDBETWEEN(1,13)</f>
        <v>4</v>
      </c>
      <c r="O196" t="str">
        <f t="shared" ref="O196:O259" ca="1" si="86">VLOOKUP(N196,$AN$3:$AP$15,2)</f>
        <v>Alberta</v>
      </c>
      <c r="P196">
        <f t="shared" ca="1" si="69"/>
        <v>349388</v>
      </c>
      <c r="Q196">
        <f t="shared" ref="Q196:Q259" ca="1" si="87">RAND()*P196</f>
        <v>213004.54931902804</v>
      </c>
      <c r="R196">
        <f t="shared" ca="1" si="74"/>
        <v>23893.232075394022</v>
      </c>
      <c r="S196">
        <f t="shared" ref="S196:S259" ca="1" si="88">RANDBETWEEN(0,R196)</f>
        <v>9665</v>
      </c>
      <c r="T196">
        <f t="shared" ca="1" si="70"/>
        <v>65032.299294081458</v>
      </c>
      <c r="U196">
        <f t="shared" ca="1" si="71"/>
        <v>7712.3434736871104</v>
      </c>
      <c r="V196">
        <f t="shared" ca="1" si="72"/>
        <v>380993.57554908114</v>
      </c>
      <c r="W196">
        <f t="shared" ca="1" si="73"/>
        <v>287701.8486131095</v>
      </c>
      <c r="Z196" s="4">
        <f t="shared" ref="Z196:Z259" ca="1" si="89">IF(E196="male",1,0)</f>
        <v>1</v>
      </c>
      <c r="AA196">
        <f t="shared" ref="AA196:AA259" ca="1" si="90">IF(E196="male",0,1)</f>
        <v>0</v>
      </c>
      <c r="AC196" s="5"/>
      <c r="AX196" s="10">
        <f ca="1">Table1[[#This Row],[Car Value]]/Table1[[#This Row],[No. of Vehicles]]</f>
        <v>23893.232075394022</v>
      </c>
      <c r="AZ196">
        <f ca="1">IF(Table1[[#This Row],[Debts]]&gt;$BA$3,1,0)</f>
        <v>1</v>
      </c>
      <c r="BC196" s="12">
        <f ca="1">Table1[[#This Row],[Mortage left]]/Table1[[#This Row],[Value of The House]]</f>
        <v>0.6096504439735424</v>
      </c>
      <c r="BD196" s="4">
        <f t="shared" ref="BD196:BD259" ca="1" si="91">IF(BC196&lt;$BE$2,1,0)</f>
        <v>0</v>
      </c>
      <c r="BE196" s="5"/>
    </row>
    <row r="197" spans="4:57" x14ac:dyDescent="0.3">
      <c r="D197">
        <f t="shared" ca="1" si="75"/>
        <v>1</v>
      </c>
      <c r="E197" t="str">
        <f t="shared" ca="1" si="76"/>
        <v>Male</v>
      </c>
      <c r="F197">
        <f t="shared" ca="1" si="77"/>
        <v>42</v>
      </c>
      <c r="G197">
        <f t="shared" ca="1" si="78"/>
        <v>2</v>
      </c>
      <c r="H197" t="str">
        <f t="shared" ca="1" si="79"/>
        <v>Construction</v>
      </c>
      <c r="I197">
        <f t="shared" ca="1" si="80"/>
        <v>4</v>
      </c>
      <c r="J197" t="str">
        <f t="shared" ca="1" si="81"/>
        <v>Technical</v>
      </c>
      <c r="K197">
        <f t="shared" ca="1" si="82"/>
        <v>2</v>
      </c>
      <c r="L197">
        <f t="shared" ca="1" si="83"/>
        <v>2</v>
      </c>
      <c r="M197">
        <f t="shared" ca="1" si="84"/>
        <v>86739</v>
      </c>
      <c r="N197">
        <f t="shared" ca="1" si="85"/>
        <v>7</v>
      </c>
      <c r="O197" t="str">
        <f t="shared" ca="1" si="86"/>
        <v>Manitoba</v>
      </c>
      <c r="P197">
        <f t="shared" ca="1" si="69"/>
        <v>433695</v>
      </c>
      <c r="Q197">
        <f t="shared" ca="1" si="87"/>
        <v>243045.20751974842</v>
      </c>
      <c r="R197">
        <f t="shared" ca="1" si="74"/>
        <v>13496.672658253079</v>
      </c>
      <c r="S197">
        <f t="shared" ca="1" si="88"/>
        <v>11121</v>
      </c>
      <c r="T197">
        <f t="shared" ca="1" si="70"/>
        <v>45825.548812448877</v>
      </c>
      <c r="U197">
        <f t="shared" ca="1" si="71"/>
        <v>78020.789549020032</v>
      </c>
      <c r="V197">
        <f t="shared" ca="1" si="72"/>
        <v>525212.46220727311</v>
      </c>
      <c r="W197">
        <f t="shared" ca="1" si="73"/>
        <v>299991.75633219728</v>
      </c>
      <c r="Z197" s="4">
        <f t="shared" ca="1" si="89"/>
        <v>1</v>
      </c>
      <c r="AA197">
        <f t="shared" ca="1" si="90"/>
        <v>0</v>
      </c>
      <c r="AC197" s="5"/>
      <c r="AX197" s="10">
        <f ca="1">Table1[[#This Row],[Car Value]]/Table1[[#This Row],[No. of Vehicles]]</f>
        <v>6748.3363291265396</v>
      </c>
      <c r="AZ197">
        <f ca="1">IF(Table1[[#This Row],[Debts]]&gt;$BA$3,1,0)</f>
        <v>1</v>
      </c>
      <c r="BC197" s="12">
        <f ca="1">Table1[[#This Row],[Mortage left]]/Table1[[#This Row],[Value of The House]]</f>
        <v>0.56040583248538356</v>
      </c>
      <c r="BD197" s="4">
        <f t="shared" ca="1" si="91"/>
        <v>0</v>
      </c>
      <c r="BE197" s="5"/>
    </row>
    <row r="198" spans="4:57" x14ac:dyDescent="0.3">
      <c r="D198">
        <f t="shared" ca="1" si="75"/>
        <v>2</v>
      </c>
      <c r="E198" t="str">
        <f t="shared" ca="1" si="76"/>
        <v>Female</v>
      </c>
      <c r="F198">
        <f t="shared" ca="1" si="77"/>
        <v>43</v>
      </c>
      <c r="G198">
        <f t="shared" ca="1" si="78"/>
        <v>4</v>
      </c>
      <c r="H198" t="str">
        <f t="shared" ca="1" si="79"/>
        <v>IT</v>
      </c>
      <c r="I198">
        <f t="shared" ca="1" si="80"/>
        <v>5</v>
      </c>
      <c r="J198" t="str">
        <f t="shared" ca="1" si="81"/>
        <v>Other</v>
      </c>
      <c r="K198">
        <f t="shared" ca="1" si="82"/>
        <v>1</v>
      </c>
      <c r="L198">
        <f t="shared" ca="1" si="83"/>
        <v>2</v>
      </c>
      <c r="M198">
        <f t="shared" ca="1" si="84"/>
        <v>51794</v>
      </c>
      <c r="N198">
        <f t="shared" ca="1" si="85"/>
        <v>6</v>
      </c>
      <c r="O198" t="str">
        <f t="shared" ca="1" si="86"/>
        <v>Saskatchewan</v>
      </c>
      <c r="P198">
        <f t="shared" ca="1" si="69"/>
        <v>310764</v>
      </c>
      <c r="Q198">
        <f t="shared" ca="1" si="87"/>
        <v>2631.9075317420229</v>
      </c>
      <c r="R198">
        <f t="shared" ca="1" si="74"/>
        <v>19537.510916710078</v>
      </c>
      <c r="S198">
        <f t="shared" ca="1" si="88"/>
        <v>14565</v>
      </c>
      <c r="T198">
        <f t="shared" ca="1" si="70"/>
        <v>53566.487252864492</v>
      </c>
      <c r="U198">
        <f t="shared" ca="1" si="71"/>
        <v>42181.538910320625</v>
      </c>
      <c r="V198">
        <f t="shared" ca="1" si="72"/>
        <v>372483.04982703069</v>
      </c>
      <c r="W198">
        <f t="shared" ca="1" si="73"/>
        <v>70763.394784606513</v>
      </c>
      <c r="Z198" s="4">
        <f t="shared" ca="1" si="89"/>
        <v>0</v>
      </c>
      <c r="AA198">
        <f t="shared" ca="1" si="90"/>
        <v>1</v>
      </c>
      <c r="AC198" s="5"/>
      <c r="AX198" s="10">
        <f ca="1">Table1[[#This Row],[Car Value]]/Table1[[#This Row],[No. of Vehicles]]</f>
        <v>9768.7554583550391</v>
      </c>
      <c r="AZ198">
        <f ca="1">IF(Table1[[#This Row],[Debts]]&gt;$BA$3,1,0)</f>
        <v>1</v>
      </c>
      <c r="BC198" s="12">
        <f ca="1">Table1[[#This Row],[Mortage left]]/Table1[[#This Row],[Value of The House]]</f>
        <v>8.469151934400454E-3</v>
      </c>
      <c r="BD198" s="4">
        <f t="shared" ca="1" si="91"/>
        <v>1</v>
      </c>
      <c r="BE198" s="5"/>
    </row>
    <row r="199" spans="4:57" x14ac:dyDescent="0.3">
      <c r="D199">
        <f t="shared" ca="1" si="75"/>
        <v>1</v>
      </c>
      <c r="E199" t="str">
        <f t="shared" ca="1" si="76"/>
        <v>Male</v>
      </c>
      <c r="F199">
        <f t="shared" ca="1" si="77"/>
        <v>40</v>
      </c>
      <c r="G199">
        <f t="shared" ca="1" si="78"/>
        <v>4</v>
      </c>
      <c r="H199" t="str">
        <f t="shared" ca="1" si="79"/>
        <v>IT</v>
      </c>
      <c r="I199">
        <f t="shared" ca="1" si="80"/>
        <v>1</v>
      </c>
      <c r="J199" t="str">
        <f t="shared" ca="1" si="81"/>
        <v>High School</v>
      </c>
      <c r="K199">
        <f t="shared" ca="1" si="82"/>
        <v>2</v>
      </c>
      <c r="L199">
        <f t="shared" ca="1" si="83"/>
        <v>2</v>
      </c>
      <c r="M199">
        <f t="shared" ca="1" si="84"/>
        <v>86811</v>
      </c>
      <c r="N199">
        <f t="shared" ca="1" si="85"/>
        <v>13</v>
      </c>
      <c r="O199" t="str">
        <f t="shared" ca="1" si="86"/>
        <v>Prince Edward Islnd</v>
      </c>
      <c r="P199">
        <f t="shared" ca="1" si="69"/>
        <v>434055</v>
      </c>
      <c r="Q199">
        <f t="shared" ca="1" si="87"/>
        <v>333528.58859254117</v>
      </c>
      <c r="R199">
        <f t="shared" ca="1" si="74"/>
        <v>90511.975873403004</v>
      </c>
      <c r="S199">
        <f t="shared" ca="1" si="88"/>
        <v>45324</v>
      </c>
      <c r="T199">
        <f t="shared" ca="1" si="70"/>
        <v>67598.440613785482</v>
      </c>
      <c r="U199">
        <f t="shared" ca="1" si="71"/>
        <v>35902.221411269929</v>
      </c>
      <c r="V199">
        <f t="shared" ca="1" si="72"/>
        <v>560469.19728467299</v>
      </c>
      <c r="W199">
        <f t="shared" ca="1" si="73"/>
        <v>446451.02920632664</v>
      </c>
      <c r="Z199" s="4">
        <f t="shared" ca="1" si="89"/>
        <v>1</v>
      </c>
      <c r="AA199">
        <f t="shared" ca="1" si="90"/>
        <v>0</v>
      </c>
      <c r="AC199" s="5"/>
      <c r="AX199" s="10">
        <f ca="1">Table1[[#This Row],[Car Value]]/Table1[[#This Row],[No. of Vehicles]]</f>
        <v>45255.987936701502</v>
      </c>
      <c r="AZ199">
        <f ca="1">IF(Table1[[#This Row],[Debts]]&gt;$BA$3,1,0)</f>
        <v>1</v>
      </c>
      <c r="BC199" s="12">
        <f ca="1">Table1[[#This Row],[Mortage left]]/Table1[[#This Row],[Value of The House]]</f>
        <v>0.76840167396422387</v>
      </c>
      <c r="BD199" s="4">
        <f t="shared" ca="1" si="91"/>
        <v>0</v>
      </c>
      <c r="BE199" s="5"/>
    </row>
    <row r="200" spans="4:57" x14ac:dyDescent="0.3">
      <c r="D200">
        <f t="shared" ca="1" si="75"/>
        <v>1</v>
      </c>
      <c r="E200" t="str">
        <f t="shared" ca="1" si="76"/>
        <v>Male</v>
      </c>
      <c r="F200">
        <f t="shared" ca="1" si="77"/>
        <v>35</v>
      </c>
      <c r="G200">
        <f t="shared" ca="1" si="78"/>
        <v>2</v>
      </c>
      <c r="H200" t="str">
        <f t="shared" ca="1" si="79"/>
        <v>Construction</v>
      </c>
      <c r="I200">
        <f t="shared" ca="1" si="80"/>
        <v>4</v>
      </c>
      <c r="J200" t="str">
        <f t="shared" ca="1" si="81"/>
        <v>Technical</v>
      </c>
      <c r="K200">
        <f t="shared" ca="1" si="82"/>
        <v>2</v>
      </c>
      <c r="L200">
        <f t="shared" ca="1" si="83"/>
        <v>1</v>
      </c>
      <c r="M200">
        <f t="shared" ca="1" si="84"/>
        <v>32770</v>
      </c>
      <c r="N200">
        <f t="shared" ca="1" si="85"/>
        <v>8</v>
      </c>
      <c r="O200" t="str">
        <f t="shared" ca="1" si="86"/>
        <v>Ontario</v>
      </c>
      <c r="P200">
        <f t="shared" ca="1" si="69"/>
        <v>131080</v>
      </c>
      <c r="Q200">
        <f t="shared" ca="1" si="87"/>
        <v>30272.789125852574</v>
      </c>
      <c r="R200">
        <f t="shared" ca="1" si="74"/>
        <v>26716.452669516468</v>
      </c>
      <c r="S200">
        <f t="shared" ca="1" si="88"/>
        <v>22026</v>
      </c>
      <c r="T200">
        <f t="shared" ca="1" si="70"/>
        <v>30816.572384085757</v>
      </c>
      <c r="U200">
        <f t="shared" ca="1" si="71"/>
        <v>17067.217276680549</v>
      </c>
      <c r="V200">
        <f t="shared" ca="1" si="72"/>
        <v>174863.66994619701</v>
      </c>
      <c r="W200">
        <f t="shared" ca="1" si="73"/>
        <v>83115.361509938331</v>
      </c>
      <c r="Z200" s="4">
        <f t="shared" ca="1" si="89"/>
        <v>1</v>
      </c>
      <c r="AA200">
        <f t="shared" ca="1" si="90"/>
        <v>0</v>
      </c>
      <c r="AC200" s="5"/>
      <c r="AX200" s="10">
        <f ca="1">Table1[[#This Row],[Car Value]]/Table1[[#This Row],[No. of Vehicles]]</f>
        <v>26716.452669516468</v>
      </c>
      <c r="AZ200">
        <f ca="1">IF(Table1[[#This Row],[Debts]]&gt;$BA$3,1,0)</f>
        <v>1</v>
      </c>
      <c r="BC200" s="12">
        <f ca="1">Table1[[#This Row],[Mortage left]]/Table1[[#This Row],[Value of The House]]</f>
        <v>0.23094895579686125</v>
      </c>
      <c r="BD200" s="4">
        <f t="shared" ca="1" si="91"/>
        <v>0</v>
      </c>
      <c r="BE200" s="5"/>
    </row>
    <row r="201" spans="4:57" x14ac:dyDescent="0.3">
      <c r="D201">
        <f t="shared" ca="1" si="75"/>
        <v>1</v>
      </c>
      <c r="E201" t="str">
        <f t="shared" ca="1" si="76"/>
        <v>Male</v>
      </c>
      <c r="F201">
        <f t="shared" ca="1" si="77"/>
        <v>28</v>
      </c>
      <c r="G201">
        <f t="shared" ca="1" si="78"/>
        <v>4</v>
      </c>
      <c r="H201" t="str">
        <f t="shared" ca="1" si="79"/>
        <v>IT</v>
      </c>
      <c r="I201">
        <f t="shared" ca="1" si="80"/>
        <v>1</v>
      </c>
      <c r="J201" t="str">
        <f t="shared" ca="1" si="81"/>
        <v>High School</v>
      </c>
      <c r="K201">
        <f t="shared" ca="1" si="82"/>
        <v>1</v>
      </c>
      <c r="L201">
        <f t="shared" ca="1" si="83"/>
        <v>1</v>
      </c>
      <c r="M201">
        <f t="shared" ca="1" si="84"/>
        <v>82039</v>
      </c>
      <c r="N201">
        <f t="shared" ca="1" si="85"/>
        <v>3</v>
      </c>
      <c r="O201" t="str">
        <f t="shared" ca="1" si="86"/>
        <v>Northwest Ter</v>
      </c>
      <c r="P201">
        <f t="shared" ca="1" si="69"/>
        <v>328156</v>
      </c>
      <c r="Q201">
        <f t="shared" ca="1" si="87"/>
        <v>160044.12221039436</v>
      </c>
      <c r="R201">
        <f t="shared" ca="1" si="74"/>
        <v>20519.233449101324</v>
      </c>
      <c r="S201">
        <f t="shared" ca="1" si="88"/>
        <v>14716</v>
      </c>
      <c r="T201">
        <f t="shared" ca="1" si="70"/>
        <v>81235.174002486674</v>
      </c>
      <c r="U201">
        <f t="shared" ca="1" si="71"/>
        <v>118832.99203151181</v>
      </c>
      <c r="V201">
        <f t="shared" ca="1" si="72"/>
        <v>467508.22548061312</v>
      </c>
      <c r="W201">
        <f t="shared" ca="1" si="73"/>
        <v>255995.29621288105</v>
      </c>
      <c r="Z201" s="4">
        <f t="shared" ca="1" si="89"/>
        <v>1</v>
      </c>
      <c r="AA201">
        <f t="shared" ca="1" si="90"/>
        <v>0</v>
      </c>
      <c r="AC201" s="5"/>
      <c r="AX201" s="10">
        <f ca="1">Table1[[#This Row],[Car Value]]/Table1[[#This Row],[No. of Vehicles]]</f>
        <v>20519.233449101324</v>
      </c>
      <c r="AZ201">
        <f ca="1">IF(Table1[[#This Row],[Debts]]&gt;$BA$3,1,0)</f>
        <v>1</v>
      </c>
      <c r="BC201" s="12">
        <f ca="1">Table1[[#This Row],[Mortage left]]/Table1[[#This Row],[Value of The House]]</f>
        <v>0.48770743856700582</v>
      </c>
      <c r="BD201" s="4">
        <f t="shared" ca="1" si="91"/>
        <v>0</v>
      </c>
      <c r="BE201" s="5"/>
    </row>
    <row r="202" spans="4:57" x14ac:dyDescent="0.3">
      <c r="D202">
        <f t="shared" ca="1" si="75"/>
        <v>1</v>
      </c>
      <c r="E202" t="str">
        <f t="shared" ca="1" si="76"/>
        <v>Male</v>
      </c>
      <c r="F202">
        <f t="shared" ca="1" si="77"/>
        <v>33</v>
      </c>
      <c r="G202">
        <f t="shared" ca="1" si="78"/>
        <v>3</v>
      </c>
      <c r="H202" t="str">
        <f t="shared" ca="1" si="79"/>
        <v>Teaching</v>
      </c>
      <c r="I202">
        <f t="shared" ca="1" si="80"/>
        <v>1</v>
      </c>
      <c r="J202" t="str">
        <f t="shared" ca="1" si="81"/>
        <v>High School</v>
      </c>
      <c r="K202">
        <f t="shared" ca="1" si="82"/>
        <v>1</v>
      </c>
      <c r="L202">
        <f t="shared" ca="1" si="83"/>
        <v>2</v>
      </c>
      <c r="M202">
        <f t="shared" ca="1" si="84"/>
        <v>57642</v>
      </c>
      <c r="N202">
        <f t="shared" ca="1" si="85"/>
        <v>2</v>
      </c>
      <c r="O202" t="str">
        <f t="shared" ca="1" si="86"/>
        <v>BC</v>
      </c>
      <c r="P202">
        <f t="shared" ca="1" si="69"/>
        <v>345852</v>
      </c>
      <c r="Q202">
        <f t="shared" ca="1" si="87"/>
        <v>104150.76094360689</v>
      </c>
      <c r="R202">
        <f t="shared" ca="1" si="74"/>
        <v>22251.419553336549</v>
      </c>
      <c r="S202">
        <f t="shared" ca="1" si="88"/>
        <v>694</v>
      </c>
      <c r="T202">
        <f t="shared" ca="1" si="70"/>
        <v>71863.025870769299</v>
      </c>
      <c r="U202">
        <f t="shared" ca="1" si="71"/>
        <v>8995.125759023329</v>
      </c>
      <c r="V202">
        <f t="shared" ca="1" si="72"/>
        <v>377098.54531235993</v>
      </c>
      <c r="W202">
        <f t="shared" ca="1" si="73"/>
        <v>176707.78681437619</v>
      </c>
      <c r="Z202" s="4">
        <f t="shared" ca="1" si="89"/>
        <v>1</v>
      </c>
      <c r="AA202">
        <f t="shared" ca="1" si="90"/>
        <v>0</v>
      </c>
      <c r="AC202" s="5"/>
      <c r="AX202" s="10">
        <f ca="1">Table1[[#This Row],[Car Value]]/Table1[[#This Row],[No. of Vehicles]]</f>
        <v>11125.709776668275</v>
      </c>
      <c r="AZ202">
        <f ca="1">IF(Table1[[#This Row],[Debts]]&gt;$BA$3,1,0)</f>
        <v>1</v>
      </c>
      <c r="BC202" s="12">
        <f ca="1">Table1[[#This Row],[Mortage left]]/Table1[[#This Row],[Value of The House]]</f>
        <v>0.30114257238242625</v>
      </c>
      <c r="BD202" s="4">
        <f t="shared" ca="1" si="91"/>
        <v>0</v>
      </c>
      <c r="BE202" s="5"/>
    </row>
    <row r="203" spans="4:57" x14ac:dyDescent="0.3">
      <c r="D203">
        <f t="shared" ca="1" si="75"/>
        <v>2</v>
      </c>
      <c r="E203" t="str">
        <f t="shared" ca="1" si="76"/>
        <v>Female</v>
      </c>
      <c r="F203">
        <f t="shared" ca="1" si="77"/>
        <v>30</v>
      </c>
      <c r="G203">
        <f t="shared" ca="1" si="78"/>
        <v>2</v>
      </c>
      <c r="H203" t="str">
        <f t="shared" ca="1" si="79"/>
        <v>Construction</v>
      </c>
      <c r="I203">
        <f t="shared" ca="1" si="80"/>
        <v>3</v>
      </c>
      <c r="J203" t="str">
        <f t="shared" ca="1" si="81"/>
        <v>University</v>
      </c>
      <c r="K203">
        <f t="shared" ca="1" si="82"/>
        <v>2</v>
      </c>
      <c r="L203">
        <f t="shared" ca="1" si="83"/>
        <v>2</v>
      </c>
      <c r="M203">
        <f t="shared" ca="1" si="84"/>
        <v>31869</v>
      </c>
      <c r="N203">
        <f t="shared" ca="1" si="85"/>
        <v>11</v>
      </c>
      <c r="O203" t="str">
        <f t="shared" ca="1" si="86"/>
        <v>New bruncwick</v>
      </c>
      <c r="P203">
        <f t="shared" ca="1" si="69"/>
        <v>127476</v>
      </c>
      <c r="Q203">
        <f t="shared" ca="1" si="87"/>
        <v>11040.919195813312</v>
      </c>
      <c r="R203">
        <f t="shared" ca="1" si="74"/>
        <v>51940.91344059282</v>
      </c>
      <c r="S203">
        <f t="shared" ca="1" si="88"/>
        <v>15365</v>
      </c>
      <c r="T203">
        <f t="shared" ca="1" si="70"/>
        <v>13766.162827911729</v>
      </c>
      <c r="U203">
        <f t="shared" ca="1" si="71"/>
        <v>19384.544337681051</v>
      </c>
      <c r="V203">
        <f t="shared" ca="1" si="72"/>
        <v>198801.45777827388</v>
      </c>
      <c r="W203">
        <f t="shared" ca="1" si="73"/>
        <v>40172.082023725045</v>
      </c>
      <c r="Z203" s="4">
        <f t="shared" ca="1" si="89"/>
        <v>0</v>
      </c>
      <c r="AA203">
        <f t="shared" ca="1" si="90"/>
        <v>1</v>
      </c>
      <c r="AC203" s="5"/>
      <c r="AX203" s="10">
        <f ca="1">Table1[[#This Row],[Car Value]]/Table1[[#This Row],[No. of Vehicles]]</f>
        <v>25970.45672029641</v>
      </c>
      <c r="AZ203">
        <f ca="1">IF(Table1[[#This Row],[Debts]]&gt;$BA$3,1,0)</f>
        <v>0</v>
      </c>
      <c r="BC203" s="12">
        <f ca="1">Table1[[#This Row],[Mortage left]]/Table1[[#This Row],[Value of The House]]</f>
        <v>8.6611748060915872E-2</v>
      </c>
      <c r="BD203" s="4">
        <f t="shared" ca="1" si="91"/>
        <v>1</v>
      </c>
      <c r="BE203" s="5"/>
    </row>
    <row r="204" spans="4:57" x14ac:dyDescent="0.3">
      <c r="D204">
        <f t="shared" ca="1" si="75"/>
        <v>1</v>
      </c>
      <c r="E204" t="str">
        <f t="shared" ca="1" si="76"/>
        <v>Male</v>
      </c>
      <c r="F204">
        <f t="shared" ca="1" si="77"/>
        <v>43</v>
      </c>
      <c r="G204">
        <f t="shared" ca="1" si="78"/>
        <v>4</v>
      </c>
      <c r="H204" t="str">
        <f t="shared" ca="1" si="79"/>
        <v>IT</v>
      </c>
      <c r="I204">
        <f t="shared" ca="1" si="80"/>
        <v>1</v>
      </c>
      <c r="J204" t="str">
        <f t="shared" ca="1" si="81"/>
        <v>High School</v>
      </c>
      <c r="K204">
        <f t="shared" ca="1" si="82"/>
        <v>0</v>
      </c>
      <c r="L204">
        <f t="shared" ca="1" si="83"/>
        <v>1</v>
      </c>
      <c r="M204">
        <f t="shared" ca="1" si="84"/>
        <v>66736</v>
      </c>
      <c r="N204">
        <f t="shared" ca="1" si="85"/>
        <v>5</v>
      </c>
      <c r="O204" t="str">
        <f t="shared" ca="1" si="86"/>
        <v>Nunavut</v>
      </c>
      <c r="P204">
        <f t="shared" ca="1" si="69"/>
        <v>400416</v>
      </c>
      <c r="Q204">
        <f t="shared" ca="1" si="87"/>
        <v>109196.89181460971</v>
      </c>
      <c r="R204">
        <f t="shared" ca="1" si="74"/>
        <v>9311.964066761604</v>
      </c>
      <c r="S204">
        <f t="shared" ca="1" si="88"/>
        <v>603</v>
      </c>
      <c r="T204">
        <f t="shared" ca="1" si="70"/>
        <v>52229.527217976698</v>
      </c>
      <c r="U204">
        <f t="shared" ca="1" si="71"/>
        <v>54077.056366210549</v>
      </c>
      <c r="V204">
        <f t="shared" ca="1" si="72"/>
        <v>463805.02043297217</v>
      </c>
      <c r="W204">
        <f t="shared" ca="1" si="73"/>
        <v>162029.41903258642</v>
      </c>
      <c r="Z204" s="4">
        <f t="shared" ca="1" si="89"/>
        <v>1</v>
      </c>
      <c r="AA204">
        <f t="shared" ca="1" si="90"/>
        <v>0</v>
      </c>
      <c r="AC204" s="5"/>
      <c r="AX204" s="10">
        <f ca="1">Table1[[#This Row],[Car Value]]/Table1[[#This Row],[No. of Vehicles]]</f>
        <v>9311.964066761604</v>
      </c>
      <c r="AZ204">
        <f ca="1">IF(Table1[[#This Row],[Debts]]&gt;$BA$3,1,0)</f>
        <v>1</v>
      </c>
      <c r="BC204" s="12">
        <f ca="1">Table1[[#This Row],[Mortage left]]/Table1[[#This Row],[Value of The House]]</f>
        <v>0.27270861257944168</v>
      </c>
      <c r="BD204" s="4">
        <f t="shared" ca="1" si="91"/>
        <v>0</v>
      </c>
      <c r="BE204" s="5"/>
    </row>
    <row r="205" spans="4:57" x14ac:dyDescent="0.3">
      <c r="D205">
        <f t="shared" ca="1" si="75"/>
        <v>2</v>
      </c>
      <c r="E205" t="str">
        <f t="shared" ca="1" si="76"/>
        <v>Female</v>
      </c>
      <c r="F205">
        <f t="shared" ca="1" si="77"/>
        <v>36</v>
      </c>
      <c r="G205">
        <f t="shared" ca="1" si="78"/>
        <v>5</v>
      </c>
      <c r="H205" t="str">
        <f t="shared" ca="1" si="79"/>
        <v>Agriculture</v>
      </c>
      <c r="I205">
        <f t="shared" ca="1" si="80"/>
        <v>4</v>
      </c>
      <c r="J205" t="str">
        <f t="shared" ca="1" si="81"/>
        <v>Technical</v>
      </c>
      <c r="K205">
        <f t="shared" ca="1" si="82"/>
        <v>3</v>
      </c>
      <c r="L205">
        <f t="shared" ca="1" si="83"/>
        <v>1</v>
      </c>
      <c r="M205">
        <f t="shared" ca="1" si="84"/>
        <v>66599</v>
      </c>
      <c r="N205">
        <f t="shared" ca="1" si="85"/>
        <v>6</v>
      </c>
      <c r="O205" t="str">
        <f t="shared" ca="1" si="86"/>
        <v>Saskatchewan</v>
      </c>
      <c r="P205">
        <f t="shared" ca="1" si="69"/>
        <v>332995</v>
      </c>
      <c r="Q205">
        <f t="shared" ca="1" si="87"/>
        <v>62682.61804021326</v>
      </c>
      <c r="R205">
        <f t="shared" ca="1" si="74"/>
        <v>52039.24125016261</v>
      </c>
      <c r="S205">
        <f t="shared" ca="1" si="88"/>
        <v>25027</v>
      </c>
      <c r="T205">
        <f t="shared" ca="1" si="70"/>
        <v>12938.832788327332</v>
      </c>
      <c r="U205">
        <f t="shared" ca="1" si="71"/>
        <v>74245.532094974245</v>
      </c>
      <c r="V205">
        <f t="shared" ca="1" si="72"/>
        <v>459279.77334513684</v>
      </c>
      <c r="W205">
        <f t="shared" ca="1" si="73"/>
        <v>100648.45082854059</v>
      </c>
      <c r="Z205" s="4">
        <f t="shared" ca="1" si="89"/>
        <v>0</v>
      </c>
      <c r="AA205">
        <f t="shared" ca="1" si="90"/>
        <v>1</v>
      </c>
      <c r="AC205" s="5"/>
      <c r="AX205" s="10">
        <f ca="1">Table1[[#This Row],[Car Value]]/Table1[[#This Row],[No. of Vehicles]]</f>
        <v>52039.24125016261</v>
      </c>
      <c r="AZ205">
        <f ca="1">IF(Table1[[#This Row],[Debts]]&gt;$BA$3,1,0)</f>
        <v>0</v>
      </c>
      <c r="BC205" s="12">
        <f ca="1">Table1[[#This Row],[Mortage left]]/Table1[[#This Row],[Value of The House]]</f>
        <v>0.18823891662101011</v>
      </c>
      <c r="BD205" s="4">
        <f t="shared" ca="1" si="91"/>
        <v>1</v>
      </c>
      <c r="BE205" s="5"/>
    </row>
    <row r="206" spans="4:57" x14ac:dyDescent="0.3">
      <c r="D206">
        <f t="shared" ca="1" si="75"/>
        <v>2</v>
      </c>
      <c r="E206" t="str">
        <f t="shared" ca="1" si="76"/>
        <v>Female</v>
      </c>
      <c r="F206">
        <f t="shared" ca="1" si="77"/>
        <v>42</v>
      </c>
      <c r="G206">
        <f t="shared" ca="1" si="78"/>
        <v>5</v>
      </c>
      <c r="H206" t="str">
        <f t="shared" ca="1" si="79"/>
        <v>Agriculture</v>
      </c>
      <c r="I206">
        <f t="shared" ca="1" si="80"/>
        <v>4</v>
      </c>
      <c r="J206" t="str">
        <f t="shared" ca="1" si="81"/>
        <v>Technical</v>
      </c>
      <c r="K206">
        <f t="shared" ca="1" si="82"/>
        <v>1</v>
      </c>
      <c r="L206">
        <f t="shared" ca="1" si="83"/>
        <v>1</v>
      </c>
      <c r="M206">
        <f t="shared" ca="1" si="84"/>
        <v>87495</v>
      </c>
      <c r="N206">
        <f t="shared" ca="1" si="85"/>
        <v>5</v>
      </c>
      <c r="O206" t="str">
        <f t="shared" ca="1" si="86"/>
        <v>Nunavut</v>
      </c>
      <c r="P206">
        <f t="shared" ca="1" si="69"/>
        <v>437475</v>
      </c>
      <c r="Q206">
        <f t="shared" ca="1" si="87"/>
        <v>44444.135497862866</v>
      </c>
      <c r="R206">
        <f t="shared" ca="1" si="74"/>
        <v>82961.749492308169</v>
      </c>
      <c r="S206">
        <f t="shared" ca="1" si="88"/>
        <v>17105</v>
      </c>
      <c r="T206">
        <f t="shared" ca="1" si="70"/>
        <v>170829.7396067378</v>
      </c>
      <c r="U206">
        <f t="shared" ca="1" si="71"/>
        <v>33913.426578960956</v>
      </c>
      <c r="V206">
        <f t="shared" ca="1" si="72"/>
        <v>554350.17607126909</v>
      </c>
      <c r="W206">
        <f t="shared" ca="1" si="73"/>
        <v>232378.87510460068</v>
      </c>
      <c r="Z206" s="4">
        <f t="shared" ca="1" si="89"/>
        <v>0</v>
      </c>
      <c r="AA206">
        <f t="shared" ca="1" si="90"/>
        <v>1</v>
      </c>
      <c r="AC206" s="5"/>
      <c r="AX206" s="10">
        <f ca="1">Table1[[#This Row],[Car Value]]/Table1[[#This Row],[No. of Vehicles]]</f>
        <v>82961.749492308169</v>
      </c>
      <c r="AZ206">
        <f ca="1">IF(Table1[[#This Row],[Debts]]&gt;$BA$3,1,0)</f>
        <v>1</v>
      </c>
      <c r="BC206" s="12">
        <f ca="1">Table1[[#This Row],[Mortage left]]/Table1[[#This Row],[Value of The House]]</f>
        <v>0.10159240070372677</v>
      </c>
      <c r="BD206" s="4">
        <f t="shared" ca="1" si="91"/>
        <v>1</v>
      </c>
      <c r="BE206" s="5"/>
    </row>
    <row r="207" spans="4:57" x14ac:dyDescent="0.3">
      <c r="D207">
        <f t="shared" ca="1" si="75"/>
        <v>2</v>
      </c>
      <c r="E207" t="str">
        <f t="shared" ca="1" si="76"/>
        <v>Female</v>
      </c>
      <c r="F207">
        <f t="shared" ca="1" si="77"/>
        <v>39</v>
      </c>
      <c r="G207">
        <f t="shared" ca="1" si="78"/>
        <v>4</v>
      </c>
      <c r="H207" t="str">
        <f t="shared" ca="1" si="79"/>
        <v>IT</v>
      </c>
      <c r="I207">
        <f t="shared" ca="1" si="80"/>
        <v>4</v>
      </c>
      <c r="J207" t="str">
        <f t="shared" ca="1" si="81"/>
        <v>Technical</v>
      </c>
      <c r="K207">
        <f t="shared" ca="1" si="82"/>
        <v>4</v>
      </c>
      <c r="L207">
        <f t="shared" ca="1" si="83"/>
        <v>1</v>
      </c>
      <c r="M207">
        <f t="shared" ca="1" si="84"/>
        <v>46690</v>
      </c>
      <c r="N207">
        <f t="shared" ca="1" si="85"/>
        <v>10</v>
      </c>
      <c r="O207" t="str">
        <f t="shared" ca="1" si="86"/>
        <v>Newfouland</v>
      </c>
      <c r="P207">
        <f t="shared" ca="1" si="69"/>
        <v>186760</v>
      </c>
      <c r="Q207">
        <f t="shared" ca="1" si="87"/>
        <v>148534.03271886564</v>
      </c>
      <c r="R207">
        <f t="shared" ca="1" si="74"/>
        <v>12961.493407080765</v>
      </c>
      <c r="S207">
        <f t="shared" ca="1" si="88"/>
        <v>11288</v>
      </c>
      <c r="T207">
        <f t="shared" ca="1" si="70"/>
        <v>47964.670065044309</v>
      </c>
      <c r="U207">
        <f t="shared" ca="1" si="71"/>
        <v>27193.345429833433</v>
      </c>
      <c r="V207">
        <f t="shared" ca="1" si="72"/>
        <v>226914.83883691419</v>
      </c>
      <c r="W207">
        <f t="shared" ca="1" si="73"/>
        <v>207786.70278390995</v>
      </c>
      <c r="Z207" s="4">
        <f t="shared" ca="1" si="89"/>
        <v>0</v>
      </c>
      <c r="AA207">
        <f t="shared" ca="1" si="90"/>
        <v>1</v>
      </c>
      <c r="AC207" s="5"/>
      <c r="AX207" s="10">
        <f ca="1">Table1[[#This Row],[Car Value]]/Table1[[#This Row],[No. of Vehicles]]</f>
        <v>12961.493407080765</v>
      </c>
      <c r="AZ207">
        <f ca="1">IF(Table1[[#This Row],[Debts]]&gt;$BA$3,1,0)</f>
        <v>1</v>
      </c>
      <c r="BC207" s="12">
        <f ca="1">Table1[[#This Row],[Mortage left]]/Table1[[#This Row],[Value of The House]]</f>
        <v>0.79532037223637631</v>
      </c>
      <c r="BD207" s="4">
        <f t="shared" ca="1" si="91"/>
        <v>0</v>
      </c>
      <c r="BE207" s="5"/>
    </row>
    <row r="208" spans="4:57" x14ac:dyDescent="0.3">
      <c r="D208">
        <f t="shared" ca="1" si="75"/>
        <v>1</v>
      </c>
      <c r="E208" t="str">
        <f t="shared" ca="1" si="76"/>
        <v>Male</v>
      </c>
      <c r="F208">
        <f t="shared" ca="1" si="77"/>
        <v>40</v>
      </c>
      <c r="G208">
        <f t="shared" ca="1" si="78"/>
        <v>3</v>
      </c>
      <c r="H208" t="str">
        <f t="shared" ca="1" si="79"/>
        <v>Teaching</v>
      </c>
      <c r="I208">
        <f t="shared" ca="1" si="80"/>
        <v>5</v>
      </c>
      <c r="J208" t="str">
        <f t="shared" ca="1" si="81"/>
        <v>Other</v>
      </c>
      <c r="K208">
        <f t="shared" ca="1" si="82"/>
        <v>1</v>
      </c>
      <c r="L208">
        <f t="shared" ca="1" si="83"/>
        <v>2</v>
      </c>
      <c r="M208">
        <f t="shared" ca="1" si="84"/>
        <v>26213</v>
      </c>
      <c r="N208">
        <f t="shared" ca="1" si="85"/>
        <v>4</v>
      </c>
      <c r="O208" t="str">
        <f t="shared" ca="1" si="86"/>
        <v>Alberta</v>
      </c>
      <c r="P208">
        <f t="shared" ca="1" si="69"/>
        <v>157278</v>
      </c>
      <c r="Q208">
        <f t="shared" ca="1" si="87"/>
        <v>6899.221070596649</v>
      </c>
      <c r="R208">
        <f t="shared" ca="1" si="74"/>
        <v>1759.6799770927564</v>
      </c>
      <c r="S208">
        <f t="shared" ca="1" si="88"/>
        <v>1391</v>
      </c>
      <c r="T208">
        <f t="shared" ca="1" si="70"/>
        <v>49413.328335620572</v>
      </c>
      <c r="U208">
        <f t="shared" ca="1" si="71"/>
        <v>30714.053069829482</v>
      </c>
      <c r="V208">
        <f t="shared" ca="1" si="72"/>
        <v>189751.73304692222</v>
      </c>
      <c r="W208">
        <f t="shared" ca="1" si="73"/>
        <v>57703.549406217222</v>
      </c>
      <c r="Z208" s="4">
        <f t="shared" ca="1" si="89"/>
        <v>1</v>
      </c>
      <c r="AA208">
        <f t="shared" ca="1" si="90"/>
        <v>0</v>
      </c>
      <c r="AC208" s="5"/>
      <c r="AX208" s="10">
        <f ca="1">Table1[[#This Row],[Car Value]]/Table1[[#This Row],[No. of Vehicles]]</f>
        <v>879.83998854637821</v>
      </c>
      <c r="AZ208">
        <f ca="1">IF(Table1[[#This Row],[Debts]]&gt;$BA$3,1,0)</f>
        <v>1</v>
      </c>
      <c r="BC208" s="12">
        <f ca="1">Table1[[#This Row],[Mortage left]]/Table1[[#This Row],[Value of The House]]</f>
        <v>4.3866408973897486E-2</v>
      </c>
      <c r="BD208" s="4">
        <f t="shared" ca="1" si="91"/>
        <v>1</v>
      </c>
      <c r="BE208" s="5"/>
    </row>
    <row r="209" spans="4:57" x14ac:dyDescent="0.3">
      <c r="D209">
        <f t="shared" ca="1" si="75"/>
        <v>2</v>
      </c>
      <c r="E209" t="str">
        <f t="shared" ca="1" si="76"/>
        <v>Female</v>
      </c>
      <c r="F209">
        <f t="shared" ca="1" si="77"/>
        <v>27</v>
      </c>
      <c r="G209">
        <f t="shared" ca="1" si="78"/>
        <v>3</v>
      </c>
      <c r="H209" t="str">
        <f t="shared" ca="1" si="79"/>
        <v>Teaching</v>
      </c>
      <c r="I209">
        <f t="shared" ca="1" si="80"/>
        <v>1</v>
      </c>
      <c r="J209" t="str">
        <f t="shared" ca="1" si="81"/>
        <v>High School</v>
      </c>
      <c r="K209">
        <f t="shared" ca="1" si="82"/>
        <v>3</v>
      </c>
      <c r="L209">
        <f t="shared" ca="1" si="83"/>
        <v>1</v>
      </c>
      <c r="M209">
        <f t="shared" ca="1" si="84"/>
        <v>65071</v>
      </c>
      <c r="N209">
        <f t="shared" ca="1" si="85"/>
        <v>5</v>
      </c>
      <c r="O209" t="str">
        <f t="shared" ca="1" si="86"/>
        <v>Nunavut</v>
      </c>
      <c r="P209">
        <f t="shared" ca="1" si="69"/>
        <v>390426</v>
      </c>
      <c r="Q209">
        <f t="shared" ca="1" si="87"/>
        <v>28380.213251874</v>
      </c>
      <c r="R209">
        <f t="shared" ca="1" si="74"/>
        <v>11647.91479761482</v>
      </c>
      <c r="S209">
        <f t="shared" ca="1" si="88"/>
        <v>5440</v>
      </c>
      <c r="T209">
        <f t="shared" ca="1" si="70"/>
        <v>41249.116627118834</v>
      </c>
      <c r="U209">
        <f t="shared" ca="1" si="71"/>
        <v>34338.599763082297</v>
      </c>
      <c r="V209">
        <f t="shared" ca="1" si="72"/>
        <v>436412.51456069708</v>
      </c>
      <c r="W209">
        <f t="shared" ca="1" si="73"/>
        <v>75069.329878992838</v>
      </c>
      <c r="Z209" s="4">
        <f t="shared" ca="1" si="89"/>
        <v>0</v>
      </c>
      <c r="AA209">
        <f t="shared" ca="1" si="90"/>
        <v>1</v>
      </c>
      <c r="AC209" s="5"/>
      <c r="AX209" s="10">
        <f ca="1">Table1[[#This Row],[Car Value]]/Table1[[#This Row],[No. of Vehicles]]</f>
        <v>11647.91479761482</v>
      </c>
      <c r="AZ209">
        <f ca="1">IF(Table1[[#This Row],[Debts]]&gt;$BA$3,1,0)</f>
        <v>1</v>
      </c>
      <c r="BC209" s="12">
        <f ca="1">Table1[[#This Row],[Mortage left]]/Table1[[#This Row],[Value of The House]]</f>
        <v>7.2690377310614562E-2</v>
      </c>
      <c r="BD209" s="4">
        <f t="shared" ca="1" si="91"/>
        <v>1</v>
      </c>
      <c r="BE209" s="5"/>
    </row>
    <row r="210" spans="4:57" x14ac:dyDescent="0.3">
      <c r="D210">
        <f t="shared" ca="1" si="75"/>
        <v>2</v>
      </c>
      <c r="E210" t="str">
        <f t="shared" ca="1" si="76"/>
        <v>Female</v>
      </c>
      <c r="F210">
        <f t="shared" ca="1" si="77"/>
        <v>25</v>
      </c>
      <c r="G210">
        <f t="shared" ca="1" si="78"/>
        <v>4</v>
      </c>
      <c r="H210" t="str">
        <f t="shared" ca="1" si="79"/>
        <v>IT</v>
      </c>
      <c r="I210">
        <f t="shared" ca="1" si="80"/>
        <v>3</v>
      </c>
      <c r="J210" t="str">
        <f t="shared" ca="1" si="81"/>
        <v>University</v>
      </c>
      <c r="K210">
        <f t="shared" ca="1" si="82"/>
        <v>4</v>
      </c>
      <c r="L210">
        <f t="shared" ca="1" si="83"/>
        <v>2</v>
      </c>
      <c r="M210">
        <f t="shared" ca="1" si="84"/>
        <v>40452</v>
      </c>
      <c r="N210">
        <f t="shared" ca="1" si="85"/>
        <v>8</v>
      </c>
      <c r="O210" t="str">
        <f t="shared" ca="1" si="86"/>
        <v>Ontario</v>
      </c>
      <c r="P210">
        <f t="shared" ca="1" si="69"/>
        <v>161808</v>
      </c>
      <c r="Q210">
        <f t="shared" ca="1" si="87"/>
        <v>95057.526807063667</v>
      </c>
      <c r="R210">
        <f t="shared" ca="1" si="74"/>
        <v>67981.296801310353</v>
      </c>
      <c r="S210">
        <f t="shared" ca="1" si="88"/>
        <v>14441</v>
      </c>
      <c r="T210">
        <f t="shared" ca="1" si="70"/>
        <v>4781.8284295312633</v>
      </c>
      <c r="U210">
        <f t="shared" ca="1" si="71"/>
        <v>21370.62730062419</v>
      </c>
      <c r="V210">
        <f t="shared" ca="1" si="72"/>
        <v>251159.92410193454</v>
      </c>
      <c r="W210">
        <f t="shared" ca="1" si="73"/>
        <v>114280.35523659493</v>
      </c>
      <c r="Z210" s="4">
        <f t="shared" ca="1" si="89"/>
        <v>0</v>
      </c>
      <c r="AA210">
        <f t="shared" ca="1" si="90"/>
        <v>1</v>
      </c>
      <c r="AC210" s="5"/>
      <c r="AX210" s="10">
        <f ca="1">Table1[[#This Row],[Car Value]]/Table1[[#This Row],[No. of Vehicles]]</f>
        <v>33990.648400655176</v>
      </c>
      <c r="AZ210">
        <f ca="1">IF(Table1[[#This Row],[Debts]]&gt;$BA$3,1,0)</f>
        <v>0</v>
      </c>
      <c r="BC210" s="12">
        <f ca="1">Table1[[#This Row],[Mortage left]]/Table1[[#This Row],[Value of The House]]</f>
        <v>0.58747111890057147</v>
      </c>
      <c r="BD210" s="4">
        <f t="shared" ca="1" si="91"/>
        <v>0</v>
      </c>
      <c r="BE210" s="5"/>
    </row>
    <row r="211" spans="4:57" x14ac:dyDescent="0.3">
      <c r="D211">
        <f t="shared" ca="1" si="75"/>
        <v>2</v>
      </c>
      <c r="E211" t="str">
        <f t="shared" ca="1" si="76"/>
        <v>Female</v>
      </c>
      <c r="F211">
        <f t="shared" ca="1" si="77"/>
        <v>34</v>
      </c>
      <c r="G211">
        <f t="shared" ca="1" si="78"/>
        <v>4</v>
      </c>
      <c r="H211" t="str">
        <f t="shared" ca="1" si="79"/>
        <v>IT</v>
      </c>
      <c r="I211">
        <f t="shared" ca="1" si="80"/>
        <v>2</v>
      </c>
      <c r="J211" t="str">
        <f t="shared" ca="1" si="81"/>
        <v>College</v>
      </c>
      <c r="K211">
        <f t="shared" ca="1" si="82"/>
        <v>4</v>
      </c>
      <c r="L211">
        <f t="shared" ca="1" si="83"/>
        <v>2</v>
      </c>
      <c r="M211">
        <f t="shared" ca="1" si="84"/>
        <v>57102</v>
      </c>
      <c r="N211">
        <f t="shared" ca="1" si="85"/>
        <v>9</v>
      </c>
      <c r="O211" t="str">
        <f t="shared" ca="1" si="86"/>
        <v>Quebec</v>
      </c>
      <c r="P211">
        <f t="shared" ca="1" si="69"/>
        <v>228408</v>
      </c>
      <c r="Q211">
        <f t="shared" ca="1" si="87"/>
        <v>168931.53423803896</v>
      </c>
      <c r="R211">
        <f t="shared" ca="1" si="74"/>
        <v>98028.010061411813</v>
      </c>
      <c r="S211">
        <f t="shared" ca="1" si="88"/>
        <v>41907</v>
      </c>
      <c r="T211">
        <f t="shared" ca="1" si="70"/>
        <v>107513.25190454109</v>
      </c>
      <c r="U211">
        <f t="shared" ca="1" si="71"/>
        <v>34716.145474833502</v>
      </c>
      <c r="V211">
        <f t="shared" ca="1" si="72"/>
        <v>361152.15553624532</v>
      </c>
      <c r="W211">
        <f t="shared" ca="1" si="73"/>
        <v>318351.78614258004</v>
      </c>
      <c r="Z211" s="4">
        <f t="shared" ca="1" si="89"/>
        <v>0</v>
      </c>
      <c r="AA211">
        <f t="shared" ca="1" si="90"/>
        <v>1</v>
      </c>
      <c r="AC211" s="5"/>
      <c r="AX211" s="10">
        <f ca="1">Table1[[#This Row],[Car Value]]/Table1[[#This Row],[No. of Vehicles]]</f>
        <v>49014.005030705906</v>
      </c>
      <c r="AZ211">
        <f ca="1">IF(Table1[[#This Row],[Debts]]&gt;$BA$3,1,0)</f>
        <v>1</v>
      </c>
      <c r="BC211" s="12">
        <f ca="1">Table1[[#This Row],[Mortage left]]/Table1[[#This Row],[Value of The House]]</f>
        <v>0.73960427935115658</v>
      </c>
      <c r="BD211" s="4">
        <f t="shared" ca="1" si="91"/>
        <v>0</v>
      </c>
      <c r="BE211" s="5"/>
    </row>
    <row r="212" spans="4:57" x14ac:dyDescent="0.3">
      <c r="D212">
        <f t="shared" ca="1" si="75"/>
        <v>1</v>
      </c>
      <c r="E212" t="str">
        <f t="shared" ca="1" si="76"/>
        <v>Male</v>
      </c>
      <c r="F212">
        <f t="shared" ca="1" si="77"/>
        <v>25</v>
      </c>
      <c r="G212">
        <f t="shared" ca="1" si="78"/>
        <v>6</v>
      </c>
      <c r="H212" t="str">
        <f t="shared" ca="1" si="79"/>
        <v>General Work</v>
      </c>
      <c r="I212">
        <f t="shared" ca="1" si="80"/>
        <v>3</v>
      </c>
      <c r="J212" t="str">
        <f t="shared" ca="1" si="81"/>
        <v>University</v>
      </c>
      <c r="K212">
        <f t="shared" ca="1" si="82"/>
        <v>1</v>
      </c>
      <c r="L212">
        <f t="shared" ca="1" si="83"/>
        <v>2</v>
      </c>
      <c r="M212">
        <f t="shared" ca="1" si="84"/>
        <v>49483</v>
      </c>
      <c r="N212">
        <f t="shared" ca="1" si="85"/>
        <v>4</v>
      </c>
      <c r="O212" t="str">
        <f t="shared" ca="1" si="86"/>
        <v>Alberta</v>
      </c>
      <c r="P212">
        <f t="shared" ca="1" si="69"/>
        <v>296898</v>
      </c>
      <c r="Q212">
        <f t="shared" ca="1" si="87"/>
        <v>45151.410798662182</v>
      </c>
      <c r="R212">
        <f t="shared" ca="1" si="74"/>
        <v>70150.004374625918</v>
      </c>
      <c r="S212">
        <f t="shared" ca="1" si="88"/>
        <v>58579</v>
      </c>
      <c r="T212">
        <f t="shared" ca="1" si="70"/>
        <v>38447.803710371169</v>
      </c>
      <c r="U212">
        <f t="shared" ca="1" si="71"/>
        <v>67701.240920293087</v>
      </c>
      <c r="V212">
        <f t="shared" ca="1" si="72"/>
        <v>434749.245294919</v>
      </c>
      <c r="W212">
        <f t="shared" ca="1" si="73"/>
        <v>142178.21450903337</v>
      </c>
      <c r="Z212" s="4">
        <f t="shared" ca="1" si="89"/>
        <v>1</v>
      </c>
      <c r="AA212">
        <f t="shared" ca="1" si="90"/>
        <v>0</v>
      </c>
      <c r="AC212" s="5"/>
      <c r="AX212" s="10">
        <f ca="1">Table1[[#This Row],[Car Value]]/Table1[[#This Row],[No. of Vehicles]]</f>
        <v>35075.002187312959</v>
      </c>
      <c r="AZ212">
        <f ca="1">IF(Table1[[#This Row],[Debts]]&gt;$BA$3,1,0)</f>
        <v>1</v>
      </c>
      <c r="BC212" s="12">
        <f ca="1">Table1[[#This Row],[Mortage left]]/Table1[[#This Row],[Value of The House]]</f>
        <v>0.15207718071075649</v>
      </c>
      <c r="BD212" s="4">
        <f t="shared" ca="1" si="91"/>
        <v>1</v>
      </c>
      <c r="BE212" s="5"/>
    </row>
    <row r="213" spans="4:57" x14ac:dyDescent="0.3">
      <c r="D213">
        <f t="shared" ca="1" si="75"/>
        <v>1</v>
      </c>
      <c r="E213" t="str">
        <f t="shared" ca="1" si="76"/>
        <v>Male</v>
      </c>
      <c r="F213">
        <f t="shared" ca="1" si="77"/>
        <v>45</v>
      </c>
      <c r="G213">
        <f t="shared" ca="1" si="78"/>
        <v>5</v>
      </c>
      <c r="H213" t="str">
        <f t="shared" ca="1" si="79"/>
        <v>Agriculture</v>
      </c>
      <c r="I213">
        <f t="shared" ca="1" si="80"/>
        <v>1</v>
      </c>
      <c r="J213" t="str">
        <f t="shared" ca="1" si="81"/>
        <v>High School</v>
      </c>
      <c r="K213">
        <f t="shared" ca="1" si="82"/>
        <v>3</v>
      </c>
      <c r="L213">
        <f t="shared" ca="1" si="83"/>
        <v>2</v>
      </c>
      <c r="M213">
        <f t="shared" ca="1" si="84"/>
        <v>76189</v>
      </c>
      <c r="N213">
        <f t="shared" ca="1" si="85"/>
        <v>11</v>
      </c>
      <c r="O213" t="str">
        <f t="shared" ca="1" si="86"/>
        <v>New bruncwick</v>
      </c>
      <c r="P213">
        <f t="shared" ca="1" si="69"/>
        <v>457134</v>
      </c>
      <c r="Q213">
        <f t="shared" ca="1" si="87"/>
        <v>154473.93085656574</v>
      </c>
      <c r="R213">
        <f t="shared" ca="1" si="74"/>
        <v>113748.94241736176</v>
      </c>
      <c r="S213">
        <f t="shared" ca="1" si="88"/>
        <v>12043</v>
      </c>
      <c r="T213">
        <f t="shared" ca="1" si="70"/>
        <v>36090.878262890241</v>
      </c>
      <c r="U213">
        <f t="shared" ca="1" si="71"/>
        <v>6375.7246650454799</v>
      </c>
      <c r="V213">
        <f t="shared" ca="1" si="72"/>
        <v>577258.66708240728</v>
      </c>
      <c r="W213">
        <f t="shared" ca="1" si="73"/>
        <v>202607.80911945598</v>
      </c>
      <c r="Z213" s="4">
        <f t="shared" ca="1" si="89"/>
        <v>1</v>
      </c>
      <c r="AA213">
        <f t="shared" ca="1" si="90"/>
        <v>0</v>
      </c>
      <c r="AC213" s="5"/>
      <c r="AX213" s="10">
        <f ca="1">Table1[[#This Row],[Car Value]]/Table1[[#This Row],[No. of Vehicles]]</f>
        <v>56874.471208680879</v>
      </c>
      <c r="AZ213">
        <f ca="1">IF(Table1[[#This Row],[Debts]]&gt;$BA$3,1,0)</f>
        <v>1</v>
      </c>
      <c r="BC213" s="12">
        <f ca="1">Table1[[#This Row],[Mortage left]]/Table1[[#This Row],[Value of The House]]</f>
        <v>0.33791827091523652</v>
      </c>
      <c r="BD213" s="4">
        <f t="shared" ca="1" si="91"/>
        <v>0</v>
      </c>
      <c r="BE213" s="5"/>
    </row>
    <row r="214" spans="4:57" x14ac:dyDescent="0.3">
      <c r="D214">
        <f t="shared" ca="1" si="75"/>
        <v>1</v>
      </c>
      <c r="E214" t="str">
        <f t="shared" ca="1" si="76"/>
        <v>Male</v>
      </c>
      <c r="F214">
        <f t="shared" ca="1" si="77"/>
        <v>41</v>
      </c>
      <c r="G214">
        <f t="shared" ca="1" si="78"/>
        <v>4</v>
      </c>
      <c r="H214" t="str">
        <f t="shared" ca="1" si="79"/>
        <v>IT</v>
      </c>
      <c r="I214">
        <f t="shared" ca="1" si="80"/>
        <v>3</v>
      </c>
      <c r="J214" t="str">
        <f t="shared" ca="1" si="81"/>
        <v>University</v>
      </c>
      <c r="K214">
        <f t="shared" ca="1" si="82"/>
        <v>0</v>
      </c>
      <c r="L214">
        <f t="shared" ca="1" si="83"/>
        <v>1</v>
      </c>
      <c r="M214">
        <f t="shared" ca="1" si="84"/>
        <v>61120</v>
      </c>
      <c r="N214">
        <f t="shared" ca="1" si="85"/>
        <v>6</v>
      </c>
      <c r="O214" t="str">
        <f t="shared" ca="1" si="86"/>
        <v>Saskatchewan</v>
      </c>
      <c r="P214">
        <f t="shared" ca="1" si="69"/>
        <v>366720</v>
      </c>
      <c r="Q214">
        <f t="shared" ca="1" si="87"/>
        <v>147311.8090809717</v>
      </c>
      <c r="R214">
        <f t="shared" ca="1" si="74"/>
        <v>45553.940261392927</v>
      </c>
      <c r="S214">
        <f t="shared" ca="1" si="88"/>
        <v>8075</v>
      </c>
      <c r="T214">
        <f t="shared" ca="1" si="70"/>
        <v>53706.626153385339</v>
      </c>
      <c r="U214">
        <f t="shared" ca="1" si="71"/>
        <v>41138.35746212634</v>
      </c>
      <c r="V214">
        <f t="shared" ca="1" si="72"/>
        <v>453412.29772351927</v>
      </c>
      <c r="W214">
        <f t="shared" ca="1" si="73"/>
        <v>209093.43523435702</v>
      </c>
      <c r="Z214" s="4">
        <f t="shared" ca="1" si="89"/>
        <v>1</v>
      </c>
      <c r="AA214">
        <f t="shared" ca="1" si="90"/>
        <v>0</v>
      </c>
      <c r="AC214" s="5"/>
      <c r="AX214" s="10">
        <f ca="1">Table1[[#This Row],[Car Value]]/Table1[[#This Row],[No. of Vehicles]]</f>
        <v>45553.940261392927</v>
      </c>
      <c r="AZ214">
        <f ca="1">IF(Table1[[#This Row],[Debts]]&gt;$BA$3,1,0)</f>
        <v>1</v>
      </c>
      <c r="BC214" s="12">
        <f ca="1">Table1[[#This Row],[Mortage left]]/Table1[[#This Row],[Value of The House]]</f>
        <v>0.4017010500680947</v>
      </c>
      <c r="BD214" s="4">
        <f t="shared" ca="1" si="91"/>
        <v>0</v>
      </c>
      <c r="BE214" s="5"/>
    </row>
    <row r="215" spans="4:57" x14ac:dyDescent="0.3">
      <c r="D215">
        <f t="shared" ca="1" si="75"/>
        <v>1</v>
      </c>
      <c r="E215" t="str">
        <f t="shared" ca="1" si="76"/>
        <v>Male</v>
      </c>
      <c r="F215">
        <f t="shared" ca="1" si="77"/>
        <v>27</v>
      </c>
      <c r="G215">
        <f t="shared" ca="1" si="78"/>
        <v>6</v>
      </c>
      <c r="H215" t="str">
        <f t="shared" ca="1" si="79"/>
        <v>General Work</v>
      </c>
      <c r="I215">
        <f t="shared" ca="1" si="80"/>
        <v>5</v>
      </c>
      <c r="J215" t="str">
        <f t="shared" ca="1" si="81"/>
        <v>Other</v>
      </c>
      <c r="K215">
        <f t="shared" ca="1" si="82"/>
        <v>4</v>
      </c>
      <c r="L215">
        <f t="shared" ca="1" si="83"/>
        <v>1</v>
      </c>
      <c r="M215">
        <f t="shared" ca="1" si="84"/>
        <v>51569</v>
      </c>
      <c r="N215">
        <f t="shared" ca="1" si="85"/>
        <v>10</v>
      </c>
      <c r="O215" t="str">
        <f t="shared" ca="1" si="86"/>
        <v>Newfouland</v>
      </c>
      <c r="P215">
        <f t="shared" ca="1" si="69"/>
        <v>206276</v>
      </c>
      <c r="Q215">
        <f t="shared" ca="1" si="87"/>
        <v>99833.021634190896</v>
      </c>
      <c r="R215">
        <f t="shared" ca="1" si="74"/>
        <v>49013.790981105347</v>
      </c>
      <c r="S215">
        <f t="shared" ca="1" si="88"/>
        <v>24685</v>
      </c>
      <c r="T215">
        <f t="shared" ca="1" si="70"/>
        <v>67392.420708894715</v>
      </c>
      <c r="U215">
        <f t="shared" ca="1" si="71"/>
        <v>75042.936244262237</v>
      </c>
      <c r="V215">
        <f t="shared" ca="1" si="72"/>
        <v>330332.72722536756</v>
      </c>
      <c r="W215">
        <f t="shared" ca="1" si="73"/>
        <v>191910.4423430856</v>
      </c>
      <c r="Z215" s="4">
        <f t="shared" ca="1" si="89"/>
        <v>1</v>
      </c>
      <c r="AA215">
        <f t="shared" ca="1" si="90"/>
        <v>0</v>
      </c>
      <c r="AC215" s="5"/>
      <c r="AX215" s="10">
        <f ca="1">Table1[[#This Row],[Car Value]]/Table1[[#This Row],[No. of Vehicles]]</f>
        <v>49013.790981105347</v>
      </c>
      <c r="AZ215">
        <f ca="1">IF(Table1[[#This Row],[Debts]]&gt;$BA$3,1,0)</f>
        <v>1</v>
      </c>
      <c r="BC215" s="12">
        <f ca="1">Table1[[#This Row],[Mortage left]]/Table1[[#This Row],[Value of The House]]</f>
        <v>0.4839778822266812</v>
      </c>
      <c r="BD215" s="4">
        <f t="shared" ca="1" si="91"/>
        <v>0</v>
      </c>
      <c r="BE215" s="5"/>
    </row>
    <row r="216" spans="4:57" x14ac:dyDescent="0.3">
      <c r="D216">
        <f t="shared" ca="1" si="75"/>
        <v>2</v>
      </c>
      <c r="E216" t="str">
        <f t="shared" ca="1" si="76"/>
        <v>Female</v>
      </c>
      <c r="F216">
        <f t="shared" ca="1" si="77"/>
        <v>43</v>
      </c>
      <c r="G216">
        <f t="shared" ca="1" si="78"/>
        <v>2</v>
      </c>
      <c r="H216" t="str">
        <f t="shared" ca="1" si="79"/>
        <v>Construction</v>
      </c>
      <c r="I216">
        <f t="shared" ca="1" si="80"/>
        <v>5</v>
      </c>
      <c r="J216" t="str">
        <f t="shared" ca="1" si="81"/>
        <v>Other</v>
      </c>
      <c r="K216">
        <f t="shared" ca="1" si="82"/>
        <v>3</v>
      </c>
      <c r="L216">
        <f t="shared" ca="1" si="83"/>
        <v>2</v>
      </c>
      <c r="M216">
        <f t="shared" ca="1" si="84"/>
        <v>73998</v>
      </c>
      <c r="N216">
        <f t="shared" ca="1" si="85"/>
        <v>13</v>
      </c>
      <c r="O216" t="str">
        <f t="shared" ca="1" si="86"/>
        <v>Prince Edward Islnd</v>
      </c>
      <c r="P216">
        <f t="shared" ca="1" si="69"/>
        <v>369990</v>
      </c>
      <c r="Q216">
        <f t="shared" ca="1" si="87"/>
        <v>29658.688010038637</v>
      </c>
      <c r="R216">
        <f t="shared" ca="1" si="74"/>
        <v>40658.297081301003</v>
      </c>
      <c r="S216">
        <f t="shared" ca="1" si="88"/>
        <v>637</v>
      </c>
      <c r="T216">
        <f t="shared" ca="1" si="70"/>
        <v>191.33435857818904</v>
      </c>
      <c r="U216">
        <f t="shared" ca="1" si="71"/>
        <v>91674.24869091151</v>
      </c>
      <c r="V216">
        <f t="shared" ca="1" si="72"/>
        <v>502322.5457722125</v>
      </c>
      <c r="W216">
        <f t="shared" ca="1" si="73"/>
        <v>30487.022368616825</v>
      </c>
      <c r="Z216" s="4">
        <f t="shared" ca="1" si="89"/>
        <v>0</v>
      </c>
      <c r="AA216">
        <f t="shared" ca="1" si="90"/>
        <v>1</v>
      </c>
      <c r="AC216" s="5"/>
      <c r="AX216" s="10">
        <f ca="1">Table1[[#This Row],[Car Value]]/Table1[[#This Row],[No. of Vehicles]]</f>
        <v>20329.148540650502</v>
      </c>
      <c r="AZ216">
        <f ca="1">IF(Table1[[#This Row],[Debts]]&gt;$BA$3,1,0)</f>
        <v>0</v>
      </c>
      <c r="BC216" s="12">
        <f ca="1">Table1[[#This Row],[Mortage left]]/Table1[[#This Row],[Value of The House]]</f>
        <v>8.016078275098959E-2</v>
      </c>
      <c r="BD216" s="4">
        <f t="shared" ca="1" si="91"/>
        <v>1</v>
      </c>
      <c r="BE216" s="5"/>
    </row>
    <row r="217" spans="4:57" x14ac:dyDescent="0.3">
      <c r="D217">
        <f t="shared" ca="1" si="75"/>
        <v>1</v>
      </c>
      <c r="E217" t="str">
        <f t="shared" ca="1" si="76"/>
        <v>Male</v>
      </c>
      <c r="F217">
        <f t="shared" ca="1" si="77"/>
        <v>27</v>
      </c>
      <c r="G217">
        <f t="shared" ca="1" si="78"/>
        <v>2</v>
      </c>
      <c r="H217" t="str">
        <f t="shared" ca="1" si="79"/>
        <v>Construction</v>
      </c>
      <c r="I217">
        <f t="shared" ca="1" si="80"/>
        <v>1</v>
      </c>
      <c r="J217" t="str">
        <f t="shared" ca="1" si="81"/>
        <v>High School</v>
      </c>
      <c r="K217">
        <f t="shared" ca="1" si="82"/>
        <v>1</v>
      </c>
      <c r="L217">
        <f t="shared" ca="1" si="83"/>
        <v>1</v>
      </c>
      <c r="M217">
        <f t="shared" ca="1" si="84"/>
        <v>60336</v>
      </c>
      <c r="N217">
        <f t="shared" ca="1" si="85"/>
        <v>4</v>
      </c>
      <c r="O217" t="str">
        <f t="shared" ca="1" si="86"/>
        <v>Alberta</v>
      </c>
      <c r="P217">
        <f t="shared" ca="1" si="69"/>
        <v>301680</v>
      </c>
      <c r="Q217">
        <f t="shared" ca="1" si="87"/>
        <v>92200.074635914934</v>
      </c>
      <c r="R217">
        <f t="shared" ca="1" si="74"/>
        <v>31488.781122383221</v>
      </c>
      <c r="S217">
        <f t="shared" ca="1" si="88"/>
        <v>14486</v>
      </c>
      <c r="T217">
        <f t="shared" ca="1" si="70"/>
        <v>67847.787576399453</v>
      </c>
      <c r="U217">
        <f t="shared" ca="1" si="71"/>
        <v>24465.886428234255</v>
      </c>
      <c r="V217">
        <f t="shared" ca="1" si="72"/>
        <v>357634.66755061748</v>
      </c>
      <c r="W217">
        <f t="shared" ca="1" si="73"/>
        <v>174533.86221231439</v>
      </c>
      <c r="Z217" s="4">
        <f t="shared" ca="1" si="89"/>
        <v>1</v>
      </c>
      <c r="AA217">
        <f t="shared" ca="1" si="90"/>
        <v>0</v>
      </c>
      <c r="AC217" s="5"/>
      <c r="AX217" s="10">
        <f ca="1">Table1[[#This Row],[Car Value]]/Table1[[#This Row],[No. of Vehicles]]</f>
        <v>31488.781122383221</v>
      </c>
      <c r="AZ217">
        <f ca="1">IF(Table1[[#This Row],[Debts]]&gt;$BA$3,1,0)</f>
        <v>1</v>
      </c>
      <c r="BC217" s="12">
        <f ca="1">Table1[[#This Row],[Mortage left]]/Table1[[#This Row],[Value of The House]]</f>
        <v>0.3056220983688509</v>
      </c>
      <c r="BD217" s="4">
        <f t="shared" ca="1" si="91"/>
        <v>0</v>
      </c>
      <c r="BE217" s="5"/>
    </row>
    <row r="218" spans="4:57" x14ac:dyDescent="0.3">
      <c r="D218">
        <f t="shared" ca="1" si="75"/>
        <v>1</v>
      </c>
      <c r="E218" t="str">
        <f t="shared" ca="1" si="76"/>
        <v>Male</v>
      </c>
      <c r="F218">
        <f t="shared" ca="1" si="77"/>
        <v>32</v>
      </c>
      <c r="G218">
        <f t="shared" ca="1" si="78"/>
        <v>5</v>
      </c>
      <c r="H218" t="str">
        <f t="shared" ca="1" si="79"/>
        <v>Agriculture</v>
      </c>
      <c r="I218">
        <f t="shared" ca="1" si="80"/>
        <v>3</v>
      </c>
      <c r="J218" t="str">
        <f t="shared" ca="1" si="81"/>
        <v>University</v>
      </c>
      <c r="K218">
        <f t="shared" ca="1" si="82"/>
        <v>4</v>
      </c>
      <c r="L218">
        <f t="shared" ca="1" si="83"/>
        <v>1</v>
      </c>
      <c r="M218">
        <f t="shared" ca="1" si="84"/>
        <v>26492</v>
      </c>
      <c r="N218">
        <f t="shared" ca="1" si="85"/>
        <v>3</v>
      </c>
      <c r="O218" t="str">
        <f t="shared" ca="1" si="86"/>
        <v>Northwest Ter</v>
      </c>
      <c r="P218">
        <f t="shared" ca="1" si="69"/>
        <v>158952</v>
      </c>
      <c r="Q218">
        <f t="shared" ca="1" si="87"/>
        <v>120312.30717340871</v>
      </c>
      <c r="R218">
        <f t="shared" ca="1" si="74"/>
        <v>7178.5783785122821</v>
      </c>
      <c r="S218">
        <f t="shared" ca="1" si="88"/>
        <v>5397</v>
      </c>
      <c r="T218">
        <f t="shared" ca="1" si="70"/>
        <v>42202.74955814366</v>
      </c>
      <c r="U218">
        <f t="shared" ca="1" si="71"/>
        <v>30997.423394107471</v>
      </c>
      <c r="V218">
        <f t="shared" ca="1" si="72"/>
        <v>197128.00177261975</v>
      </c>
      <c r="W218">
        <f t="shared" ca="1" si="73"/>
        <v>167912.05673155238</v>
      </c>
      <c r="Z218" s="4">
        <f t="shared" ca="1" si="89"/>
        <v>1</v>
      </c>
      <c r="AA218">
        <f t="shared" ca="1" si="90"/>
        <v>0</v>
      </c>
      <c r="AC218" s="5"/>
      <c r="AX218" s="10">
        <f ca="1">Table1[[#This Row],[Car Value]]/Table1[[#This Row],[No. of Vehicles]]</f>
        <v>7178.5783785122821</v>
      </c>
      <c r="AZ218">
        <f ca="1">IF(Table1[[#This Row],[Debts]]&gt;$BA$3,1,0)</f>
        <v>1</v>
      </c>
      <c r="BC218" s="12">
        <f ca="1">Table1[[#This Row],[Mortage left]]/Table1[[#This Row],[Value of The House]]</f>
        <v>0.75690967822618593</v>
      </c>
      <c r="BD218" s="4">
        <f t="shared" ca="1" si="91"/>
        <v>0</v>
      </c>
      <c r="BE218" s="5"/>
    </row>
    <row r="219" spans="4:57" x14ac:dyDescent="0.3">
      <c r="D219">
        <f t="shared" ca="1" si="75"/>
        <v>1</v>
      </c>
      <c r="E219" t="str">
        <f t="shared" ca="1" si="76"/>
        <v>Male</v>
      </c>
      <c r="F219">
        <f t="shared" ca="1" si="77"/>
        <v>30</v>
      </c>
      <c r="G219">
        <f t="shared" ca="1" si="78"/>
        <v>4</v>
      </c>
      <c r="H219" t="str">
        <f t="shared" ca="1" si="79"/>
        <v>IT</v>
      </c>
      <c r="I219">
        <f t="shared" ca="1" si="80"/>
        <v>5</v>
      </c>
      <c r="J219" t="str">
        <f t="shared" ca="1" si="81"/>
        <v>Other</v>
      </c>
      <c r="K219">
        <f t="shared" ca="1" si="82"/>
        <v>2</v>
      </c>
      <c r="L219">
        <f t="shared" ca="1" si="83"/>
        <v>1</v>
      </c>
      <c r="M219">
        <f t="shared" ca="1" si="84"/>
        <v>89428</v>
      </c>
      <c r="N219">
        <f t="shared" ca="1" si="85"/>
        <v>7</v>
      </c>
      <c r="O219" t="str">
        <f t="shared" ca="1" si="86"/>
        <v>Manitoba</v>
      </c>
      <c r="P219">
        <f t="shared" ca="1" si="69"/>
        <v>447140</v>
      </c>
      <c r="Q219">
        <f t="shared" ca="1" si="87"/>
        <v>65030.376428670301</v>
      </c>
      <c r="R219">
        <f t="shared" ca="1" si="74"/>
        <v>33354.234375326851</v>
      </c>
      <c r="S219">
        <f t="shared" ca="1" si="88"/>
        <v>24860</v>
      </c>
      <c r="T219">
        <f t="shared" ca="1" si="70"/>
        <v>34395.46368305527</v>
      </c>
      <c r="U219">
        <f t="shared" ca="1" si="71"/>
        <v>70779.019926386783</v>
      </c>
      <c r="V219">
        <f t="shared" ca="1" si="72"/>
        <v>551273.25430171366</v>
      </c>
      <c r="W219">
        <f t="shared" ca="1" si="73"/>
        <v>124285.84011172559</v>
      </c>
      <c r="Z219" s="4">
        <f t="shared" ca="1" si="89"/>
        <v>1</v>
      </c>
      <c r="AA219">
        <f t="shared" ca="1" si="90"/>
        <v>0</v>
      </c>
      <c r="AC219" s="5"/>
      <c r="AX219" s="10">
        <f ca="1">Table1[[#This Row],[Car Value]]/Table1[[#This Row],[No. of Vehicles]]</f>
        <v>33354.234375326851</v>
      </c>
      <c r="AZ219">
        <f ca="1">IF(Table1[[#This Row],[Debts]]&gt;$BA$3,1,0)</f>
        <v>1</v>
      </c>
      <c r="BC219" s="12">
        <f ca="1">Table1[[#This Row],[Mortage left]]/Table1[[#This Row],[Value of The House]]</f>
        <v>0.14543627595086617</v>
      </c>
      <c r="BD219" s="4">
        <f t="shared" ca="1" si="91"/>
        <v>1</v>
      </c>
      <c r="BE219" s="5"/>
    </row>
    <row r="220" spans="4:57" x14ac:dyDescent="0.3">
      <c r="D220">
        <f t="shared" ca="1" si="75"/>
        <v>1</v>
      </c>
      <c r="E220" t="str">
        <f t="shared" ca="1" si="76"/>
        <v>Male</v>
      </c>
      <c r="F220">
        <f t="shared" ca="1" si="77"/>
        <v>34</v>
      </c>
      <c r="G220">
        <f t="shared" ca="1" si="78"/>
        <v>2</v>
      </c>
      <c r="H220" t="str">
        <f t="shared" ca="1" si="79"/>
        <v>Construction</v>
      </c>
      <c r="I220">
        <f t="shared" ca="1" si="80"/>
        <v>3</v>
      </c>
      <c r="J220" t="str">
        <f t="shared" ca="1" si="81"/>
        <v>University</v>
      </c>
      <c r="K220">
        <f t="shared" ca="1" si="82"/>
        <v>3</v>
      </c>
      <c r="L220">
        <f t="shared" ca="1" si="83"/>
        <v>1</v>
      </c>
      <c r="M220">
        <f t="shared" ca="1" si="84"/>
        <v>71857</v>
      </c>
      <c r="N220">
        <f t="shared" ca="1" si="85"/>
        <v>8</v>
      </c>
      <c r="O220" t="str">
        <f t="shared" ca="1" si="86"/>
        <v>Ontario</v>
      </c>
      <c r="P220">
        <f t="shared" ca="1" si="69"/>
        <v>431142</v>
      </c>
      <c r="Q220">
        <f t="shared" ca="1" si="87"/>
        <v>382392.89609365875</v>
      </c>
      <c r="R220">
        <f t="shared" ca="1" si="74"/>
        <v>15130.345084723649</v>
      </c>
      <c r="S220">
        <f t="shared" ca="1" si="88"/>
        <v>9745</v>
      </c>
      <c r="T220">
        <f t="shared" ca="1" si="70"/>
        <v>64846.414288848551</v>
      </c>
      <c r="U220">
        <f t="shared" ca="1" si="71"/>
        <v>80525.708165901829</v>
      </c>
      <c r="V220">
        <f t="shared" ca="1" si="72"/>
        <v>526798.0532506255</v>
      </c>
      <c r="W220">
        <f t="shared" ca="1" si="73"/>
        <v>456984.31038250728</v>
      </c>
      <c r="Z220" s="4">
        <f t="shared" ca="1" si="89"/>
        <v>1</v>
      </c>
      <c r="AA220">
        <f t="shared" ca="1" si="90"/>
        <v>0</v>
      </c>
      <c r="AC220" s="5"/>
      <c r="AX220" s="10">
        <f ca="1">Table1[[#This Row],[Car Value]]/Table1[[#This Row],[No. of Vehicles]]</f>
        <v>15130.345084723649</v>
      </c>
      <c r="AZ220">
        <f ca="1">IF(Table1[[#This Row],[Debts]]&gt;$BA$3,1,0)</f>
        <v>1</v>
      </c>
      <c r="BC220" s="12">
        <f ca="1">Table1[[#This Row],[Mortage left]]/Table1[[#This Row],[Value of The House]]</f>
        <v>0.88693028304748489</v>
      </c>
      <c r="BD220" s="4">
        <f t="shared" ca="1" si="91"/>
        <v>0</v>
      </c>
      <c r="BE220" s="5"/>
    </row>
    <row r="221" spans="4:57" x14ac:dyDescent="0.3">
      <c r="D221">
        <f t="shared" ca="1" si="75"/>
        <v>2</v>
      </c>
      <c r="E221" t="str">
        <f t="shared" ca="1" si="76"/>
        <v>Female</v>
      </c>
      <c r="F221">
        <f t="shared" ca="1" si="77"/>
        <v>34</v>
      </c>
      <c r="G221">
        <f t="shared" ca="1" si="78"/>
        <v>5</v>
      </c>
      <c r="H221" t="str">
        <f t="shared" ca="1" si="79"/>
        <v>Agriculture</v>
      </c>
      <c r="I221">
        <f t="shared" ca="1" si="80"/>
        <v>5</v>
      </c>
      <c r="J221" t="str">
        <f t="shared" ca="1" si="81"/>
        <v>Other</v>
      </c>
      <c r="K221">
        <f t="shared" ca="1" si="82"/>
        <v>4</v>
      </c>
      <c r="L221">
        <f t="shared" ca="1" si="83"/>
        <v>1</v>
      </c>
      <c r="M221">
        <f t="shared" ca="1" si="84"/>
        <v>71709</v>
      </c>
      <c r="N221">
        <f t="shared" ca="1" si="85"/>
        <v>5</v>
      </c>
      <c r="O221" t="str">
        <f t="shared" ca="1" si="86"/>
        <v>Nunavut</v>
      </c>
      <c r="P221">
        <f t="shared" ca="1" si="69"/>
        <v>358545</v>
      </c>
      <c r="Q221">
        <f t="shared" ca="1" si="87"/>
        <v>253975.34314532243</v>
      </c>
      <c r="R221">
        <f t="shared" ca="1" si="74"/>
        <v>42796.080287110046</v>
      </c>
      <c r="S221">
        <f t="shared" ca="1" si="88"/>
        <v>23967</v>
      </c>
      <c r="T221">
        <f t="shared" ca="1" si="70"/>
        <v>126689.92006498801</v>
      </c>
      <c r="U221">
        <f t="shared" ca="1" si="71"/>
        <v>60091.044641720568</v>
      </c>
      <c r="V221">
        <f t="shared" ca="1" si="72"/>
        <v>461432.12492883066</v>
      </c>
      <c r="W221">
        <f t="shared" ca="1" si="73"/>
        <v>404632.26321031043</v>
      </c>
      <c r="Z221" s="4">
        <f t="shared" ca="1" si="89"/>
        <v>0</v>
      </c>
      <c r="AA221">
        <f t="shared" ca="1" si="90"/>
        <v>1</v>
      </c>
      <c r="AC221" s="5"/>
      <c r="AX221" s="10">
        <f ca="1">Table1[[#This Row],[Car Value]]/Table1[[#This Row],[No. of Vehicles]]</f>
        <v>42796.080287110046</v>
      </c>
      <c r="AZ221">
        <f ca="1">IF(Table1[[#This Row],[Debts]]&gt;$BA$3,1,0)</f>
        <v>1</v>
      </c>
      <c r="BC221" s="12">
        <f ca="1">Table1[[#This Row],[Mortage left]]/Table1[[#This Row],[Value of The House]]</f>
        <v>0.70834997879017259</v>
      </c>
      <c r="BD221" s="4">
        <f t="shared" ca="1" si="91"/>
        <v>0</v>
      </c>
      <c r="BE221" s="5"/>
    </row>
    <row r="222" spans="4:57" x14ac:dyDescent="0.3">
      <c r="D222">
        <f t="shared" ca="1" si="75"/>
        <v>2</v>
      </c>
      <c r="E222" t="str">
        <f t="shared" ca="1" si="76"/>
        <v>Female</v>
      </c>
      <c r="F222">
        <f t="shared" ca="1" si="77"/>
        <v>30</v>
      </c>
      <c r="G222">
        <f t="shared" ca="1" si="78"/>
        <v>6</v>
      </c>
      <c r="H222" t="str">
        <f t="shared" ca="1" si="79"/>
        <v>General Work</v>
      </c>
      <c r="I222">
        <f t="shared" ca="1" si="80"/>
        <v>3</v>
      </c>
      <c r="J222" t="str">
        <f t="shared" ca="1" si="81"/>
        <v>University</v>
      </c>
      <c r="K222">
        <f t="shared" ca="1" si="82"/>
        <v>0</v>
      </c>
      <c r="L222">
        <f t="shared" ca="1" si="83"/>
        <v>2</v>
      </c>
      <c r="M222">
        <f t="shared" ca="1" si="84"/>
        <v>42740</v>
      </c>
      <c r="N222">
        <f t="shared" ca="1" si="85"/>
        <v>6</v>
      </c>
      <c r="O222" t="str">
        <f t="shared" ca="1" si="86"/>
        <v>Saskatchewan</v>
      </c>
      <c r="P222">
        <f t="shared" ca="1" si="69"/>
        <v>213700</v>
      </c>
      <c r="Q222">
        <f t="shared" ca="1" si="87"/>
        <v>22837.217404883326</v>
      </c>
      <c r="R222">
        <f t="shared" ca="1" si="74"/>
        <v>42225.020140801113</v>
      </c>
      <c r="S222">
        <f t="shared" ca="1" si="88"/>
        <v>4657</v>
      </c>
      <c r="T222">
        <f t="shared" ca="1" si="70"/>
        <v>22705.37595812662</v>
      </c>
      <c r="U222">
        <f t="shared" ca="1" si="71"/>
        <v>48200.845659445236</v>
      </c>
      <c r="V222">
        <f t="shared" ca="1" si="72"/>
        <v>304125.86580024636</v>
      </c>
      <c r="W222">
        <f t="shared" ca="1" si="73"/>
        <v>50199.593363009946</v>
      </c>
      <c r="Z222" s="4">
        <f t="shared" ca="1" si="89"/>
        <v>0</v>
      </c>
      <c r="AA222">
        <f t="shared" ca="1" si="90"/>
        <v>1</v>
      </c>
      <c r="AC222" s="5"/>
      <c r="AX222" s="10">
        <f ca="1">Table1[[#This Row],[Car Value]]/Table1[[#This Row],[No. of Vehicles]]</f>
        <v>21112.510070400556</v>
      </c>
      <c r="AZ222">
        <f ca="1">IF(Table1[[#This Row],[Debts]]&gt;$BA$3,1,0)</f>
        <v>1</v>
      </c>
      <c r="BC222" s="12">
        <f ca="1">Table1[[#This Row],[Mortage left]]/Table1[[#This Row],[Value of The House]]</f>
        <v>0.10686578102425515</v>
      </c>
      <c r="BD222" s="4">
        <f t="shared" ca="1" si="91"/>
        <v>1</v>
      </c>
      <c r="BE222" s="5"/>
    </row>
    <row r="223" spans="4:57" x14ac:dyDescent="0.3">
      <c r="D223">
        <f t="shared" ca="1" si="75"/>
        <v>2</v>
      </c>
      <c r="E223" t="str">
        <f t="shared" ca="1" si="76"/>
        <v>Female</v>
      </c>
      <c r="F223">
        <f t="shared" ca="1" si="77"/>
        <v>29</v>
      </c>
      <c r="G223">
        <f t="shared" ca="1" si="78"/>
        <v>3</v>
      </c>
      <c r="H223" t="str">
        <f t="shared" ca="1" si="79"/>
        <v>Teaching</v>
      </c>
      <c r="I223">
        <f t="shared" ca="1" si="80"/>
        <v>4</v>
      </c>
      <c r="J223" t="str">
        <f t="shared" ca="1" si="81"/>
        <v>Technical</v>
      </c>
      <c r="K223">
        <f t="shared" ca="1" si="82"/>
        <v>4</v>
      </c>
      <c r="L223">
        <f t="shared" ca="1" si="83"/>
        <v>2</v>
      </c>
      <c r="M223">
        <f t="shared" ca="1" si="84"/>
        <v>39627</v>
      </c>
      <c r="N223">
        <f t="shared" ca="1" si="85"/>
        <v>4</v>
      </c>
      <c r="O223" t="str">
        <f t="shared" ca="1" si="86"/>
        <v>Alberta</v>
      </c>
      <c r="P223">
        <f t="shared" ca="1" si="69"/>
        <v>237762</v>
      </c>
      <c r="Q223">
        <f t="shared" ca="1" si="87"/>
        <v>162325.96389378284</v>
      </c>
      <c r="R223">
        <f t="shared" ca="1" si="74"/>
        <v>68748.485562691334</v>
      </c>
      <c r="S223">
        <f t="shared" ca="1" si="88"/>
        <v>28730</v>
      </c>
      <c r="T223">
        <f t="shared" ca="1" si="70"/>
        <v>33510.309994483141</v>
      </c>
      <c r="U223">
        <f t="shared" ca="1" si="71"/>
        <v>32558.710995418965</v>
      </c>
      <c r="V223">
        <f t="shared" ca="1" si="72"/>
        <v>339069.1965581103</v>
      </c>
      <c r="W223">
        <f t="shared" ca="1" si="73"/>
        <v>224566.27388826598</v>
      </c>
      <c r="Z223" s="4">
        <f t="shared" ca="1" si="89"/>
        <v>0</v>
      </c>
      <c r="AA223">
        <f t="shared" ca="1" si="90"/>
        <v>1</v>
      </c>
      <c r="AC223" s="5"/>
      <c r="AX223" s="10">
        <f ca="1">Table1[[#This Row],[Car Value]]/Table1[[#This Row],[No. of Vehicles]]</f>
        <v>34374.242781345667</v>
      </c>
      <c r="AZ223">
        <f ca="1">IF(Table1[[#This Row],[Debts]]&gt;$BA$3,1,0)</f>
        <v>1</v>
      </c>
      <c r="BC223" s="12">
        <f ca="1">Table1[[#This Row],[Mortage left]]/Table1[[#This Row],[Value of The House]]</f>
        <v>0.68272458968961758</v>
      </c>
      <c r="BD223" s="4">
        <f t="shared" ca="1" si="91"/>
        <v>0</v>
      </c>
      <c r="BE223" s="5"/>
    </row>
    <row r="224" spans="4:57" x14ac:dyDescent="0.3">
      <c r="D224">
        <f t="shared" ca="1" si="75"/>
        <v>1</v>
      </c>
      <c r="E224" t="str">
        <f t="shared" ca="1" si="76"/>
        <v>Male</v>
      </c>
      <c r="F224">
        <f t="shared" ca="1" si="77"/>
        <v>45</v>
      </c>
      <c r="G224">
        <f t="shared" ca="1" si="78"/>
        <v>2</v>
      </c>
      <c r="H224" t="str">
        <f t="shared" ca="1" si="79"/>
        <v>Construction</v>
      </c>
      <c r="I224">
        <f t="shared" ca="1" si="80"/>
        <v>3</v>
      </c>
      <c r="J224" t="str">
        <f t="shared" ca="1" si="81"/>
        <v>University</v>
      </c>
      <c r="K224">
        <f t="shared" ca="1" si="82"/>
        <v>1</v>
      </c>
      <c r="L224">
        <f t="shared" ca="1" si="83"/>
        <v>2</v>
      </c>
      <c r="M224">
        <f t="shared" ca="1" si="84"/>
        <v>84257</v>
      </c>
      <c r="N224">
        <f t="shared" ca="1" si="85"/>
        <v>2</v>
      </c>
      <c r="O224" t="str">
        <f t="shared" ca="1" si="86"/>
        <v>BC</v>
      </c>
      <c r="P224">
        <f t="shared" ca="1" si="69"/>
        <v>337028</v>
      </c>
      <c r="Q224">
        <f t="shared" ca="1" si="87"/>
        <v>261767.68885625445</v>
      </c>
      <c r="R224">
        <f t="shared" ca="1" si="74"/>
        <v>24680.343572279489</v>
      </c>
      <c r="S224">
        <f t="shared" ca="1" si="88"/>
        <v>23987</v>
      </c>
      <c r="T224">
        <f t="shared" ca="1" si="70"/>
        <v>72643.313256791764</v>
      </c>
      <c r="U224">
        <f t="shared" ca="1" si="71"/>
        <v>114442.86456241732</v>
      </c>
      <c r="V224">
        <f t="shared" ca="1" si="72"/>
        <v>476151.20813469682</v>
      </c>
      <c r="W224">
        <f t="shared" ca="1" si="73"/>
        <v>358398.00211304624</v>
      </c>
      <c r="Z224" s="4">
        <f t="shared" ca="1" si="89"/>
        <v>1</v>
      </c>
      <c r="AA224">
        <f t="shared" ca="1" si="90"/>
        <v>0</v>
      </c>
      <c r="AC224" s="5"/>
      <c r="AX224" s="10">
        <f ca="1">Table1[[#This Row],[Car Value]]/Table1[[#This Row],[No. of Vehicles]]</f>
        <v>12340.171786139745</v>
      </c>
      <c r="AZ224">
        <f ca="1">IF(Table1[[#This Row],[Debts]]&gt;$BA$3,1,0)</f>
        <v>1</v>
      </c>
      <c r="BC224" s="12">
        <f ca="1">Table1[[#This Row],[Mortage left]]/Table1[[#This Row],[Value of The House]]</f>
        <v>0.77669418818689973</v>
      </c>
      <c r="BD224" s="4">
        <f t="shared" ca="1" si="91"/>
        <v>0</v>
      </c>
      <c r="BE224" s="5"/>
    </row>
    <row r="225" spans="4:57" x14ac:dyDescent="0.3">
      <c r="D225">
        <f t="shared" ca="1" si="75"/>
        <v>2</v>
      </c>
      <c r="E225" t="str">
        <f t="shared" ca="1" si="76"/>
        <v>Female</v>
      </c>
      <c r="F225">
        <f t="shared" ca="1" si="77"/>
        <v>26</v>
      </c>
      <c r="G225">
        <f t="shared" ca="1" si="78"/>
        <v>5</v>
      </c>
      <c r="H225" t="str">
        <f t="shared" ca="1" si="79"/>
        <v>Agriculture</v>
      </c>
      <c r="I225">
        <f t="shared" ca="1" si="80"/>
        <v>2</v>
      </c>
      <c r="J225" t="str">
        <f t="shared" ca="1" si="81"/>
        <v>College</v>
      </c>
      <c r="K225">
        <f t="shared" ca="1" si="82"/>
        <v>0</v>
      </c>
      <c r="L225">
        <f t="shared" ca="1" si="83"/>
        <v>1</v>
      </c>
      <c r="M225">
        <f t="shared" ca="1" si="84"/>
        <v>65451</v>
      </c>
      <c r="N225">
        <f t="shared" ca="1" si="85"/>
        <v>12</v>
      </c>
      <c r="O225" t="str">
        <f t="shared" ca="1" si="86"/>
        <v>Nova scotia</v>
      </c>
      <c r="P225">
        <f t="shared" ca="1" si="69"/>
        <v>392706</v>
      </c>
      <c r="Q225">
        <f t="shared" ca="1" si="87"/>
        <v>341033.5978035939</v>
      </c>
      <c r="R225">
        <f t="shared" ca="1" si="74"/>
        <v>23535.997099912292</v>
      </c>
      <c r="S225">
        <f t="shared" ca="1" si="88"/>
        <v>20530</v>
      </c>
      <c r="T225">
        <f t="shared" ca="1" si="70"/>
        <v>97556.910806633066</v>
      </c>
      <c r="U225">
        <f t="shared" ca="1" si="71"/>
        <v>81007.2790085827</v>
      </c>
      <c r="V225">
        <f t="shared" ca="1" si="72"/>
        <v>497249.27610849502</v>
      </c>
      <c r="W225">
        <f t="shared" ca="1" si="73"/>
        <v>459120.50861022697</v>
      </c>
      <c r="Z225" s="4">
        <f t="shared" ca="1" si="89"/>
        <v>0</v>
      </c>
      <c r="AA225">
        <f t="shared" ca="1" si="90"/>
        <v>1</v>
      </c>
      <c r="AC225" s="5"/>
      <c r="AX225" s="10">
        <f ca="1">Table1[[#This Row],[Car Value]]/Table1[[#This Row],[No. of Vehicles]]</f>
        <v>23535.997099912292</v>
      </c>
      <c r="AZ225">
        <f ca="1">IF(Table1[[#This Row],[Debts]]&gt;$BA$3,1,0)</f>
        <v>1</v>
      </c>
      <c r="BC225" s="12">
        <f ca="1">Table1[[#This Row],[Mortage left]]/Table1[[#This Row],[Value of The House]]</f>
        <v>0.86841962639632164</v>
      </c>
      <c r="BD225" s="4">
        <f t="shared" ca="1" si="91"/>
        <v>0</v>
      </c>
      <c r="BE225" s="5"/>
    </row>
    <row r="226" spans="4:57" x14ac:dyDescent="0.3">
      <c r="D226">
        <f t="shared" ca="1" si="75"/>
        <v>2</v>
      </c>
      <c r="E226" t="str">
        <f t="shared" ca="1" si="76"/>
        <v>Female</v>
      </c>
      <c r="F226">
        <f t="shared" ca="1" si="77"/>
        <v>43</v>
      </c>
      <c r="G226">
        <f t="shared" ca="1" si="78"/>
        <v>6</v>
      </c>
      <c r="H226" t="str">
        <f t="shared" ca="1" si="79"/>
        <v>General Work</v>
      </c>
      <c r="I226">
        <f t="shared" ca="1" si="80"/>
        <v>4</v>
      </c>
      <c r="J226" t="str">
        <f t="shared" ca="1" si="81"/>
        <v>Technical</v>
      </c>
      <c r="K226">
        <f t="shared" ca="1" si="82"/>
        <v>4</v>
      </c>
      <c r="L226">
        <f t="shared" ca="1" si="83"/>
        <v>2</v>
      </c>
      <c r="M226">
        <f t="shared" ca="1" si="84"/>
        <v>75861</v>
      </c>
      <c r="N226">
        <f t="shared" ca="1" si="85"/>
        <v>4</v>
      </c>
      <c r="O226" t="str">
        <f t="shared" ca="1" si="86"/>
        <v>Alberta</v>
      </c>
      <c r="P226">
        <f t="shared" ca="1" si="69"/>
        <v>455166</v>
      </c>
      <c r="Q226">
        <f t="shared" ca="1" si="87"/>
        <v>101124.20659570642</v>
      </c>
      <c r="R226">
        <f t="shared" ca="1" si="74"/>
        <v>947.23496710258109</v>
      </c>
      <c r="S226">
        <f t="shared" ca="1" si="88"/>
        <v>263</v>
      </c>
      <c r="T226">
        <f t="shared" ca="1" si="70"/>
        <v>14235.895796204495</v>
      </c>
      <c r="U226">
        <f t="shared" ca="1" si="71"/>
        <v>104531.03455263242</v>
      </c>
      <c r="V226">
        <f t="shared" ca="1" si="72"/>
        <v>560644.26951973501</v>
      </c>
      <c r="W226">
        <f t="shared" ca="1" si="73"/>
        <v>115623.10239191091</v>
      </c>
      <c r="Z226" s="4">
        <f t="shared" ca="1" si="89"/>
        <v>0</v>
      </c>
      <c r="AA226">
        <f t="shared" ca="1" si="90"/>
        <v>1</v>
      </c>
      <c r="AC226" s="5"/>
      <c r="AX226" s="10">
        <f ca="1">Table1[[#This Row],[Car Value]]/Table1[[#This Row],[No. of Vehicles]]</f>
        <v>473.61748355129055</v>
      </c>
      <c r="AZ226">
        <f ca="1">IF(Table1[[#This Row],[Debts]]&gt;$BA$3,1,0)</f>
        <v>0</v>
      </c>
      <c r="BC226" s="12">
        <f ca="1">Table1[[#This Row],[Mortage left]]/Table1[[#This Row],[Value of The House]]</f>
        <v>0.22216994809741153</v>
      </c>
      <c r="BD226" s="4">
        <f t="shared" ca="1" si="91"/>
        <v>0</v>
      </c>
      <c r="BE226" s="5"/>
    </row>
    <row r="227" spans="4:57" x14ac:dyDescent="0.3">
      <c r="D227">
        <f t="shared" ca="1" si="75"/>
        <v>2</v>
      </c>
      <c r="E227" t="str">
        <f t="shared" ca="1" si="76"/>
        <v>Female</v>
      </c>
      <c r="F227">
        <f t="shared" ca="1" si="77"/>
        <v>36</v>
      </c>
      <c r="G227">
        <f t="shared" ca="1" si="78"/>
        <v>3</v>
      </c>
      <c r="H227" t="str">
        <f t="shared" ca="1" si="79"/>
        <v>Teaching</v>
      </c>
      <c r="I227">
        <f t="shared" ca="1" si="80"/>
        <v>4</v>
      </c>
      <c r="J227" t="str">
        <f t="shared" ca="1" si="81"/>
        <v>Technical</v>
      </c>
      <c r="K227">
        <f t="shared" ca="1" si="82"/>
        <v>2</v>
      </c>
      <c r="L227">
        <f t="shared" ca="1" si="83"/>
        <v>2</v>
      </c>
      <c r="M227">
        <f t="shared" ca="1" si="84"/>
        <v>64382</v>
      </c>
      <c r="N227">
        <f t="shared" ca="1" si="85"/>
        <v>6</v>
      </c>
      <c r="O227" t="str">
        <f t="shared" ca="1" si="86"/>
        <v>Saskatchewan</v>
      </c>
      <c r="P227">
        <f t="shared" ca="1" si="69"/>
        <v>386292</v>
      </c>
      <c r="Q227">
        <f t="shared" ca="1" si="87"/>
        <v>106932.93030272558</v>
      </c>
      <c r="R227">
        <f t="shared" ca="1" si="74"/>
        <v>37192.246426766993</v>
      </c>
      <c r="S227">
        <f t="shared" ca="1" si="88"/>
        <v>6725</v>
      </c>
      <c r="T227">
        <f t="shared" ca="1" si="70"/>
        <v>128473.28883396245</v>
      </c>
      <c r="U227">
        <f t="shared" ca="1" si="71"/>
        <v>94948.512655161525</v>
      </c>
      <c r="V227">
        <f t="shared" ca="1" si="72"/>
        <v>518432.75908192853</v>
      </c>
      <c r="W227">
        <f t="shared" ca="1" si="73"/>
        <v>242131.21913668804</v>
      </c>
      <c r="Z227" s="4">
        <f t="shared" ca="1" si="89"/>
        <v>0</v>
      </c>
      <c r="AA227">
        <f t="shared" ca="1" si="90"/>
        <v>1</v>
      </c>
      <c r="AC227" s="5"/>
      <c r="AX227" s="10">
        <f ca="1">Table1[[#This Row],[Car Value]]/Table1[[#This Row],[No. of Vehicles]]</f>
        <v>18596.123213383496</v>
      </c>
      <c r="AZ227">
        <f ca="1">IF(Table1[[#This Row],[Debts]]&gt;$BA$3,1,0)</f>
        <v>1</v>
      </c>
      <c r="BC227" s="12">
        <f ca="1">Table1[[#This Row],[Mortage left]]/Table1[[#This Row],[Value of The House]]</f>
        <v>0.27681890979550594</v>
      </c>
      <c r="BD227" s="4">
        <f t="shared" ca="1" si="91"/>
        <v>0</v>
      </c>
      <c r="BE227" s="5"/>
    </row>
    <row r="228" spans="4:57" x14ac:dyDescent="0.3">
      <c r="D228">
        <f t="shared" ca="1" si="75"/>
        <v>1</v>
      </c>
      <c r="E228" t="str">
        <f t="shared" ca="1" si="76"/>
        <v>Male</v>
      </c>
      <c r="F228">
        <f t="shared" ca="1" si="77"/>
        <v>27</v>
      </c>
      <c r="G228">
        <f t="shared" ca="1" si="78"/>
        <v>2</v>
      </c>
      <c r="H228" t="str">
        <f t="shared" ca="1" si="79"/>
        <v>Construction</v>
      </c>
      <c r="I228">
        <f t="shared" ca="1" si="80"/>
        <v>2</v>
      </c>
      <c r="J228" t="str">
        <f t="shared" ca="1" si="81"/>
        <v>College</v>
      </c>
      <c r="K228">
        <f t="shared" ca="1" si="82"/>
        <v>3</v>
      </c>
      <c r="L228">
        <f t="shared" ca="1" si="83"/>
        <v>2</v>
      </c>
      <c r="M228">
        <f t="shared" ca="1" si="84"/>
        <v>34386</v>
      </c>
      <c r="N228">
        <f t="shared" ca="1" si="85"/>
        <v>6</v>
      </c>
      <c r="O228" t="str">
        <f t="shared" ca="1" si="86"/>
        <v>Saskatchewan</v>
      </c>
      <c r="P228">
        <f t="shared" ca="1" si="69"/>
        <v>137544</v>
      </c>
      <c r="Q228">
        <f t="shared" ca="1" si="87"/>
        <v>21478.982571956018</v>
      </c>
      <c r="R228">
        <f t="shared" ca="1" si="74"/>
        <v>23139.585015756278</v>
      </c>
      <c r="S228">
        <f t="shared" ca="1" si="88"/>
        <v>18761</v>
      </c>
      <c r="T228">
        <f t="shared" ca="1" si="70"/>
        <v>39739.835120357246</v>
      </c>
      <c r="U228">
        <f t="shared" ca="1" si="71"/>
        <v>37657.511521675406</v>
      </c>
      <c r="V228">
        <f t="shared" ca="1" si="72"/>
        <v>198341.0965374317</v>
      </c>
      <c r="W228">
        <f t="shared" ca="1" si="73"/>
        <v>79979.817692313256</v>
      </c>
      <c r="Z228" s="4">
        <f t="shared" ca="1" si="89"/>
        <v>1</v>
      </c>
      <c r="AA228">
        <f t="shared" ca="1" si="90"/>
        <v>0</v>
      </c>
      <c r="AC228" s="5"/>
      <c r="AX228" s="10">
        <f ca="1">Table1[[#This Row],[Car Value]]/Table1[[#This Row],[No. of Vehicles]]</f>
        <v>11569.792507878139</v>
      </c>
      <c r="AZ228">
        <f ca="1">IF(Table1[[#This Row],[Debts]]&gt;$BA$3,1,0)</f>
        <v>1</v>
      </c>
      <c r="BC228" s="12">
        <f ca="1">Table1[[#This Row],[Mortage left]]/Table1[[#This Row],[Value of The House]]</f>
        <v>0.15616081088201605</v>
      </c>
      <c r="BD228" s="4">
        <f t="shared" ca="1" si="91"/>
        <v>1</v>
      </c>
      <c r="BE228" s="5"/>
    </row>
    <row r="229" spans="4:57" x14ac:dyDescent="0.3">
      <c r="D229">
        <f t="shared" ca="1" si="75"/>
        <v>2</v>
      </c>
      <c r="E229" t="str">
        <f t="shared" ca="1" si="76"/>
        <v>Female</v>
      </c>
      <c r="F229">
        <f t="shared" ca="1" si="77"/>
        <v>43</v>
      </c>
      <c r="G229">
        <f t="shared" ca="1" si="78"/>
        <v>2</v>
      </c>
      <c r="H229" t="str">
        <f t="shared" ca="1" si="79"/>
        <v>Construction</v>
      </c>
      <c r="I229">
        <f t="shared" ca="1" si="80"/>
        <v>2</v>
      </c>
      <c r="J229" t="str">
        <f t="shared" ca="1" si="81"/>
        <v>College</v>
      </c>
      <c r="K229">
        <f t="shared" ca="1" si="82"/>
        <v>1</v>
      </c>
      <c r="L229">
        <f t="shared" ca="1" si="83"/>
        <v>1</v>
      </c>
      <c r="M229">
        <f t="shared" ca="1" si="84"/>
        <v>60605</v>
      </c>
      <c r="N229">
        <f t="shared" ca="1" si="85"/>
        <v>12</v>
      </c>
      <c r="O229" t="str">
        <f t="shared" ca="1" si="86"/>
        <v>Nova scotia</v>
      </c>
      <c r="P229">
        <f t="shared" ref="P229:P292" ca="1" si="92">M229*RANDBETWEEN(4,6)</f>
        <v>242420</v>
      </c>
      <c r="Q229">
        <f t="shared" ca="1" si="87"/>
        <v>5470.4767462467435</v>
      </c>
      <c r="R229">
        <f t="shared" ca="1" si="74"/>
        <v>36837.888442183481</v>
      </c>
      <c r="S229">
        <f t="shared" ca="1" si="88"/>
        <v>10911</v>
      </c>
      <c r="T229">
        <f t="shared" ref="T229:T292" ca="1" si="93">M229*RAND()*2</f>
        <v>70891.776017704309</v>
      </c>
      <c r="U229">
        <f t="shared" ref="U229:U292" ca="1" si="94">RAND()*M229*1.5</f>
        <v>24219.876597685274</v>
      </c>
      <c r="V229">
        <f t="shared" ref="V229:V292" ca="1" si="95">P229+R229+U229</f>
        <v>303477.76503986877</v>
      </c>
      <c r="W229">
        <f t="shared" ref="W229:W292" ca="1" si="96">Q229+S229+T229</f>
        <v>87273.252763951052</v>
      </c>
      <c r="Z229" s="4">
        <f t="shared" ca="1" si="89"/>
        <v>0</v>
      </c>
      <c r="AA229">
        <f t="shared" ca="1" si="90"/>
        <v>1</v>
      </c>
      <c r="AC229" s="5"/>
      <c r="AX229" s="10">
        <f ca="1">Table1[[#This Row],[Car Value]]/Table1[[#This Row],[No. of Vehicles]]</f>
        <v>36837.888442183481</v>
      </c>
      <c r="AZ229">
        <f ca="1">IF(Table1[[#This Row],[Debts]]&gt;$BA$3,1,0)</f>
        <v>1</v>
      </c>
      <c r="BC229" s="12">
        <f ca="1">Table1[[#This Row],[Mortage left]]/Table1[[#This Row],[Value of The House]]</f>
        <v>2.2566111485218809E-2</v>
      </c>
      <c r="BD229" s="4">
        <f t="shared" ca="1" si="91"/>
        <v>1</v>
      </c>
      <c r="BE229" s="5"/>
    </row>
    <row r="230" spans="4:57" x14ac:dyDescent="0.3">
      <c r="D230">
        <f t="shared" ca="1" si="75"/>
        <v>2</v>
      </c>
      <c r="E230" t="str">
        <f t="shared" ca="1" si="76"/>
        <v>Female</v>
      </c>
      <c r="F230">
        <f t="shared" ca="1" si="77"/>
        <v>44</v>
      </c>
      <c r="G230">
        <f t="shared" ca="1" si="78"/>
        <v>5</v>
      </c>
      <c r="H230" t="str">
        <f t="shared" ca="1" si="79"/>
        <v>Agriculture</v>
      </c>
      <c r="I230">
        <f t="shared" ca="1" si="80"/>
        <v>5</v>
      </c>
      <c r="J230" t="str">
        <f t="shared" ca="1" si="81"/>
        <v>Other</v>
      </c>
      <c r="K230">
        <f t="shared" ca="1" si="82"/>
        <v>1</v>
      </c>
      <c r="L230">
        <f t="shared" ca="1" si="83"/>
        <v>2</v>
      </c>
      <c r="M230">
        <f t="shared" ca="1" si="84"/>
        <v>80912</v>
      </c>
      <c r="N230">
        <f t="shared" ca="1" si="85"/>
        <v>13</v>
      </c>
      <c r="O230" t="str">
        <f t="shared" ca="1" si="86"/>
        <v>Prince Edward Islnd</v>
      </c>
      <c r="P230">
        <f t="shared" ca="1" si="92"/>
        <v>323648</v>
      </c>
      <c r="Q230">
        <f t="shared" ca="1" si="87"/>
        <v>205407.59443576977</v>
      </c>
      <c r="R230">
        <f t="shared" ca="1" si="74"/>
        <v>103934.02270879039</v>
      </c>
      <c r="S230">
        <f t="shared" ca="1" si="88"/>
        <v>44640</v>
      </c>
      <c r="T230">
        <f t="shared" ca="1" si="93"/>
        <v>69758.597635083876</v>
      </c>
      <c r="U230">
        <f t="shared" ca="1" si="94"/>
        <v>16948.752263598501</v>
      </c>
      <c r="V230">
        <f t="shared" ca="1" si="95"/>
        <v>444530.77497238887</v>
      </c>
      <c r="W230">
        <f t="shared" ca="1" si="96"/>
        <v>319806.19207085366</v>
      </c>
      <c r="Z230" s="4">
        <f t="shared" ca="1" si="89"/>
        <v>0</v>
      </c>
      <c r="AA230">
        <f t="shared" ca="1" si="90"/>
        <v>1</v>
      </c>
      <c r="AC230" s="5"/>
      <c r="AX230" s="10">
        <f ca="1">Table1[[#This Row],[Car Value]]/Table1[[#This Row],[No. of Vehicles]]</f>
        <v>51967.011354395196</v>
      </c>
      <c r="AZ230">
        <f ca="1">IF(Table1[[#This Row],[Debts]]&gt;$BA$3,1,0)</f>
        <v>1</v>
      </c>
      <c r="BC230" s="12">
        <f ca="1">Table1[[#This Row],[Mortage left]]/Table1[[#This Row],[Value of The House]]</f>
        <v>0.63466356793729539</v>
      </c>
      <c r="BD230" s="4">
        <f t="shared" ca="1" si="91"/>
        <v>0</v>
      </c>
      <c r="BE230" s="5"/>
    </row>
    <row r="231" spans="4:57" x14ac:dyDescent="0.3">
      <c r="D231">
        <f t="shared" ca="1" si="75"/>
        <v>2</v>
      </c>
      <c r="E231" t="str">
        <f t="shared" ca="1" si="76"/>
        <v>Female</v>
      </c>
      <c r="F231">
        <f t="shared" ca="1" si="77"/>
        <v>29</v>
      </c>
      <c r="G231">
        <f t="shared" ca="1" si="78"/>
        <v>4</v>
      </c>
      <c r="H231" t="str">
        <f t="shared" ca="1" si="79"/>
        <v>IT</v>
      </c>
      <c r="I231">
        <f t="shared" ca="1" si="80"/>
        <v>4</v>
      </c>
      <c r="J231" t="str">
        <f t="shared" ca="1" si="81"/>
        <v>Technical</v>
      </c>
      <c r="K231">
        <f t="shared" ca="1" si="82"/>
        <v>4</v>
      </c>
      <c r="L231">
        <f t="shared" ca="1" si="83"/>
        <v>1</v>
      </c>
      <c r="M231">
        <f t="shared" ca="1" si="84"/>
        <v>50090</v>
      </c>
      <c r="N231">
        <f t="shared" ca="1" si="85"/>
        <v>9</v>
      </c>
      <c r="O231" t="str">
        <f t="shared" ca="1" si="86"/>
        <v>Quebec</v>
      </c>
      <c r="P231">
        <f t="shared" ca="1" si="92"/>
        <v>300540</v>
      </c>
      <c r="Q231">
        <f t="shared" ca="1" si="87"/>
        <v>107236.75672113018</v>
      </c>
      <c r="R231">
        <f t="shared" ca="1" si="74"/>
        <v>13842.889293313203</v>
      </c>
      <c r="S231">
        <f t="shared" ca="1" si="88"/>
        <v>2363</v>
      </c>
      <c r="T231">
        <f t="shared" ca="1" si="93"/>
        <v>47725.112554791427</v>
      </c>
      <c r="U231">
        <f t="shared" ca="1" si="94"/>
        <v>46118.865428531732</v>
      </c>
      <c r="V231">
        <f t="shared" ca="1" si="95"/>
        <v>360501.75472184492</v>
      </c>
      <c r="W231">
        <f t="shared" ca="1" si="96"/>
        <v>157324.86927592161</v>
      </c>
      <c r="Z231" s="4">
        <f t="shared" ca="1" si="89"/>
        <v>0</v>
      </c>
      <c r="AA231">
        <f t="shared" ca="1" si="90"/>
        <v>1</v>
      </c>
      <c r="AC231" s="5"/>
      <c r="AX231" s="10">
        <f ca="1">Table1[[#This Row],[Car Value]]/Table1[[#This Row],[No. of Vehicles]]</f>
        <v>13842.889293313203</v>
      </c>
      <c r="AZ231">
        <f ca="1">IF(Table1[[#This Row],[Debts]]&gt;$BA$3,1,0)</f>
        <v>1</v>
      </c>
      <c r="BC231" s="12">
        <f ca="1">Table1[[#This Row],[Mortage left]]/Table1[[#This Row],[Value of The House]]</f>
        <v>0.35681359127280954</v>
      </c>
      <c r="BD231" s="4">
        <f t="shared" ca="1" si="91"/>
        <v>0</v>
      </c>
      <c r="BE231" s="5"/>
    </row>
    <row r="232" spans="4:57" x14ac:dyDescent="0.3">
      <c r="D232">
        <f t="shared" ca="1" si="75"/>
        <v>2</v>
      </c>
      <c r="E232" t="str">
        <f t="shared" ca="1" si="76"/>
        <v>Female</v>
      </c>
      <c r="F232">
        <f t="shared" ca="1" si="77"/>
        <v>32</v>
      </c>
      <c r="G232">
        <f t="shared" ca="1" si="78"/>
        <v>2</v>
      </c>
      <c r="H232" t="str">
        <f t="shared" ca="1" si="79"/>
        <v>Construction</v>
      </c>
      <c r="I232">
        <f t="shared" ca="1" si="80"/>
        <v>1</v>
      </c>
      <c r="J232" t="str">
        <f t="shared" ca="1" si="81"/>
        <v>High School</v>
      </c>
      <c r="K232">
        <f t="shared" ca="1" si="82"/>
        <v>0</v>
      </c>
      <c r="L232">
        <f t="shared" ca="1" si="83"/>
        <v>2</v>
      </c>
      <c r="M232">
        <f t="shared" ca="1" si="84"/>
        <v>73016</v>
      </c>
      <c r="N232">
        <f t="shared" ca="1" si="85"/>
        <v>7</v>
      </c>
      <c r="O232" t="str">
        <f t="shared" ca="1" si="86"/>
        <v>Manitoba</v>
      </c>
      <c r="P232">
        <f t="shared" ca="1" si="92"/>
        <v>365080</v>
      </c>
      <c r="Q232">
        <f t="shared" ca="1" si="87"/>
        <v>287484.14073149848</v>
      </c>
      <c r="R232">
        <f t="shared" ca="1" si="74"/>
        <v>22280.083530515283</v>
      </c>
      <c r="S232">
        <f t="shared" ca="1" si="88"/>
        <v>7816</v>
      </c>
      <c r="T232">
        <f t="shared" ca="1" si="93"/>
        <v>92363.227443531519</v>
      </c>
      <c r="U232">
        <f t="shared" ca="1" si="94"/>
        <v>80370.12058858684</v>
      </c>
      <c r="V232">
        <f t="shared" ca="1" si="95"/>
        <v>467730.2041191021</v>
      </c>
      <c r="W232">
        <f t="shared" ca="1" si="96"/>
        <v>387663.36817502999</v>
      </c>
      <c r="Z232" s="4">
        <f t="shared" ca="1" si="89"/>
        <v>0</v>
      </c>
      <c r="AA232">
        <f t="shared" ca="1" si="90"/>
        <v>1</v>
      </c>
      <c r="AC232" s="5"/>
      <c r="AX232" s="10">
        <f ca="1">Table1[[#This Row],[Car Value]]/Table1[[#This Row],[No. of Vehicles]]</f>
        <v>11140.041765257642</v>
      </c>
      <c r="AZ232">
        <f ca="1">IF(Table1[[#This Row],[Debts]]&gt;$BA$3,1,0)</f>
        <v>1</v>
      </c>
      <c r="BC232" s="12">
        <f ca="1">Table1[[#This Row],[Mortage left]]/Table1[[#This Row],[Value of The House]]</f>
        <v>0.78745518990768726</v>
      </c>
      <c r="BD232" s="4">
        <f t="shared" ca="1" si="91"/>
        <v>0</v>
      </c>
      <c r="BE232" s="5"/>
    </row>
    <row r="233" spans="4:57" x14ac:dyDescent="0.3">
      <c r="D233">
        <f t="shared" ca="1" si="75"/>
        <v>2</v>
      </c>
      <c r="E233" t="str">
        <f t="shared" ca="1" si="76"/>
        <v>Female</v>
      </c>
      <c r="F233">
        <f t="shared" ca="1" si="77"/>
        <v>42</v>
      </c>
      <c r="G233">
        <f t="shared" ca="1" si="78"/>
        <v>2</v>
      </c>
      <c r="H233" t="str">
        <f t="shared" ca="1" si="79"/>
        <v>Construction</v>
      </c>
      <c r="I233">
        <f t="shared" ca="1" si="80"/>
        <v>3</v>
      </c>
      <c r="J233" t="str">
        <f t="shared" ca="1" si="81"/>
        <v>University</v>
      </c>
      <c r="K233">
        <f t="shared" ca="1" si="82"/>
        <v>1</v>
      </c>
      <c r="L233">
        <f t="shared" ca="1" si="83"/>
        <v>2</v>
      </c>
      <c r="M233">
        <f t="shared" ca="1" si="84"/>
        <v>52007</v>
      </c>
      <c r="N233">
        <f t="shared" ca="1" si="85"/>
        <v>13</v>
      </c>
      <c r="O233" t="str">
        <f t="shared" ca="1" si="86"/>
        <v>Prince Edward Islnd</v>
      </c>
      <c r="P233">
        <f t="shared" ca="1" si="92"/>
        <v>208028</v>
      </c>
      <c r="Q233">
        <f t="shared" ca="1" si="87"/>
        <v>135885.17738434541</v>
      </c>
      <c r="R233">
        <f t="shared" ca="1" si="74"/>
        <v>99231.620223194142</v>
      </c>
      <c r="S233">
        <f t="shared" ca="1" si="88"/>
        <v>28718</v>
      </c>
      <c r="T233">
        <f t="shared" ca="1" si="93"/>
        <v>53333.715210519309</v>
      </c>
      <c r="U233">
        <f t="shared" ca="1" si="94"/>
        <v>64890.536133475471</v>
      </c>
      <c r="V233">
        <f t="shared" ca="1" si="95"/>
        <v>372150.15635666961</v>
      </c>
      <c r="W233">
        <f t="shared" ca="1" si="96"/>
        <v>217936.89259486471</v>
      </c>
      <c r="Z233" s="4">
        <f t="shared" ca="1" si="89"/>
        <v>0</v>
      </c>
      <c r="AA233">
        <f t="shared" ca="1" si="90"/>
        <v>1</v>
      </c>
      <c r="AC233" s="5"/>
      <c r="AX233" s="10">
        <f ca="1">Table1[[#This Row],[Car Value]]/Table1[[#This Row],[No. of Vehicles]]</f>
        <v>49615.810111597071</v>
      </c>
      <c r="AZ233">
        <f ca="1">IF(Table1[[#This Row],[Debts]]&gt;$BA$3,1,0)</f>
        <v>1</v>
      </c>
      <c r="BC233" s="12">
        <f ca="1">Table1[[#This Row],[Mortage left]]/Table1[[#This Row],[Value of The House]]</f>
        <v>0.65320619043756323</v>
      </c>
      <c r="BD233" s="4">
        <f t="shared" ca="1" si="91"/>
        <v>0</v>
      </c>
      <c r="BE233" s="5"/>
    </row>
    <row r="234" spans="4:57" x14ac:dyDescent="0.3">
      <c r="D234">
        <f t="shared" ca="1" si="75"/>
        <v>2</v>
      </c>
      <c r="E234" t="str">
        <f t="shared" ca="1" si="76"/>
        <v>Female</v>
      </c>
      <c r="F234">
        <f t="shared" ca="1" si="77"/>
        <v>40</v>
      </c>
      <c r="G234">
        <f t="shared" ca="1" si="78"/>
        <v>4</v>
      </c>
      <c r="H234" t="str">
        <f t="shared" ca="1" si="79"/>
        <v>IT</v>
      </c>
      <c r="I234">
        <f t="shared" ca="1" si="80"/>
        <v>1</v>
      </c>
      <c r="J234" t="str">
        <f t="shared" ca="1" si="81"/>
        <v>High School</v>
      </c>
      <c r="K234">
        <f t="shared" ca="1" si="82"/>
        <v>2</v>
      </c>
      <c r="L234">
        <f t="shared" ca="1" si="83"/>
        <v>1</v>
      </c>
      <c r="M234">
        <f t="shared" ca="1" si="84"/>
        <v>73063</v>
      </c>
      <c r="N234">
        <f t="shared" ca="1" si="85"/>
        <v>6</v>
      </c>
      <c r="O234" t="str">
        <f t="shared" ca="1" si="86"/>
        <v>Saskatchewan</v>
      </c>
      <c r="P234">
        <f t="shared" ca="1" si="92"/>
        <v>292252</v>
      </c>
      <c r="Q234">
        <f t="shared" ca="1" si="87"/>
        <v>28064.144232894618</v>
      </c>
      <c r="R234">
        <f t="shared" ca="1" si="74"/>
        <v>21443.891121032761</v>
      </c>
      <c r="S234">
        <f t="shared" ca="1" si="88"/>
        <v>18378</v>
      </c>
      <c r="T234">
        <f t="shared" ca="1" si="93"/>
        <v>141429.75717327764</v>
      </c>
      <c r="U234">
        <f t="shared" ca="1" si="94"/>
        <v>20074.418243534419</v>
      </c>
      <c r="V234">
        <f t="shared" ca="1" si="95"/>
        <v>333770.30936456716</v>
      </c>
      <c r="W234">
        <f t="shared" ca="1" si="96"/>
        <v>187871.90140617226</v>
      </c>
      <c r="Z234" s="4">
        <f t="shared" ca="1" si="89"/>
        <v>0</v>
      </c>
      <c r="AA234">
        <f t="shared" ca="1" si="90"/>
        <v>1</v>
      </c>
      <c r="AC234" s="5"/>
      <c r="AX234" s="10">
        <f ca="1">Table1[[#This Row],[Car Value]]/Table1[[#This Row],[No. of Vehicles]]</f>
        <v>21443.891121032761</v>
      </c>
      <c r="AZ234">
        <f ca="1">IF(Table1[[#This Row],[Debts]]&gt;$BA$3,1,0)</f>
        <v>1</v>
      </c>
      <c r="BC234" s="12">
        <f ca="1">Table1[[#This Row],[Mortage left]]/Table1[[#This Row],[Value of The House]]</f>
        <v>9.60272101915286E-2</v>
      </c>
      <c r="BD234" s="4">
        <f t="shared" ca="1" si="91"/>
        <v>1</v>
      </c>
      <c r="BE234" s="5"/>
    </row>
    <row r="235" spans="4:57" x14ac:dyDescent="0.3">
      <c r="D235">
        <f t="shared" ca="1" si="75"/>
        <v>2</v>
      </c>
      <c r="E235" t="str">
        <f t="shared" ca="1" si="76"/>
        <v>Female</v>
      </c>
      <c r="F235">
        <f t="shared" ca="1" si="77"/>
        <v>37</v>
      </c>
      <c r="G235">
        <f t="shared" ca="1" si="78"/>
        <v>4</v>
      </c>
      <c r="H235" t="str">
        <f t="shared" ca="1" si="79"/>
        <v>IT</v>
      </c>
      <c r="I235">
        <f t="shared" ca="1" si="80"/>
        <v>1</v>
      </c>
      <c r="J235" t="str">
        <f t="shared" ca="1" si="81"/>
        <v>High School</v>
      </c>
      <c r="K235">
        <f t="shared" ca="1" si="82"/>
        <v>3</v>
      </c>
      <c r="L235">
        <f t="shared" ca="1" si="83"/>
        <v>1</v>
      </c>
      <c r="M235">
        <f t="shared" ca="1" si="84"/>
        <v>60307</v>
      </c>
      <c r="N235">
        <f t="shared" ca="1" si="85"/>
        <v>9</v>
      </c>
      <c r="O235" t="str">
        <f t="shared" ca="1" si="86"/>
        <v>Quebec</v>
      </c>
      <c r="P235">
        <f t="shared" ca="1" si="92"/>
        <v>361842</v>
      </c>
      <c r="Q235">
        <f t="shared" ca="1" si="87"/>
        <v>150749.64265147661</v>
      </c>
      <c r="R235">
        <f t="shared" ca="1" si="74"/>
        <v>7431.6839337357187</v>
      </c>
      <c r="S235">
        <f t="shared" ca="1" si="88"/>
        <v>6816</v>
      </c>
      <c r="T235">
        <f t="shared" ca="1" si="93"/>
        <v>35381.664500365805</v>
      </c>
      <c r="U235">
        <f t="shared" ca="1" si="94"/>
        <v>55156.947794800864</v>
      </c>
      <c r="V235">
        <f t="shared" ca="1" si="95"/>
        <v>424430.63172853657</v>
      </c>
      <c r="W235">
        <f t="shared" ca="1" si="96"/>
        <v>192947.3071518424</v>
      </c>
      <c r="Z235" s="4">
        <f t="shared" ca="1" si="89"/>
        <v>0</v>
      </c>
      <c r="AA235">
        <f t="shared" ca="1" si="90"/>
        <v>1</v>
      </c>
      <c r="AC235" s="5"/>
      <c r="AX235" s="10">
        <f ca="1">Table1[[#This Row],[Car Value]]/Table1[[#This Row],[No. of Vehicles]]</f>
        <v>7431.6839337357187</v>
      </c>
      <c r="AZ235">
        <f ca="1">IF(Table1[[#This Row],[Debts]]&gt;$BA$3,1,0)</f>
        <v>1</v>
      </c>
      <c r="BC235" s="12">
        <f ca="1">Table1[[#This Row],[Mortage left]]/Table1[[#This Row],[Value of The House]]</f>
        <v>0.41661731543457259</v>
      </c>
      <c r="BD235" s="4">
        <f t="shared" ca="1" si="91"/>
        <v>0</v>
      </c>
      <c r="BE235" s="5"/>
    </row>
    <row r="236" spans="4:57" x14ac:dyDescent="0.3">
      <c r="D236">
        <f t="shared" ca="1" si="75"/>
        <v>1</v>
      </c>
      <c r="E236" t="str">
        <f t="shared" ca="1" si="76"/>
        <v>Male</v>
      </c>
      <c r="F236">
        <f t="shared" ca="1" si="77"/>
        <v>25</v>
      </c>
      <c r="G236">
        <f t="shared" ca="1" si="78"/>
        <v>4</v>
      </c>
      <c r="H236" t="str">
        <f t="shared" ca="1" si="79"/>
        <v>IT</v>
      </c>
      <c r="I236">
        <f t="shared" ca="1" si="80"/>
        <v>3</v>
      </c>
      <c r="J236" t="str">
        <f t="shared" ca="1" si="81"/>
        <v>University</v>
      </c>
      <c r="K236">
        <f t="shared" ca="1" si="82"/>
        <v>2</v>
      </c>
      <c r="L236">
        <f t="shared" ca="1" si="83"/>
        <v>2</v>
      </c>
      <c r="M236">
        <f t="shared" ca="1" si="84"/>
        <v>51258</v>
      </c>
      <c r="N236">
        <f t="shared" ca="1" si="85"/>
        <v>8</v>
      </c>
      <c r="O236" t="str">
        <f t="shared" ca="1" si="86"/>
        <v>Ontario</v>
      </c>
      <c r="P236">
        <f t="shared" ca="1" si="92"/>
        <v>256290</v>
      </c>
      <c r="Q236">
        <f t="shared" ca="1" si="87"/>
        <v>212932.20585200173</v>
      </c>
      <c r="R236">
        <f t="shared" ca="1" si="74"/>
        <v>97706.391182995838</v>
      </c>
      <c r="S236">
        <f t="shared" ca="1" si="88"/>
        <v>26397</v>
      </c>
      <c r="T236">
        <f t="shared" ca="1" si="93"/>
        <v>23273.122959416865</v>
      </c>
      <c r="U236">
        <f t="shared" ca="1" si="94"/>
        <v>33800.165679589802</v>
      </c>
      <c r="V236">
        <f t="shared" ca="1" si="95"/>
        <v>387796.55686258565</v>
      </c>
      <c r="W236">
        <f t="shared" ca="1" si="96"/>
        <v>262602.32881141861</v>
      </c>
      <c r="Z236" s="4">
        <f t="shared" ca="1" si="89"/>
        <v>1</v>
      </c>
      <c r="AA236">
        <f t="shared" ca="1" si="90"/>
        <v>0</v>
      </c>
      <c r="AC236" s="5"/>
      <c r="AX236" s="10">
        <f ca="1">Table1[[#This Row],[Car Value]]/Table1[[#This Row],[No. of Vehicles]]</f>
        <v>48853.195591497919</v>
      </c>
      <c r="AZ236">
        <f ca="1">IF(Table1[[#This Row],[Debts]]&gt;$BA$3,1,0)</f>
        <v>1</v>
      </c>
      <c r="BC236" s="12">
        <f ca="1">Table1[[#This Row],[Mortage left]]/Table1[[#This Row],[Value of The House]]</f>
        <v>0.83082525986968558</v>
      </c>
      <c r="BD236" s="4">
        <f t="shared" ca="1" si="91"/>
        <v>0</v>
      </c>
      <c r="BE236" s="5"/>
    </row>
    <row r="237" spans="4:57" x14ac:dyDescent="0.3">
      <c r="D237">
        <f t="shared" ca="1" si="75"/>
        <v>1</v>
      </c>
      <c r="E237" t="str">
        <f t="shared" ca="1" si="76"/>
        <v>Male</v>
      </c>
      <c r="F237">
        <f t="shared" ca="1" si="77"/>
        <v>34</v>
      </c>
      <c r="G237">
        <f t="shared" ca="1" si="78"/>
        <v>2</v>
      </c>
      <c r="H237" t="str">
        <f t="shared" ca="1" si="79"/>
        <v>Construction</v>
      </c>
      <c r="I237">
        <f t="shared" ca="1" si="80"/>
        <v>2</v>
      </c>
      <c r="J237" t="str">
        <f t="shared" ca="1" si="81"/>
        <v>College</v>
      </c>
      <c r="K237">
        <f t="shared" ca="1" si="82"/>
        <v>3</v>
      </c>
      <c r="L237">
        <f t="shared" ca="1" si="83"/>
        <v>1</v>
      </c>
      <c r="M237">
        <f t="shared" ca="1" si="84"/>
        <v>74659</v>
      </c>
      <c r="N237">
        <f t="shared" ca="1" si="85"/>
        <v>5</v>
      </c>
      <c r="O237" t="str">
        <f t="shared" ca="1" si="86"/>
        <v>Nunavut</v>
      </c>
      <c r="P237">
        <f t="shared" ca="1" si="92"/>
        <v>298636</v>
      </c>
      <c r="Q237">
        <f t="shared" ca="1" si="87"/>
        <v>189657.22032317272</v>
      </c>
      <c r="R237">
        <f t="shared" ca="1" si="74"/>
        <v>15053.04913889721</v>
      </c>
      <c r="S237">
        <f t="shared" ca="1" si="88"/>
        <v>6600</v>
      </c>
      <c r="T237">
        <f t="shared" ca="1" si="93"/>
        <v>128660.21302929703</v>
      </c>
      <c r="U237">
        <f t="shared" ca="1" si="94"/>
        <v>72989.832054277795</v>
      </c>
      <c r="V237">
        <f t="shared" ca="1" si="95"/>
        <v>386678.88119317498</v>
      </c>
      <c r="W237">
        <f t="shared" ca="1" si="96"/>
        <v>324917.43335246976</v>
      </c>
      <c r="Z237" s="4">
        <f t="shared" ca="1" si="89"/>
        <v>1</v>
      </c>
      <c r="AA237">
        <f t="shared" ca="1" si="90"/>
        <v>0</v>
      </c>
      <c r="AC237" s="5"/>
      <c r="AX237" s="10">
        <f ca="1">Table1[[#This Row],[Car Value]]/Table1[[#This Row],[No. of Vehicles]]</f>
        <v>15053.04913889721</v>
      </c>
      <c r="AZ237">
        <f ca="1">IF(Table1[[#This Row],[Debts]]&gt;$BA$3,1,0)</f>
        <v>1</v>
      </c>
      <c r="BC237" s="12">
        <f ca="1">Table1[[#This Row],[Mortage left]]/Table1[[#This Row],[Value of The House]]</f>
        <v>0.63507822339963271</v>
      </c>
      <c r="BD237" s="4">
        <f t="shared" ca="1" si="91"/>
        <v>0</v>
      </c>
      <c r="BE237" s="5"/>
    </row>
    <row r="238" spans="4:57" x14ac:dyDescent="0.3">
      <c r="D238">
        <f t="shared" ca="1" si="75"/>
        <v>1</v>
      </c>
      <c r="E238" t="str">
        <f t="shared" ca="1" si="76"/>
        <v>Male</v>
      </c>
      <c r="F238">
        <f t="shared" ca="1" si="77"/>
        <v>36</v>
      </c>
      <c r="G238">
        <f t="shared" ca="1" si="78"/>
        <v>2</v>
      </c>
      <c r="H238" t="str">
        <f t="shared" ca="1" si="79"/>
        <v>Construction</v>
      </c>
      <c r="I238">
        <f t="shared" ca="1" si="80"/>
        <v>3</v>
      </c>
      <c r="J238" t="str">
        <f t="shared" ca="1" si="81"/>
        <v>University</v>
      </c>
      <c r="K238">
        <f t="shared" ca="1" si="82"/>
        <v>2</v>
      </c>
      <c r="L238">
        <f t="shared" ca="1" si="83"/>
        <v>1</v>
      </c>
      <c r="M238">
        <f t="shared" ca="1" si="84"/>
        <v>51633</v>
      </c>
      <c r="N238">
        <f t="shared" ca="1" si="85"/>
        <v>2</v>
      </c>
      <c r="O238" t="str">
        <f t="shared" ca="1" si="86"/>
        <v>BC</v>
      </c>
      <c r="P238">
        <f t="shared" ca="1" si="92"/>
        <v>309798</v>
      </c>
      <c r="Q238">
        <f t="shared" ca="1" si="87"/>
        <v>47812.841218153619</v>
      </c>
      <c r="R238">
        <f t="shared" ca="1" si="74"/>
        <v>4606.4596214672811</v>
      </c>
      <c r="S238">
        <f t="shared" ca="1" si="88"/>
        <v>3810</v>
      </c>
      <c r="T238">
        <f t="shared" ca="1" si="93"/>
        <v>44163.630891767207</v>
      </c>
      <c r="U238">
        <f t="shared" ca="1" si="94"/>
        <v>17280.737525681907</v>
      </c>
      <c r="V238">
        <f t="shared" ca="1" si="95"/>
        <v>331685.19714714919</v>
      </c>
      <c r="W238">
        <f t="shared" ca="1" si="96"/>
        <v>95786.472109920825</v>
      </c>
      <c r="Z238" s="4">
        <f t="shared" ca="1" si="89"/>
        <v>1</v>
      </c>
      <c r="AA238">
        <f t="shared" ca="1" si="90"/>
        <v>0</v>
      </c>
      <c r="AC238" s="5"/>
      <c r="AX238" s="10">
        <f ca="1">Table1[[#This Row],[Car Value]]/Table1[[#This Row],[No. of Vehicles]]</f>
        <v>4606.4596214672811</v>
      </c>
      <c r="AZ238">
        <f ca="1">IF(Table1[[#This Row],[Debts]]&gt;$BA$3,1,0)</f>
        <v>1</v>
      </c>
      <c r="BC238" s="12">
        <f ca="1">Table1[[#This Row],[Mortage left]]/Table1[[#This Row],[Value of The House]]</f>
        <v>0.15433553869990646</v>
      </c>
      <c r="BD238" s="4">
        <f t="shared" ca="1" si="91"/>
        <v>1</v>
      </c>
      <c r="BE238" s="5"/>
    </row>
    <row r="239" spans="4:57" x14ac:dyDescent="0.3">
      <c r="D239">
        <f t="shared" ca="1" si="75"/>
        <v>2</v>
      </c>
      <c r="E239" t="str">
        <f t="shared" ca="1" si="76"/>
        <v>Female</v>
      </c>
      <c r="F239">
        <f t="shared" ca="1" si="77"/>
        <v>39</v>
      </c>
      <c r="G239">
        <f t="shared" ca="1" si="78"/>
        <v>6</v>
      </c>
      <c r="H239" t="str">
        <f t="shared" ca="1" si="79"/>
        <v>General Work</v>
      </c>
      <c r="I239">
        <f t="shared" ca="1" si="80"/>
        <v>1</v>
      </c>
      <c r="J239" t="str">
        <f t="shared" ca="1" si="81"/>
        <v>High School</v>
      </c>
      <c r="K239">
        <f t="shared" ca="1" si="82"/>
        <v>2</v>
      </c>
      <c r="L239">
        <f t="shared" ca="1" si="83"/>
        <v>1</v>
      </c>
      <c r="M239">
        <f t="shared" ca="1" si="84"/>
        <v>80793</v>
      </c>
      <c r="N239">
        <f t="shared" ca="1" si="85"/>
        <v>5</v>
      </c>
      <c r="O239" t="str">
        <f t="shared" ca="1" si="86"/>
        <v>Nunavut</v>
      </c>
      <c r="P239">
        <f t="shared" ca="1" si="92"/>
        <v>403965</v>
      </c>
      <c r="Q239">
        <f t="shared" ca="1" si="87"/>
        <v>319271.50119205366</v>
      </c>
      <c r="R239">
        <f t="shared" ca="1" si="74"/>
        <v>18136.825551371854</v>
      </c>
      <c r="S239">
        <f t="shared" ca="1" si="88"/>
        <v>7342</v>
      </c>
      <c r="T239">
        <f t="shared" ca="1" si="93"/>
        <v>120852.9337029295</v>
      </c>
      <c r="U239">
        <f t="shared" ca="1" si="94"/>
        <v>1874.0875470251635</v>
      </c>
      <c r="V239">
        <f t="shared" ca="1" si="95"/>
        <v>423975.91309839702</v>
      </c>
      <c r="W239">
        <f t="shared" ca="1" si="96"/>
        <v>447466.43489498319</v>
      </c>
      <c r="Z239" s="4">
        <f t="shared" ca="1" si="89"/>
        <v>0</v>
      </c>
      <c r="AA239">
        <f t="shared" ca="1" si="90"/>
        <v>1</v>
      </c>
      <c r="AC239" s="5"/>
      <c r="AX239" s="10">
        <f ca="1">Table1[[#This Row],[Car Value]]/Table1[[#This Row],[No. of Vehicles]]</f>
        <v>18136.825551371854</v>
      </c>
      <c r="AZ239">
        <f ca="1">IF(Table1[[#This Row],[Debts]]&gt;$BA$3,1,0)</f>
        <v>1</v>
      </c>
      <c r="BC239" s="12">
        <f ca="1">Table1[[#This Row],[Mortage left]]/Table1[[#This Row],[Value of The House]]</f>
        <v>0.79034446348583087</v>
      </c>
      <c r="BD239" s="4">
        <f t="shared" ca="1" si="91"/>
        <v>0</v>
      </c>
      <c r="BE239" s="5"/>
    </row>
    <row r="240" spans="4:57" x14ac:dyDescent="0.3">
      <c r="D240">
        <f t="shared" ca="1" si="75"/>
        <v>2</v>
      </c>
      <c r="E240" t="str">
        <f t="shared" ca="1" si="76"/>
        <v>Female</v>
      </c>
      <c r="F240">
        <f t="shared" ca="1" si="77"/>
        <v>36</v>
      </c>
      <c r="G240">
        <f t="shared" ca="1" si="78"/>
        <v>6</v>
      </c>
      <c r="H240" t="str">
        <f t="shared" ca="1" si="79"/>
        <v>General Work</v>
      </c>
      <c r="I240">
        <f t="shared" ca="1" si="80"/>
        <v>1</v>
      </c>
      <c r="J240" t="str">
        <f t="shared" ca="1" si="81"/>
        <v>High School</v>
      </c>
      <c r="K240">
        <f t="shared" ca="1" si="82"/>
        <v>4</v>
      </c>
      <c r="L240">
        <f t="shared" ca="1" si="83"/>
        <v>1</v>
      </c>
      <c r="M240">
        <f t="shared" ca="1" si="84"/>
        <v>77547</v>
      </c>
      <c r="N240">
        <f t="shared" ca="1" si="85"/>
        <v>2</v>
      </c>
      <c r="O240" t="str">
        <f t="shared" ca="1" si="86"/>
        <v>BC</v>
      </c>
      <c r="P240">
        <f t="shared" ca="1" si="92"/>
        <v>465282</v>
      </c>
      <c r="Q240">
        <f t="shared" ca="1" si="87"/>
        <v>55370.985723186946</v>
      </c>
      <c r="R240">
        <f t="shared" ca="1" si="74"/>
        <v>904.25219355009187</v>
      </c>
      <c r="S240">
        <f t="shared" ca="1" si="88"/>
        <v>503</v>
      </c>
      <c r="T240">
        <f t="shared" ca="1" si="93"/>
        <v>63254.536376393757</v>
      </c>
      <c r="U240">
        <f t="shared" ca="1" si="94"/>
        <v>73845.730900420298</v>
      </c>
      <c r="V240">
        <f t="shared" ca="1" si="95"/>
        <v>540031.98309397046</v>
      </c>
      <c r="W240">
        <f t="shared" ca="1" si="96"/>
        <v>119128.5220995807</v>
      </c>
      <c r="Z240" s="4">
        <f t="shared" ca="1" si="89"/>
        <v>0</v>
      </c>
      <c r="AA240">
        <f t="shared" ca="1" si="90"/>
        <v>1</v>
      </c>
      <c r="AC240" s="5"/>
      <c r="AX240" s="10">
        <f ca="1">Table1[[#This Row],[Car Value]]/Table1[[#This Row],[No. of Vehicles]]</f>
        <v>904.25219355009187</v>
      </c>
      <c r="AZ240">
        <f ca="1">IF(Table1[[#This Row],[Debts]]&gt;$BA$3,1,0)</f>
        <v>1</v>
      </c>
      <c r="BC240" s="12">
        <f ca="1">Table1[[#This Row],[Mortage left]]/Table1[[#This Row],[Value of The House]]</f>
        <v>0.11900521774576912</v>
      </c>
      <c r="BD240" s="4">
        <f t="shared" ca="1" si="91"/>
        <v>1</v>
      </c>
      <c r="BE240" s="5"/>
    </row>
    <row r="241" spans="4:57" x14ac:dyDescent="0.3">
      <c r="D241">
        <f t="shared" ca="1" si="75"/>
        <v>2</v>
      </c>
      <c r="E241" t="str">
        <f t="shared" ca="1" si="76"/>
        <v>Female</v>
      </c>
      <c r="F241">
        <f t="shared" ca="1" si="77"/>
        <v>29</v>
      </c>
      <c r="G241">
        <f t="shared" ca="1" si="78"/>
        <v>4</v>
      </c>
      <c r="H241" t="str">
        <f t="shared" ca="1" si="79"/>
        <v>IT</v>
      </c>
      <c r="I241">
        <f t="shared" ca="1" si="80"/>
        <v>3</v>
      </c>
      <c r="J241" t="str">
        <f t="shared" ca="1" si="81"/>
        <v>University</v>
      </c>
      <c r="K241">
        <f t="shared" ca="1" si="82"/>
        <v>3</v>
      </c>
      <c r="L241">
        <f t="shared" ca="1" si="83"/>
        <v>1</v>
      </c>
      <c r="M241">
        <f t="shared" ca="1" si="84"/>
        <v>26571</v>
      </c>
      <c r="N241">
        <f t="shared" ca="1" si="85"/>
        <v>12</v>
      </c>
      <c r="O241" t="str">
        <f t="shared" ca="1" si="86"/>
        <v>Nova scotia</v>
      </c>
      <c r="P241">
        <f t="shared" ca="1" si="92"/>
        <v>159426</v>
      </c>
      <c r="Q241">
        <f t="shared" ca="1" si="87"/>
        <v>120341.39525891197</v>
      </c>
      <c r="R241">
        <f t="shared" ca="1" si="74"/>
        <v>11580.173947339345</v>
      </c>
      <c r="S241">
        <f t="shared" ca="1" si="88"/>
        <v>6820</v>
      </c>
      <c r="T241">
        <f t="shared" ca="1" si="93"/>
        <v>20735.073664632266</v>
      </c>
      <c r="U241">
        <f t="shared" ca="1" si="94"/>
        <v>17448.473298579771</v>
      </c>
      <c r="V241">
        <f t="shared" ca="1" si="95"/>
        <v>188454.64724591913</v>
      </c>
      <c r="W241">
        <f t="shared" ca="1" si="96"/>
        <v>147896.46892354425</v>
      </c>
      <c r="Z241" s="4">
        <f t="shared" ca="1" si="89"/>
        <v>0</v>
      </c>
      <c r="AA241">
        <f t="shared" ca="1" si="90"/>
        <v>1</v>
      </c>
      <c r="AC241" s="5"/>
      <c r="AX241" s="10">
        <f ca="1">Table1[[#This Row],[Car Value]]/Table1[[#This Row],[No. of Vehicles]]</f>
        <v>11580.173947339345</v>
      </c>
      <c r="AZ241">
        <f ca="1">IF(Table1[[#This Row],[Debts]]&gt;$BA$3,1,0)</f>
        <v>1</v>
      </c>
      <c r="BC241" s="12">
        <f ca="1">Table1[[#This Row],[Mortage left]]/Table1[[#This Row],[Value of The House]]</f>
        <v>0.75484171502083708</v>
      </c>
      <c r="BD241" s="4">
        <f t="shared" ca="1" si="91"/>
        <v>0</v>
      </c>
      <c r="BE241" s="5"/>
    </row>
    <row r="242" spans="4:57" x14ac:dyDescent="0.3">
      <c r="D242">
        <f t="shared" ca="1" si="75"/>
        <v>2</v>
      </c>
      <c r="E242" t="str">
        <f t="shared" ca="1" si="76"/>
        <v>Female</v>
      </c>
      <c r="F242">
        <f t="shared" ca="1" si="77"/>
        <v>42</v>
      </c>
      <c r="G242">
        <f t="shared" ca="1" si="78"/>
        <v>6</v>
      </c>
      <c r="H242" t="str">
        <f t="shared" ca="1" si="79"/>
        <v>General Work</v>
      </c>
      <c r="I242">
        <f t="shared" ca="1" si="80"/>
        <v>4</v>
      </c>
      <c r="J242" t="str">
        <f t="shared" ca="1" si="81"/>
        <v>Technical</v>
      </c>
      <c r="K242">
        <f t="shared" ca="1" si="82"/>
        <v>2</v>
      </c>
      <c r="L242">
        <f t="shared" ca="1" si="83"/>
        <v>2</v>
      </c>
      <c r="M242">
        <f t="shared" ca="1" si="84"/>
        <v>65695</v>
      </c>
      <c r="N242">
        <f t="shared" ca="1" si="85"/>
        <v>9</v>
      </c>
      <c r="O242" t="str">
        <f t="shared" ca="1" si="86"/>
        <v>Quebec</v>
      </c>
      <c r="P242">
        <f t="shared" ca="1" si="92"/>
        <v>328475</v>
      </c>
      <c r="Q242">
        <f t="shared" ca="1" si="87"/>
        <v>233057.91163288627</v>
      </c>
      <c r="R242">
        <f t="shared" ca="1" si="74"/>
        <v>19129.855825079503</v>
      </c>
      <c r="S242">
        <f t="shared" ca="1" si="88"/>
        <v>9839</v>
      </c>
      <c r="T242">
        <f t="shared" ca="1" si="93"/>
        <v>72505.243726756409</v>
      </c>
      <c r="U242">
        <f t="shared" ca="1" si="94"/>
        <v>83354.985507780977</v>
      </c>
      <c r="V242">
        <f t="shared" ca="1" si="95"/>
        <v>430959.84133286047</v>
      </c>
      <c r="W242">
        <f t="shared" ca="1" si="96"/>
        <v>315402.1553596427</v>
      </c>
      <c r="Z242" s="4">
        <f t="shared" ca="1" si="89"/>
        <v>0</v>
      </c>
      <c r="AA242">
        <f t="shared" ca="1" si="90"/>
        <v>1</v>
      </c>
      <c r="AC242" s="5"/>
      <c r="AX242" s="10">
        <f ca="1">Table1[[#This Row],[Car Value]]/Table1[[#This Row],[No. of Vehicles]]</f>
        <v>9564.9279125397516</v>
      </c>
      <c r="AZ242">
        <f ca="1">IF(Table1[[#This Row],[Debts]]&gt;$BA$3,1,0)</f>
        <v>1</v>
      </c>
      <c r="BC242" s="12">
        <f ca="1">Table1[[#This Row],[Mortage left]]/Table1[[#This Row],[Value of The House]]</f>
        <v>0.70951491478160067</v>
      </c>
      <c r="BD242" s="4">
        <f t="shared" ca="1" si="91"/>
        <v>0</v>
      </c>
      <c r="BE242" s="5"/>
    </row>
    <row r="243" spans="4:57" x14ac:dyDescent="0.3">
      <c r="D243">
        <f t="shared" ca="1" si="75"/>
        <v>2</v>
      </c>
      <c r="E243" t="str">
        <f t="shared" ca="1" si="76"/>
        <v>Female</v>
      </c>
      <c r="F243">
        <f t="shared" ca="1" si="77"/>
        <v>26</v>
      </c>
      <c r="G243">
        <f t="shared" ca="1" si="78"/>
        <v>4</v>
      </c>
      <c r="H243" t="str">
        <f t="shared" ca="1" si="79"/>
        <v>IT</v>
      </c>
      <c r="I243">
        <f t="shared" ca="1" si="80"/>
        <v>3</v>
      </c>
      <c r="J243" t="str">
        <f t="shared" ca="1" si="81"/>
        <v>University</v>
      </c>
      <c r="K243">
        <f t="shared" ca="1" si="82"/>
        <v>2</v>
      </c>
      <c r="L243">
        <f t="shared" ca="1" si="83"/>
        <v>2</v>
      </c>
      <c r="M243">
        <f t="shared" ca="1" si="84"/>
        <v>44152</v>
      </c>
      <c r="N243">
        <f t="shared" ca="1" si="85"/>
        <v>10</v>
      </c>
      <c r="O243" t="str">
        <f t="shared" ca="1" si="86"/>
        <v>Newfouland</v>
      </c>
      <c r="P243">
        <f t="shared" ca="1" si="92"/>
        <v>264912</v>
      </c>
      <c r="Q243">
        <f t="shared" ca="1" si="87"/>
        <v>68565.224800509444</v>
      </c>
      <c r="R243">
        <f t="shared" ca="1" si="74"/>
        <v>22193.327041565852</v>
      </c>
      <c r="S243">
        <f t="shared" ca="1" si="88"/>
        <v>11309</v>
      </c>
      <c r="T243">
        <f t="shared" ca="1" si="93"/>
        <v>25246.400360616666</v>
      </c>
      <c r="U243">
        <f t="shared" ca="1" si="94"/>
        <v>10272.065018143325</v>
      </c>
      <c r="V243">
        <f t="shared" ca="1" si="95"/>
        <v>297377.39205970918</v>
      </c>
      <c r="W243">
        <f t="shared" ca="1" si="96"/>
        <v>105120.62516112611</v>
      </c>
      <c r="Z243" s="4">
        <f t="shared" ca="1" si="89"/>
        <v>0</v>
      </c>
      <c r="AA243">
        <f t="shared" ca="1" si="90"/>
        <v>1</v>
      </c>
      <c r="AC243" s="5"/>
      <c r="AX243" s="10">
        <f ca="1">Table1[[#This Row],[Car Value]]/Table1[[#This Row],[No. of Vehicles]]</f>
        <v>11096.663520782926</v>
      </c>
      <c r="AZ243">
        <f ca="1">IF(Table1[[#This Row],[Debts]]&gt;$BA$3,1,0)</f>
        <v>1</v>
      </c>
      <c r="BC243" s="12">
        <f ca="1">Table1[[#This Row],[Mortage left]]/Table1[[#This Row],[Value of The House]]</f>
        <v>0.2588226460126738</v>
      </c>
      <c r="BD243" s="4">
        <f t="shared" ca="1" si="91"/>
        <v>0</v>
      </c>
      <c r="BE243" s="5"/>
    </row>
    <row r="244" spans="4:57" x14ac:dyDescent="0.3">
      <c r="D244">
        <f t="shared" ca="1" si="75"/>
        <v>2</v>
      </c>
      <c r="E244" t="str">
        <f t="shared" ca="1" si="76"/>
        <v>Female</v>
      </c>
      <c r="F244">
        <f t="shared" ca="1" si="77"/>
        <v>28</v>
      </c>
      <c r="G244">
        <f t="shared" ca="1" si="78"/>
        <v>2</v>
      </c>
      <c r="H244" t="str">
        <f t="shared" ca="1" si="79"/>
        <v>Construction</v>
      </c>
      <c r="I244">
        <f t="shared" ca="1" si="80"/>
        <v>4</v>
      </c>
      <c r="J244" t="str">
        <f t="shared" ca="1" si="81"/>
        <v>Technical</v>
      </c>
      <c r="K244">
        <f t="shared" ca="1" si="82"/>
        <v>1</v>
      </c>
      <c r="L244">
        <f t="shared" ca="1" si="83"/>
        <v>2</v>
      </c>
      <c r="M244">
        <f t="shared" ca="1" si="84"/>
        <v>43509</v>
      </c>
      <c r="N244">
        <f t="shared" ca="1" si="85"/>
        <v>12</v>
      </c>
      <c r="O244" t="str">
        <f t="shared" ca="1" si="86"/>
        <v>Nova scotia</v>
      </c>
      <c r="P244">
        <f t="shared" ca="1" si="92"/>
        <v>174036</v>
      </c>
      <c r="Q244">
        <f t="shared" ca="1" si="87"/>
        <v>141249.15237417945</v>
      </c>
      <c r="R244">
        <f t="shared" ca="1" si="74"/>
        <v>12212.714723531091</v>
      </c>
      <c r="S244">
        <f t="shared" ca="1" si="88"/>
        <v>7552</v>
      </c>
      <c r="T244">
        <f t="shared" ca="1" si="93"/>
        <v>10899.193303376462</v>
      </c>
      <c r="U244">
        <f t="shared" ca="1" si="94"/>
        <v>23779.812179257922</v>
      </c>
      <c r="V244">
        <f t="shared" ca="1" si="95"/>
        <v>210028.52690278902</v>
      </c>
      <c r="W244">
        <f t="shared" ca="1" si="96"/>
        <v>159700.34567755592</v>
      </c>
      <c r="Z244" s="4">
        <f t="shared" ca="1" si="89"/>
        <v>0</v>
      </c>
      <c r="AA244">
        <f t="shared" ca="1" si="90"/>
        <v>1</v>
      </c>
      <c r="AC244" s="5"/>
      <c r="AX244" s="10">
        <f ca="1">Table1[[#This Row],[Car Value]]/Table1[[#This Row],[No. of Vehicles]]</f>
        <v>6106.3573617655456</v>
      </c>
      <c r="AZ244">
        <f ca="1">IF(Table1[[#This Row],[Debts]]&gt;$BA$3,1,0)</f>
        <v>0</v>
      </c>
      <c r="BC244" s="12">
        <f ca="1">Table1[[#This Row],[Mortage left]]/Table1[[#This Row],[Value of The House]]</f>
        <v>0.8116088187166991</v>
      </c>
      <c r="BD244" s="4">
        <f t="shared" ca="1" si="91"/>
        <v>0</v>
      </c>
      <c r="BE244" s="5"/>
    </row>
    <row r="245" spans="4:57" x14ac:dyDescent="0.3">
      <c r="D245">
        <f t="shared" ca="1" si="75"/>
        <v>2</v>
      </c>
      <c r="E245" t="str">
        <f t="shared" ca="1" si="76"/>
        <v>Female</v>
      </c>
      <c r="F245">
        <f t="shared" ca="1" si="77"/>
        <v>30</v>
      </c>
      <c r="G245">
        <f t="shared" ca="1" si="78"/>
        <v>1</v>
      </c>
      <c r="H245" t="str">
        <f t="shared" ca="1" si="79"/>
        <v>Health</v>
      </c>
      <c r="I245">
        <f t="shared" ca="1" si="80"/>
        <v>4</v>
      </c>
      <c r="J245" t="str">
        <f t="shared" ca="1" si="81"/>
        <v>Technical</v>
      </c>
      <c r="K245">
        <f t="shared" ca="1" si="82"/>
        <v>2</v>
      </c>
      <c r="L245">
        <f t="shared" ca="1" si="83"/>
        <v>2</v>
      </c>
      <c r="M245">
        <f t="shared" ca="1" si="84"/>
        <v>38785</v>
      </c>
      <c r="N245">
        <f t="shared" ca="1" si="85"/>
        <v>11</v>
      </c>
      <c r="O245" t="str">
        <f t="shared" ca="1" si="86"/>
        <v>New bruncwick</v>
      </c>
      <c r="P245">
        <f t="shared" ca="1" si="92"/>
        <v>232710</v>
      </c>
      <c r="Q245">
        <f t="shared" ca="1" si="87"/>
        <v>52689.95913068395</v>
      </c>
      <c r="R245">
        <f t="shared" ca="1" si="74"/>
        <v>74078.846742793525</v>
      </c>
      <c r="S245">
        <f t="shared" ca="1" si="88"/>
        <v>63147</v>
      </c>
      <c r="T245">
        <f t="shared" ca="1" si="93"/>
        <v>53173.170471166864</v>
      </c>
      <c r="U245">
        <f t="shared" ca="1" si="94"/>
        <v>41388.93062774236</v>
      </c>
      <c r="V245">
        <f t="shared" ca="1" si="95"/>
        <v>348177.77737053588</v>
      </c>
      <c r="W245">
        <f t="shared" ca="1" si="96"/>
        <v>169010.12960185081</v>
      </c>
      <c r="Z245" s="4">
        <f t="shared" ca="1" si="89"/>
        <v>0</v>
      </c>
      <c r="AA245">
        <f t="shared" ca="1" si="90"/>
        <v>1</v>
      </c>
      <c r="AC245" s="5"/>
      <c r="AX245" s="10">
        <f ca="1">Table1[[#This Row],[Car Value]]/Table1[[#This Row],[No. of Vehicles]]</f>
        <v>37039.423371396762</v>
      </c>
      <c r="AZ245">
        <f ca="1">IF(Table1[[#This Row],[Debts]]&gt;$BA$3,1,0)</f>
        <v>1</v>
      </c>
      <c r="BC245" s="12">
        <f ca="1">Table1[[#This Row],[Mortage left]]/Table1[[#This Row],[Value of The House]]</f>
        <v>0.22641897267278566</v>
      </c>
      <c r="BD245" s="4">
        <f t="shared" ca="1" si="91"/>
        <v>0</v>
      </c>
      <c r="BE245" s="5"/>
    </row>
    <row r="246" spans="4:57" x14ac:dyDescent="0.3">
      <c r="D246">
        <f t="shared" ca="1" si="75"/>
        <v>1</v>
      </c>
      <c r="E246" t="str">
        <f t="shared" ca="1" si="76"/>
        <v>Male</v>
      </c>
      <c r="F246">
        <f t="shared" ca="1" si="77"/>
        <v>33</v>
      </c>
      <c r="G246">
        <f t="shared" ca="1" si="78"/>
        <v>3</v>
      </c>
      <c r="H246" t="str">
        <f t="shared" ca="1" si="79"/>
        <v>Teaching</v>
      </c>
      <c r="I246">
        <f t="shared" ca="1" si="80"/>
        <v>1</v>
      </c>
      <c r="J246" t="str">
        <f t="shared" ca="1" si="81"/>
        <v>High School</v>
      </c>
      <c r="K246">
        <f t="shared" ca="1" si="82"/>
        <v>2</v>
      </c>
      <c r="L246">
        <f t="shared" ca="1" si="83"/>
        <v>2</v>
      </c>
      <c r="M246">
        <f t="shared" ca="1" si="84"/>
        <v>85668</v>
      </c>
      <c r="N246">
        <f t="shared" ca="1" si="85"/>
        <v>6</v>
      </c>
      <c r="O246" t="str">
        <f t="shared" ca="1" si="86"/>
        <v>Saskatchewan</v>
      </c>
      <c r="P246">
        <f t="shared" ca="1" si="92"/>
        <v>514008</v>
      </c>
      <c r="Q246">
        <f t="shared" ca="1" si="87"/>
        <v>42642.463784609252</v>
      </c>
      <c r="R246">
        <f t="shared" ca="1" si="74"/>
        <v>110320.47362981895</v>
      </c>
      <c r="S246">
        <f t="shared" ca="1" si="88"/>
        <v>87566</v>
      </c>
      <c r="T246">
        <f t="shared" ca="1" si="93"/>
        <v>107283.48253842336</v>
      </c>
      <c r="U246">
        <f t="shared" ca="1" si="94"/>
        <v>69426.98847698106</v>
      </c>
      <c r="V246">
        <f t="shared" ca="1" si="95"/>
        <v>693755.46210680006</v>
      </c>
      <c r="W246">
        <f t="shared" ca="1" si="96"/>
        <v>237491.94632303261</v>
      </c>
      <c r="Z246" s="4">
        <f t="shared" ca="1" si="89"/>
        <v>1</v>
      </c>
      <c r="AA246">
        <f t="shared" ca="1" si="90"/>
        <v>0</v>
      </c>
      <c r="AC246" s="5"/>
      <c r="AX246" s="10">
        <f ca="1">Table1[[#This Row],[Car Value]]/Table1[[#This Row],[No. of Vehicles]]</f>
        <v>55160.236814909476</v>
      </c>
      <c r="AZ246">
        <f ca="1">IF(Table1[[#This Row],[Debts]]&gt;$BA$3,1,0)</f>
        <v>1</v>
      </c>
      <c r="BC246" s="12">
        <f ca="1">Table1[[#This Row],[Mortage left]]/Table1[[#This Row],[Value of The House]]</f>
        <v>8.2960700581721003E-2</v>
      </c>
      <c r="BD246" s="4">
        <f t="shared" ca="1" si="91"/>
        <v>1</v>
      </c>
      <c r="BE246" s="5"/>
    </row>
    <row r="247" spans="4:57" x14ac:dyDescent="0.3">
      <c r="D247">
        <f t="shared" ca="1" si="75"/>
        <v>1</v>
      </c>
      <c r="E247" t="str">
        <f t="shared" ca="1" si="76"/>
        <v>Male</v>
      </c>
      <c r="F247">
        <f t="shared" ca="1" si="77"/>
        <v>30</v>
      </c>
      <c r="G247">
        <f t="shared" ca="1" si="78"/>
        <v>6</v>
      </c>
      <c r="H247" t="str">
        <f t="shared" ca="1" si="79"/>
        <v>General Work</v>
      </c>
      <c r="I247">
        <f t="shared" ca="1" si="80"/>
        <v>4</v>
      </c>
      <c r="J247" t="str">
        <f t="shared" ca="1" si="81"/>
        <v>Technical</v>
      </c>
      <c r="K247">
        <f t="shared" ca="1" si="82"/>
        <v>4</v>
      </c>
      <c r="L247">
        <f t="shared" ca="1" si="83"/>
        <v>2</v>
      </c>
      <c r="M247">
        <f t="shared" ca="1" si="84"/>
        <v>65066</v>
      </c>
      <c r="N247">
        <f t="shared" ca="1" si="85"/>
        <v>6</v>
      </c>
      <c r="O247" t="str">
        <f t="shared" ca="1" si="86"/>
        <v>Saskatchewan</v>
      </c>
      <c r="P247">
        <f t="shared" ca="1" si="92"/>
        <v>390396</v>
      </c>
      <c r="Q247">
        <f t="shared" ca="1" si="87"/>
        <v>370861.80348821648</v>
      </c>
      <c r="R247">
        <f t="shared" ca="1" si="74"/>
        <v>66595.545029781293</v>
      </c>
      <c r="S247">
        <f t="shared" ca="1" si="88"/>
        <v>15274</v>
      </c>
      <c r="T247">
        <f t="shared" ca="1" si="93"/>
        <v>128394.20249068314</v>
      </c>
      <c r="U247">
        <f t="shared" ca="1" si="94"/>
        <v>89929.658277961935</v>
      </c>
      <c r="V247">
        <f t="shared" ca="1" si="95"/>
        <v>546921.20330774318</v>
      </c>
      <c r="W247">
        <f t="shared" ca="1" si="96"/>
        <v>514530.0059788996</v>
      </c>
      <c r="Z247" s="4">
        <f t="shared" ca="1" si="89"/>
        <v>1</v>
      </c>
      <c r="AA247">
        <f t="shared" ca="1" si="90"/>
        <v>0</v>
      </c>
      <c r="AC247" s="5"/>
      <c r="AX247" s="10">
        <f ca="1">Table1[[#This Row],[Car Value]]/Table1[[#This Row],[No. of Vehicles]]</f>
        <v>33297.772514890647</v>
      </c>
      <c r="AZ247">
        <f ca="1">IF(Table1[[#This Row],[Debts]]&gt;$BA$3,1,0)</f>
        <v>1</v>
      </c>
      <c r="BC247" s="12">
        <f ca="1">Table1[[#This Row],[Mortage left]]/Table1[[#This Row],[Value of The House]]</f>
        <v>0.94996312331124422</v>
      </c>
      <c r="BD247" s="4">
        <f t="shared" ca="1" si="91"/>
        <v>0</v>
      </c>
      <c r="BE247" s="5"/>
    </row>
    <row r="248" spans="4:57" x14ac:dyDescent="0.3">
      <c r="D248">
        <f t="shared" ca="1" si="75"/>
        <v>1</v>
      </c>
      <c r="E248" t="str">
        <f t="shared" ca="1" si="76"/>
        <v>Male</v>
      </c>
      <c r="F248">
        <f t="shared" ca="1" si="77"/>
        <v>26</v>
      </c>
      <c r="G248">
        <f t="shared" ca="1" si="78"/>
        <v>3</v>
      </c>
      <c r="H248" t="str">
        <f t="shared" ca="1" si="79"/>
        <v>Teaching</v>
      </c>
      <c r="I248">
        <f t="shared" ca="1" si="80"/>
        <v>3</v>
      </c>
      <c r="J248" t="str">
        <f t="shared" ca="1" si="81"/>
        <v>University</v>
      </c>
      <c r="K248">
        <f t="shared" ca="1" si="82"/>
        <v>0</v>
      </c>
      <c r="L248">
        <f t="shared" ca="1" si="83"/>
        <v>1</v>
      </c>
      <c r="M248">
        <f t="shared" ca="1" si="84"/>
        <v>87985</v>
      </c>
      <c r="N248">
        <f t="shared" ca="1" si="85"/>
        <v>3</v>
      </c>
      <c r="O248" t="str">
        <f t="shared" ca="1" si="86"/>
        <v>Northwest Ter</v>
      </c>
      <c r="P248">
        <f t="shared" ca="1" si="92"/>
        <v>527910</v>
      </c>
      <c r="Q248">
        <f t="shared" ca="1" si="87"/>
        <v>478358.06002280413</v>
      </c>
      <c r="R248">
        <f t="shared" ca="1" si="74"/>
        <v>38511.692860912553</v>
      </c>
      <c r="S248">
        <f t="shared" ca="1" si="88"/>
        <v>4282</v>
      </c>
      <c r="T248">
        <f t="shared" ca="1" si="93"/>
        <v>24556.028864191558</v>
      </c>
      <c r="U248">
        <f t="shared" ca="1" si="94"/>
        <v>37040.042845519347</v>
      </c>
      <c r="V248">
        <f t="shared" ca="1" si="95"/>
        <v>603461.73570643191</v>
      </c>
      <c r="W248">
        <f t="shared" ca="1" si="96"/>
        <v>507196.08888699568</v>
      </c>
      <c r="Z248" s="4">
        <f t="shared" ca="1" si="89"/>
        <v>1</v>
      </c>
      <c r="AA248">
        <f t="shared" ca="1" si="90"/>
        <v>0</v>
      </c>
      <c r="AC248" s="5"/>
      <c r="AX248" s="10">
        <f ca="1">Table1[[#This Row],[Car Value]]/Table1[[#This Row],[No. of Vehicles]]</f>
        <v>38511.692860912553</v>
      </c>
      <c r="AZ248">
        <f ca="1">IF(Table1[[#This Row],[Debts]]&gt;$BA$3,1,0)</f>
        <v>1</v>
      </c>
      <c r="BC248" s="12">
        <f ca="1">Table1[[#This Row],[Mortage left]]/Table1[[#This Row],[Value of The House]]</f>
        <v>0.9061356292224132</v>
      </c>
      <c r="BD248" s="4">
        <f t="shared" ca="1" si="91"/>
        <v>0</v>
      </c>
      <c r="BE248" s="5"/>
    </row>
    <row r="249" spans="4:57" x14ac:dyDescent="0.3">
      <c r="D249">
        <f t="shared" ca="1" si="75"/>
        <v>2</v>
      </c>
      <c r="E249" t="str">
        <f t="shared" ca="1" si="76"/>
        <v>Female</v>
      </c>
      <c r="F249">
        <f t="shared" ca="1" si="77"/>
        <v>41</v>
      </c>
      <c r="G249">
        <f t="shared" ca="1" si="78"/>
        <v>4</v>
      </c>
      <c r="H249" t="str">
        <f t="shared" ca="1" si="79"/>
        <v>IT</v>
      </c>
      <c r="I249">
        <f t="shared" ca="1" si="80"/>
        <v>2</v>
      </c>
      <c r="J249" t="str">
        <f t="shared" ca="1" si="81"/>
        <v>College</v>
      </c>
      <c r="K249">
        <f t="shared" ca="1" si="82"/>
        <v>4</v>
      </c>
      <c r="L249">
        <f t="shared" ca="1" si="83"/>
        <v>2</v>
      </c>
      <c r="M249">
        <f t="shared" ca="1" si="84"/>
        <v>87454</v>
      </c>
      <c r="N249">
        <f t="shared" ca="1" si="85"/>
        <v>2</v>
      </c>
      <c r="O249" t="str">
        <f t="shared" ca="1" si="86"/>
        <v>BC</v>
      </c>
      <c r="P249">
        <f t="shared" ca="1" si="92"/>
        <v>349816</v>
      </c>
      <c r="Q249">
        <f t="shared" ca="1" si="87"/>
        <v>141877.61653123528</v>
      </c>
      <c r="R249">
        <f t="shared" ca="1" si="74"/>
        <v>75360.763581791238</v>
      </c>
      <c r="S249">
        <f t="shared" ca="1" si="88"/>
        <v>54310</v>
      </c>
      <c r="T249">
        <f t="shared" ca="1" si="93"/>
        <v>60717.080654199162</v>
      </c>
      <c r="U249">
        <f t="shared" ca="1" si="94"/>
        <v>105012.90961488616</v>
      </c>
      <c r="V249">
        <f t="shared" ca="1" si="95"/>
        <v>530189.67319667735</v>
      </c>
      <c r="W249">
        <f t="shared" ca="1" si="96"/>
        <v>256904.69718543446</v>
      </c>
      <c r="Z249" s="4">
        <f t="shared" ca="1" si="89"/>
        <v>0</v>
      </c>
      <c r="AA249">
        <f t="shared" ca="1" si="90"/>
        <v>1</v>
      </c>
      <c r="AC249" s="5"/>
      <c r="AX249" s="10">
        <f ca="1">Table1[[#This Row],[Car Value]]/Table1[[#This Row],[No. of Vehicles]]</f>
        <v>37680.381790895619</v>
      </c>
      <c r="AZ249">
        <f ca="1">IF(Table1[[#This Row],[Debts]]&gt;$BA$3,1,0)</f>
        <v>1</v>
      </c>
      <c r="BC249" s="12">
        <f ca="1">Table1[[#This Row],[Mortage left]]/Table1[[#This Row],[Value of The House]]</f>
        <v>0.4055778367234068</v>
      </c>
      <c r="BD249" s="4">
        <f t="shared" ca="1" si="91"/>
        <v>0</v>
      </c>
      <c r="BE249" s="5"/>
    </row>
    <row r="250" spans="4:57" x14ac:dyDescent="0.3">
      <c r="D250">
        <f t="shared" ca="1" si="75"/>
        <v>2</v>
      </c>
      <c r="E250" t="str">
        <f t="shared" ca="1" si="76"/>
        <v>Female</v>
      </c>
      <c r="F250">
        <f t="shared" ca="1" si="77"/>
        <v>33</v>
      </c>
      <c r="G250">
        <f t="shared" ca="1" si="78"/>
        <v>5</v>
      </c>
      <c r="H250" t="str">
        <f t="shared" ca="1" si="79"/>
        <v>Agriculture</v>
      </c>
      <c r="I250">
        <f t="shared" ca="1" si="80"/>
        <v>2</v>
      </c>
      <c r="J250" t="str">
        <f t="shared" ca="1" si="81"/>
        <v>College</v>
      </c>
      <c r="K250">
        <f t="shared" ca="1" si="82"/>
        <v>2</v>
      </c>
      <c r="L250">
        <f t="shared" ca="1" si="83"/>
        <v>2</v>
      </c>
      <c r="M250">
        <f t="shared" ca="1" si="84"/>
        <v>89208</v>
      </c>
      <c r="N250">
        <f t="shared" ca="1" si="85"/>
        <v>2</v>
      </c>
      <c r="O250" t="str">
        <f t="shared" ca="1" si="86"/>
        <v>BC</v>
      </c>
      <c r="P250">
        <f t="shared" ca="1" si="92"/>
        <v>356832</v>
      </c>
      <c r="Q250">
        <f t="shared" ca="1" si="87"/>
        <v>145677.73662040287</v>
      </c>
      <c r="R250">
        <f t="shared" ca="1" si="74"/>
        <v>39541.226702305845</v>
      </c>
      <c r="S250">
        <f t="shared" ca="1" si="88"/>
        <v>18517</v>
      </c>
      <c r="T250">
        <f t="shared" ca="1" si="93"/>
        <v>81080.515244233698</v>
      </c>
      <c r="U250">
        <f t="shared" ca="1" si="94"/>
        <v>86987.032615392221</v>
      </c>
      <c r="V250">
        <f t="shared" ca="1" si="95"/>
        <v>483360.25931769807</v>
      </c>
      <c r="W250">
        <f t="shared" ca="1" si="96"/>
        <v>245275.25186463655</v>
      </c>
      <c r="Z250" s="4">
        <f t="shared" ca="1" si="89"/>
        <v>0</v>
      </c>
      <c r="AA250">
        <f t="shared" ca="1" si="90"/>
        <v>1</v>
      </c>
      <c r="AC250" s="5"/>
      <c r="AX250" s="10">
        <f ca="1">Table1[[#This Row],[Car Value]]/Table1[[#This Row],[No. of Vehicles]]</f>
        <v>19770.613351152922</v>
      </c>
      <c r="AZ250">
        <f ca="1">IF(Table1[[#This Row],[Debts]]&gt;$BA$3,1,0)</f>
        <v>1</v>
      </c>
      <c r="BC250" s="12">
        <f ca="1">Table1[[#This Row],[Mortage left]]/Table1[[#This Row],[Value of The House]]</f>
        <v>0.40825300595350994</v>
      </c>
      <c r="BD250" s="4">
        <f t="shared" ca="1" si="91"/>
        <v>0</v>
      </c>
      <c r="BE250" s="5"/>
    </row>
    <row r="251" spans="4:57" x14ac:dyDescent="0.3">
      <c r="D251">
        <f t="shared" ca="1" si="75"/>
        <v>2</v>
      </c>
      <c r="E251" t="str">
        <f t="shared" ca="1" si="76"/>
        <v>Female</v>
      </c>
      <c r="F251">
        <f t="shared" ca="1" si="77"/>
        <v>27</v>
      </c>
      <c r="G251">
        <f t="shared" ca="1" si="78"/>
        <v>2</v>
      </c>
      <c r="H251" t="str">
        <f t="shared" ca="1" si="79"/>
        <v>Construction</v>
      </c>
      <c r="I251">
        <f t="shared" ca="1" si="80"/>
        <v>5</v>
      </c>
      <c r="J251" t="str">
        <f t="shared" ca="1" si="81"/>
        <v>Other</v>
      </c>
      <c r="K251">
        <f t="shared" ca="1" si="82"/>
        <v>0</v>
      </c>
      <c r="L251">
        <f t="shared" ca="1" si="83"/>
        <v>2</v>
      </c>
      <c r="M251">
        <f t="shared" ca="1" si="84"/>
        <v>50604</v>
      </c>
      <c r="N251">
        <f t="shared" ca="1" si="85"/>
        <v>2</v>
      </c>
      <c r="O251" t="str">
        <f t="shared" ca="1" si="86"/>
        <v>BC</v>
      </c>
      <c r="P251">
        <f t="shared" ca="1" si="92"/>
        <v>253020</v>
      </c>
      <c r="Q251">
        <f t="shared" ca="1" si="87"/>
        <v>122315.11674590762</v>
      </c>
      <c r="R251">
        <f t="shared" ca="1" si="74"/>
        <v>4991.1793866228882</v>
      </c>
      <c r="S251">
        <f t="shared" ca="1" si="88"/>
        <v>1501</v>
      </c>
      <c r="T251">
        <f t="shared" ca="1" si="93"/>
        <v>64555.662257603559</v>
      </c>
      <c r="U251">
        <f t="shared" ca="1" si="94"/>
        <v>68525.398596982966</v>
      </c>
      <c r="V251">
        <f t="shared" ca="1" si="95"/>
        <v>326536.57798360585</v>
      </c>
      <c r="W251">
        <f t="shared" ca="1" si="96"/>
        <v>188371.77900351118</v>
      </c>
      <c r="Z251" s="4">
        <f t="shared" ca="1" si="89"/>
        <v>0</v>
      </c>
      <c r="AA251">
        <f t="shared" ca="1" si="90"/>
        <v>1</v>
      </c>
      <c r="AC251" s="5"/>
      <c r="AX251" s="10">
        <f ca="1">Table1[[#This Row],[Car Value]]/Table1[[#This Row],[No. of Vehicles]]</f>
        <v>2495.5896933114441</v>
      </c>
      <c r="AZ251">
        <f ca="1">IF(Table1[[#This Row],[Debts]]&gt;$BA$3,1,0)</f>
        <v>1</v>
      </c>
      <c r="BC251" s="12">
        <f ca="1">Table1[[#This Row],[Mortage left]]/Table1[[#This Row],[Value of The House]]</f>
        <v>0.48342074439138261</v>
      </c>
      <c r="BD251" s="4">
        <f t="shared" ca="1" si="91"/>
        <v>0</v>
      </c>
      <c r="BE251" s="5"/>
    </row>
    <row r="252" spans="4:57" x14ac:dyDescent="0.3">
      <c r="D252">
        <f t="shared" ca="1" si="75"/>
        <v>1</v>
      </c>
      <c r="E252" t="str">
        <f t="shared" ca="1" si="76"/>
        <v>Male</v>
      </c>
      <c r="F252">
        <f t="shared" ca="1" si="77"/>
        <v>27</v>
      </c>
      <c r="G252">
        <f t="shared" ca="1" si="78"/>
        <v>1</v>
      </c>
      <c r="H252" t="str">
        <f t="shared" ca="1" si="79"/>
        <v>Health</v>
      </c>
      <c r="I252">
        <f t="shared" ca="1" si="80"/>
        <v>2</v>
      </c>
      <c r="J252" t="str">
        <f t="shared" ca="1" si="81"/>
        <v>College</v>
      </c>
      <c r="K252">
        <f t="shared" ca="1" si="82"/>
        <v>2</v>
      </c>
      <c r="L252">
        <f t="shared" ca="1" si="83"/>
        <v>1</v>
      </c>
      <c r="M252">
        <f t="shared" ca="1" si="84"/>
        <v>81214</v>
      </c>
      <c r="N252">
        <f t="shared" ca="1" si="85"/>
        <v>13</v>
      </c>
      <c r="O252" t="str">
        <f t="shared" ca="1" si="86"/>
        <v>Prince Edward Islnd</v>
      </c>
      <c r="P252">
        <f t="shared" ca="1" si="92"/>
        <v>406070</v>
      </c>
      <c r="Q252">
        <f t="shared" ca="1" si="87"/>
        <v>78208.96474799831</v>
      </c>
      <c r="R252">
        <f t="shared" ca="1" si="74"/>
        <v>60652.75613689555</v>
      </c>
      <c r="S252">
        <f t="shared" ca="1" si="88"/>
        <v>36144</v>
      </c>
      <c r="T252">
        <f t="shared" ca="1" si="93"/>
        <v>101454.00807766872</v>
      </c>
      <c r="U252">
        <f t="shared" ca="1" si="94"/>
        <v>49531.409781272247</v>
      </c>
      <c r="V252">
        <f t="shared" ca="1" si="95"/>
        <v>516254.1659181678</v>
      </c>
      <c r="W252">
        <f t="shared" ca="1" si="96"/>
        <v>215806.97282566704</v>
      </c>
      <c r="Z252" s="4">
        <f t="shared" ca="1" si="89"/>
        <v>1</v>
      </c>
      <c r="AA252">
        <f t="shared" ca="1" si="90"/>
        <v>0</v>
      </c>
      <c r="AC252" s="5"/>
      <c r="AX252" s="10">
        <f ca="1">Table1[[#This Row],[Car Value]]/Table1[[#This Row],[No. of Vehicles]]</f>
        <v>60652.75613689555</v>
      </c>
      <c r="AZ252">
        <f ca="1">IF(Table1[[#This Row],[Debts]]&gt;$BA$3,1,0)</f>
        <v>1</v>
      </c>
      <c r="BC252" s="12">
        <f ca="1">Table1[[#This Row],[Mortage left]]/Table1[[#This Row],[Value of The House]]</f>
        <v>0.19259971125175046</v>
      </c>
      <c r="BD252" s="4">
        <f t="shared" ca="1" si="91"/>
        <v>1</v>
      </c>
      <c r="BE252" s="5"/>
    </row>
    <row r="253" spans="4:57" x14ac:dyDescent="0.3">
      <c r="D253">
        <f t="shared" ca="1" si="75"/>
        <v>2</v>
      </c>
      <c r="E253" t="str">
        <f t="shared" ca="1" si="76"/>
        <v>Female</v>
      </c>
      <c r="F253">
        <f t="shared" ca="1" si="77"/>
        <v>33</v>
      </c>
      <c r="G253">
        <f t="shared" ca="1" si="78"/>
        <v>1</v>
      </c>
      <c r="H253" t="str">
        <f t="shared" ca="1" si="79"/>
        <v>Health</v>
      </c>
      <c r="I253">
        <f t="shared" ca="1" si="80"/>
        <v>3</v>
      </c>
      <c r="J253" t="str">
        <f t="shared" ca="1" si="81"/>
        <v>University</v>
      </c>
      <c r="K253">
        <f t="shared" ca="1" si="82"/>
        <v>2</v>
      </c>
      <c r="L253">
        <f t="shared" ca="1" si="83"/>
        <v>2</v>
      </c>
      <c r="M253">
        <f t="shared" ca="1" si="84"/>
        <v>87359</v>
      </c>
      <c r="N253">
        <f t="shared" ca="1" si="85"/>
        <v>1</v>
      </c>
      <c r="O253" t="str">
        <f t="shared" ca="1" si="86"/>
        <v>Yukon</v>
      </c>
      <c r="P253">
        <f t="shared" ca="1" si="92"/>
        <v>436795</v>
      </c>
      <c r="Q253">
        <f t="shared" ca="1" si="87"/>
        <v>229501.30239591873</v>
      </c>
      <c r="R253">
        <f t="shared" ca="1" si="74"/>
        <v>41531.256316476793</v>
      </c>
      <c r="S253">
        <f t="shared" ca="1" si="88"/>
        <v>5346</v>
      </c>
      <c r="T253">
        <f t="shared" ca="1" si="93"/>
        <v>104694.0224215365</v>
      </c>
      <c r="U253">
        <f t="shared" ca="1" si="94"/>
        <v>63962.115508779083</v>
      </c>
      <c r="V253">
        <f t="shared" ca="1" si="95"/>
        <v>542288.37182525592</v>
      </c>
      <c r="W253">
        <f t="shared" ca="1" si="96"/>
        <v>339541.32481745526</v>
      </c>
      <c r="Z253" s="4">
        <f t="shared" ca="1" si="89"/>
        <v>0</v>
      </c>
      <c r="AA253">
        <f t="shared" ca="1" si="90"/>
        <v>1</v>
      </c>
      <c r="AC253" s="5"/>
      <c r="AX253" s="10">
        <f ca="1">Table1[[#This Row],[Car Value]]/Table1[[#This Row],[No. of Vehicles]]</f>
        <v>20765.628158238396</v>
      </c>
      <c r="AZ253">
        <f ca="1">IF(Table1[[#This Row],[Debts]]&gt;$BA$3,1,0)</f>
        <v>1</v>
      </c>
      <c r="BC253" s="12">
        <f ca="1">Table1[[#This Row],[Mortage left]]/Table1[[#This Row],[Value of The House]]</f>
        <v>0.52542108402321164</v>
      </c>
      <c r="BD253" s="4">
        <f t="shared" ca="1" si="91"/>
        <v>0</v>
      </c>
      <c r="BE253" s="5"/>
    </row>
    <row r="254" spans="4:57" x14ac:dyDescent="0.3">
      <c r="D254">
        <f t="shared" ca="1" si="75"/>
        <v>1</v>
      </c>
      <c r="E254" t="str">
        <f t="shared" ca="1" si="76"/>
        <v>Male</v>
      </c>
      <c r="F254">
        <f t="shared" ca="1" si="77"/>
        <v>27</v>
      </c>
      <c r="G254">
        <f t="shared" ca="1" si="78"/>
        <v>4</v>
      </c>
      <c r="H254" t="str">
        <f t="shared" ca="1" si="79"/>
        <v>IT</v>
      </c>
      <c r="I254">
        <f t="shared" ca="1" si="80"/>
        <v>2</v>
      </c>
      <c r="J254" t="str">
        <f t="shared" ca="1" si="81"/>
        <v>College</v>
      </c>
      <c r="K254">
        <f t="shared" ca="1" si="82"/>
        <v>1</v>
      </c>
      <c r="L254">
        <f t="shared" ca="1" si="83"/>
        <v>2</v>
      </c>
      <c r="M254">
        <f t="shared" ca="1" si="84"/>
        <v>34396</v>
      </c>
      <c r="N254">
        <f t="shared" ca="1" si="85"/>
        <v>12</v>
      </c>
      <c r="O254" t="str">
        <f t="shared" ca="1" si="86"/>
        <v>Nova scotia</v>
      </c>
      <c r="P254">
        <f t="shared" ca="1" si="92"/>
        <v>171980</v>
      </c>
      <c r="Q254">
        <f t="shared" ca="1" si="87"/>
        <v>92342.358190376937</v>
      </c>
      <c r="R254">
        <f t="shared" ca="1" si="74"/>
        <v>55511.198760818363</v>
      </c>
      <c r="S254">
        <f t="shared" ca="1" si="88"/>
        <v>37683</v>
      </c>
      <c r="T254">
        <f t="shared" ca="1" si="93"/>
        <v>59180.958714259024</v>
      </c>
      <c r="U254">
        <f t="shared" ca="1" si="94"/>
        <v>24850.088466290312</v>
      </c>
      <c r="V254">
        <f t="shared" ca="1" si="95"/>
        <v>252341.28722710867</v>
      </c>
      <c r="W254">
        <f t="shared" ca="1" si="96"/>
        <v>189206.31690463595</v>
      </c>
      <c r="Z254" s="4">
        <f t="shared" ca="1" si="89"/>
        <v>1</v>
      </c>
      <c r="AA254">
        <f t="shared" ca="1" si="90"/>
        <v>0</v>
      </c>
      <c r="AC254" s="5"/>
      <c r="AX254" s="10">
        <f ca="1">Table1[[#This Row],[Car Value]]/Table1[[#This Row],[No. of Vehicles]]</f>
        <v>27755.599380409181</v>
      </c>
      <c r="AZ254">
        <f ca="1">IF(Table1[[#This Row],[Debts]]&gt;$BA$3,1,0)</f>
        <v>1</v>
      </c>
      <c r="BC254" s="12">
        <f ca="1">Table1[[#This Row],[Mortage left]]/Table1[[#This Row],[Value of The House]]</f>
        <v>0.53693661001498394</v>
      </c>
      <c r="BD254" s="4">
        <f t="shared" ca="1" si="91"/>
        <v>0</v>
      </c>
      <c r="BE254" s="5"/>
    </row>
    <row r="255" spans="4:57" x14ac:dyDescent="0.3">
      <c r="D255">
        <f t="shared" ca="1" si="75"/>
        <v>2</v>
      </c>
      <c r="E255" t="str">
        <f t="shared" ca="1" si="76"/>
        <v>Female</v>
      </c>
      <c r="F255">
        <f t="shared" ca="1" si="77"/>
        <v>36</v>
      </c>
      <c r="G255">
        <f t="shared" ca="1" si="78"/>
        <v>5</v>
      </c>
      <c r="H255" t="str">
        <f t="shared" ca="1" si="79"/>
        <v>Agriculture</v>
      </c>
      <c r="I255">
        <f t="shared" ca="1" si="80"/>
        <v>2</v>
      </c>
      <c r="J255" t="str">
        <f t="shared" ca="1" si="81"/>
        <v>College</v>
      </c>
      <c r="K255">
        <f t="shared" ca="1" si="82"/>
        <v>1</v>
      </c>
      <c r="L255">
        <f t="shared" ca="1" si="83"/>
        <v>2</v>
      </c>
      <c r="M255">
        <f t="shared" ca="1" si="84"/>
        <v>33520</v>
      </c>
      <c r="N255">
        <f t="shared" ca="1" si="85"/>
        <v>5</v>
      </c>
      <c r="O255" t="str">
        <f t="shared" ca="1" si="86"/>
        <v>Nunavut</v>
      </c>
      <c r="P255">
        <f t="shared" ca="1" si="92"/>
        <v>201120</v>
      </c>
      <c r="Q255">
        <f t="shared" ca="1" si="87"/>
        <v>47353.929904894801</v>
      </c>
      <c r="R255">
        <f t="shared" ca="1" si="74"/>
        <v>14157.793175455481</v>
      </c>
      <c r="S255">
        <f t="shared" ca="1" si="88"/>
        <v>636</v>
      </c>
      <c r="T255">
        <f t="shared" ca="1" si="93"/>
        <v>6726.4947805114371</v>
      </c>
      <c r="U255">
        <f t="shared" ca="1" si="94"/>
        <v>18498.805562565369</v>
      </c>
      <c r="V255">
        <f t="shared" ca="1" si="95"/>
        <v>233776.59873802084</v>
      </c>
      <c r="W255">
        <f t="shared" ca="1" si="96"/>
        <v>54716.424685406237</v>
      </c>
      <c r="Z255" s="4">
        <f t="shared" ca="1" si="89"/>
        <v>0</v>
      </c>
      <c r="AA255">
        <f t="shared" ca="1" si="90"/>
        <v>1</v>
      </c>
      <c r="AC255" s="5"/>
      <c r="AX255" s="10">
        <f ca="1">Table1[[#This Row],[Car Value]]/Table1[[#This Row],[No. of Vehicles]]</f>
        <v>7078.8965877277406</v>
      </c>
      <c r="AZ255">
        <f ca="1">IF(Table1[[#This Row],[Debts]]&gt;$BA$3,1,0)</f>
        <v>0</v>
      </c>
      <c r="BC255" s="12">
        <f ca="1">Table1[[#This Row],[Mortage left]]/Table1[[#This Row],[Value of The House]]</f>
        <v>0.23545112323436157</v>
      </c>
      <c r="BD255" s="4">
        <f t="shared" ca="1" si="91"/>
        <v>0</v>
      </c>
      <c r="BE255" s="5"/>
    </row>
    <row r="256" spans="4:57" x14ac:dyDescent="0.3">
      <c r="D256">
        <f t="shared" ca="1" si="75"/>
        <v>2</v>
      </c>
      <c r="E256" t="str">
        <f t="shared" ca="1" si="76"/>
        <v>Female</v>
      </c>
      <c r="F256">
        <f t="shared" ca="1" si="77"/>
        <v>35</v>
      </c>
      <c r="G256">
        <f t="shared" ca="1" si="78"/>
        <v>6</v>
      </c>
      <c r="H256" t="str">
        <f t="shared" ca="1" si="79"/>
        <v>General Work</v>
      </c>
      <c r="I256">
        <f t="shared" ca="1" si="80"/>
        <v>2</v>
      </c>
      <c r="J256" t="str">
        <f t="shared" ca="1" si="81"/>
        <v>College</v>
      </c>
      <c r="K256">
        <f t="shared" ca="1" si="82"/>
        <v>0</v>
      </c>
      <c r="L256">
        <f t="shared" ca="1" si="83"/>
        <v>1</v>
      </c>
      <c r="M256">
        <f t="shared" ca="1" si="84"/>
        <v>38014</v>
      </c>
      <c r="N256">
        <f t="shared" ca="1" si="85"/>
        <v>12</v>
      </c>
      <c r="O256" t="str">
        <f t="shared" ca="1" si="86"/>
        <v>Nova scotia</v>
      </c>
      <c r="P256">
        <f t="shared" ca="1" si="92"/>
        <v>190070</v>
      </c>
      <c r="Q256">
        <f t="shared" ca="1" si="87"/>
        <v>417.52649117304799</v>
      </c>
      <c r="R256">
        <f t="shared" ca="1" si="74"/>
        <v>22324.252872329369</v>
      </c>
      <c r="S256">
        <f t="shared" ca="1" si="88"/>
        <v>12449</v>
      </c>
      <c r="T256">
        <f t="shared" ca="1" si="93"/>
        <v>70792.551460373506</v>
      </c>
      <c r="U256">
        <f t="shared" ca="1" si="94"/>
        <v>5575.0276749679178</v>
      </c>
      <c r="V256">
        <f t="shared" ca="1" si="95"/>
        <v>217969.2805472973</v>
      </c>
      <c r="W256">
        <f t="shared" ca="1" si="96"/>
        <v>83659.077951546555</v>
      </c>
      <c r="Z256" s="4">
        <f t="shared" ca="1" si="89"/>
        <v>0</v>
      </c>
      <c r="AA256">
        <f t="shared" ca="1" si="90"/>
        <v>1</v>
      </c>
      <c r="AC256" s="5"/>
      <c r="AX256" s="10">
        <f ca="1">Table1[[#This Row],[Car Value]]/Table1[[#This Row],[No. of Vehicles]]</f>
        <v>22324.252872329369</v>
      </c>
      <c r="AZ256">
        <f ca="1">IF(Table1[[#This Row],[Debts]]&gt;$BA$3,1,0)</f>
        <v>1</v>
      </c>
      <c r="BC256" s="12">
        <f ca="1">Table1[[#This Row],[Mortage left]]/Table1[[#This Row],[Value of The House]]</f>
        <v>2.1966985382914084E-3</v>
      </c>
      <c r="BD256" s="4">
        <f t="shared" ca="1" si="91"/>
        <v>1</v>
      </c>
      <c r="BE256" s="5"/>
    </row>
    <row r="257" spans="4:57" x14ac:dyDescent="0.3">
      <c r="D257">
        <f t="shared" ca="1" si="75"/>
        <v>1</v>
      </c>
      <c r="E257" t="str">
        <f t="shared" ca="1" si="76"/>
        <v>Male</v>
      </c>
      <c r="F257">
        <f t="shared" ca="1" si="77"/>
        <v>25</v>
      </c>
      <c r="G257">
        <f t="shared" ca="1" si="78"/>
        <v>4</v>
      </c>
      <c r="H257" t="str">
        <f t="shared" ca="1" si="79"/>
        <v>IT</v>
      </c>
      <c r="I257">
        <f t="shared" ca="1" si="80"/>
        <v>3</v>
      </c>
      <c r="J257" t="str">
        <f t="shared" ca="1" si="81"/>
        <v>University</v>
      </c>
      <c r="K257">
        <f t="shared" ca="1" si="82"/>
        <v>1</v>
      </c>
      <c r="L257">
        <f t="shared" ca="1" si="83"/>
        <v>1</v>
      </c>
      <c r="M257">
        <f t="shared" ca="1" si="84"/>
        <v>61837</v>
      </c>
      <c r="N257">
        <f t="shared" ca="1" si="85"/>
        <v>4</v>
      </c>
      <c r="O257" t="str">
        <f t="shared" ca="1" si="86"/>
        <v>Alberta</v>
      </c>
      <c r="P257">
        <f t="shared" ca="1" si="92"/>
        <v>309185</v>
      </c>
      <c r="Q257">
        <f t="shared" ca="1" si="87"/>
        <v>170753.45197150228</v>
      </c>
      <c r="R257">
        <f t="shared" ca="1" si="74"/>
        <v>8622.804391218111</v>
      </c>
      <c r="S257">
        <f t="shared" ca="1" si="88"/>
        <v>5055</v>
      </c>
      <c r="T257">
        <f t="shared" ca="1" si="93"/>
        <v>11729.823933156005</v>
      </c>
      <c r="U257">
        <f t="shared" ca="1" si="94"/>
        <v>77021.883144446707</v>
      </c>
      <c r="V257">
        <f t="shared" ca="1" si="95"/>
        <v>394829.68753566482</v>
      </c>
      <c r="W257">
        <f t="shared" ca="1" si="96"/>
        <v>187538.27590465828</v>
      </c>
      <c r="Z257" s="4">
        <f t="shared" ca="1" si="89"/>
        <v>1</v>
      </c>
      <c r="AA257">
        <f t="shared" ca="1" si="90"/>
        <v>0</v>
      </c>
      <c r="AC257" s="5"/>
      <c r="AX257" s="10">
        <f ca="1">Table1[[#This Row],[Car Value]]/Table1[[#This Row],[No. of Vehicles]]</f>
        <v>8622.804391218111</v>
      </c>
      <c r="AZ257">
        <f ca="1">IF(Table1[[#This Row],[Debts]]&gt;$BA$3,1,0)</f>
        <v>0</v>
      </c>
      <c r="BC257" s="12">
        <f ca="1">Table1[[#This Row],[Mortage left]]/Table1[[#This Row],[Value of The House]]</f>
        <v>0.5522695213917308</v>
      </c>
      <c r="BD257" s="4">
        <f t="shared" ca="1" si="91"/>
        <v>0</v>
      </c>
      <c r="BE257" s="5"/>
    </row>
    <row r="258" spans="4:57" x14ac:dyDescent="0.3">
      <c r="D258">
        <f t="shared" ca="1" si="75"/>
        <v>1</v>
      </c>
      <c r="E258" t="str">
        <f t="shared" ca="1" si="76"/>
        <v>Male</v>
      </c>
      <c r="F258">
        <f t="shared" ca="1" si="77"/>
        <v>28</v>
      </c>
      <c r="G258">
        <f t="shared" ca="1" si="78"/>
        <v>3</v>
      </c>
      <c r="H258" t="str">
        <f t="shared" ca="1" si="79"/>
        <v>Teaching</v>
      </c>
      <c r="I258">
        <f t="shared" ca="1" si="80"/>
        <v>1</v>
      </c>
      <c r="J258" t="str">
        <f t="shared" ca="1" si="81"/>
        <v>High School</v>
      </c>
      <c r="K258">
        <f t="shared" ca="1" si="82"/>
        <v>2</v>
      </c>
      <c r="L258">
        <f t="shared" ca="1" si="83"/>
        <v>1</v>
      </c>
      <c r="M258">
        <f t="shared" ca="1" si="84"/>
        <v>85786</v>
      </c>
      <c r="N258">
        <f t="shared" ca="1" si="85"/>
        <v>6</v>
      </c>
      <c r="O258" t="str">
        <f t="shared" ca="1" si="86"/>
        <v>Saskatchewan</v>
      </c>
      <c r="P258">
        <f t="shared" ca="1" si="92"/>
        <v>343144</v>
      </c>
      <c r="Q258">
        <f t="shared" ca="1" si="87"/>
        <v>164657.84202250387</v>
      </c>
      <c r="R258">
        <f t="shared" ca="1" si="74"/>
        <v>42211.533087335367</v>
      </c>
      <c r="S258">
        <f t="shared" ca="1" si="88"/>
        <v>20681</v>
      </c>
      <c r="T258">
        <f t="shared" ca="1" si="93"/>
        <v>18947.932290947734</v>
      </c>
      <c r="U258">
        <f t="shared" ca="1" si="94"/>
        <v>5237.2739907676569</v>
      </c>
      <c r="V258">
        <f t="shared" ca="1" si="95"/>
        <v>390592.80707810301</v>
      </c>
      <c r="W258">
        <f t="shared" ca="1" si="96"/>
        <v>204286.77431345161</v>
      </c>
      <c r="Z258" s="4">
        <f t="shared" ca="1" si="89"/>
        <v>1</v>
      </c>
      <c r="AA258">
        <f t="shared" ca="1" si="90"/>
        <v>0</v>
      </c>
      <c r="AC258" s="5"/>
      <c r="AX258" s="10">
        <f ca="1">Table1[[#This Row],[Car Value]]/Table1[[#This Row],[No. of Vehicles]]</f>
        <v>42211.533087335367</v>
      </c>
      <c r="AZ258">
        <f ca="1">IF(Table1[[#This Row],[Debts]]&gt;$BA$3,1,0)</f>
        <v>0</v>
      </c>
      <c r="BC258" s="12">
        <f ca="1">Table1[[#This Row],[Mortage left]]/Table1[[#This Row],[Value of The House]]</f>
        <v>0.47985056426020528</v>
      </c>
      <c r="BD258" s="4">
        <f t="shared" ca="1" si="91"/>
        <v>0</v>
      </c>
      <c r="BE258" s="5"/>
    </row>
    <row r="259" spans="4:57" x14ac:dyDescent="0.3">
      <c r="D259">
        <f t="shared" ca="1" si="75"/>
        <v>1</v>
      </c>
      <c r="E259" t="str">
        <f t="shared" ca="1" si="76"/>
        <v>Male</v>
      </c>
      <c r="F259">
        <f t="shared" ca="1" si="77"/>
        <v>29</v>
      </c>
      <c r="G259">
        <f t="shared" ca="1" si="78"/>
        <v>1</v>
      </c>
      <c r="H259" t="str">
        <f t="shared" ca="1" si="79"/>
        <v>Health</v>
      </c>
      <c r="I259">
        <f t="shared" ca="1" si="80"/>
        <v>4</v>
      </c>
      <c r="J259" t="str">
        <f t="shared" ca="1" si="81"/>
        <v>Technical</v>
      </c>
      <c r="K259">
        <f t="shared" ca="1" si="82"/>
        <v>0</v>
      </c>
      <c r="L259">
        <f t="shared" ca="1" si="83"/>
        <v>2</v>
      </c>
      <c r="M259">
        <f t="shared" ca="1" si="84"/>
        <v>55732</v>
      </c>
      <c r="N259">
        <f t="shared" ca="1" si="85"/>
        <v>1</v>
      </c>
      <c r="O259" t="str">
        <f t="shared" ca="1" si="86"/>
        <v>Yukon</v>
      </c>
      <c r="P259">
        <f t="shared" ca="1" si="92"/>
        <v>222928</v>
      </c>
      <c r="Q259">
        <f t="shared" ca="1" si="87"/>
        <v>207876.75982316936</v>
      </c>
      <c r="R259">
        <f t="shared" ref="R259:R322" ca="1" si="97">L259*RAND()*M259</f>
        <v>5584.769429061952</v>
      </c>
      <c r="S259">
        <f t="shared" ca="1" si="88"/>
        <v>2711</v>
      </c>
      <c r="T259">
        <f t="shared" ca="1" si="93"/>
        <v>96521.323147214644</v>
      </c>
      <c r="U259">
        <f t="shared" ca="1" si="94"/>
        <v>25974.04065689072</v>
      </c>
      <c r="V259">
        <f t="shared" ca="1" si="95"/>
        <v>254486.81008595266</v>
      </c>
      <c r="W259">
        <f t="shared" ca="1" si="96"/>
        <v>307109.08297038398</v>
      </c>
      <c r="Z259" s="4">
        <f t="shared" ca="1" si="89"/>
        <v>1</v>
      </c>
      <c r="AA259">
        <f t="shared" ca="1" si="90"/>
        <v>0</v>
      </c>
      <c r="AC259" s="5"/>
      <c r="AX259" s="10">
        <f ca="1">Table1[[#This Row],[Car Value]]/Table1[[#This Row],[No. of Vehicles]]</f>
        <v>2792.384714530976</v>
      </c>
      <c r="AZ259">
        <f ca="1">IF(Table1[[#This Row],[Debts]]&gt;$BA$3,1,0)</f>
        <v>1</v>
      </c>
      <c r="BC259" s="12">
        <f ca="1">Table1[[#This Row],[Mortage left]]/Table1[[#This Row],[Value of The House]]</f>
        <v>0.93248385049508975</v>
      </c>
      <c r="BD259" s="4">
        <f t="shared" ca="1" si="91"/>
        <v>0</v>
      </c>
      <c r="BE259" s="5"/>
    </row>
    <row r="260" spans="4:57" x14ac:dyDescent="0.3">
      <c r="D260">
        <f t="shared" ref="D260:D323" ca="1" si="98">RANDBETWEEN(1,2)</f>
        <v>2</v>
      </c>
      <c r="E260" t="str">
        <f t="shared" ref="E260:E323" ca="1" si="99">IF(D260=1,"Male","Female")</f>
        <v>Female</v>
      </c>
      <c r="F260">
        <f t="shared" ref="F260:F323" ca="1" si="100">RANDBETWEEN(25,45)</f>
        <v>29</v>
      </c>
      <c r="G260">
        <f t="shared" ref="G260:G323" ca="1" si="101">RANDBETWEEN(1,6)</f>
        <v>6</v>
      </c>
      <c r="H260" t="str">
        <f t="shared" ref="H260:H323" ca="1" si="102">VLOOKUP(G260,$AI$3:$AJ$8,2)</f>
        <v>General Work</v>
      </c>
      <c r="I260">
        <f t="shared" ref="I260:I323" ca="1" si="103">RANDBETWEEN(1,5)</f>
        <v>1</v>
      </c>
      <c r="J260" t="str">
        <f t="shared" ref="J260:J323" ca="1" si="104">+VLOOKUP(I260,$AK$3:$AL$7,2)</f>
        <v>High School</v>
      </c>
      <c r="K260">
        <f t="shared" ref="K260:K323" ca="1" si="105">RANDBETWEEN(0,4)</f>
        <v>2</v>
      </c>
      <c r="L260">
        <f t="shared" ref="L260:L323" ca="1" si="106">RANDBETWEEN(1,2)</f>
        <v>2</v>
      </c>
      <c r="M260">
        <f t="shared" ref="M260:M323" ca="1" si="107">RANDBETWEEN(25000,90000)</f>
        <v>44741</v>
      </c>
      <c r="N260">
        <f t="shared" ref="N260:N323" ca="1" si="108">RANDBETWEEN(1,13)</f>
        <v>6</v>
      </c>
      <c r="O260" t="str">
        <f t="shared" ref="O260:O323" ca="1" si="109">VLOOKUP(N260,$AN$3:$AP$15,2)</f>
        <v>Saskatchewan</v>
      </c>
      <c r="P260">
        <f t="shared" ca="1" si="92"/>
        <v>178964</v>
      </c>
      <c r="Q260">
        <f t="shared" ref="Q260:Q323" ca="1" si="110">RAND()*P260</f>
        <v>53649.327381540417</v>
      </c>
      <c r="R260">
        <f t="shared" ca="1" si="97"/>
        <v>48160.244327149194</v>
      </c>
      <c r="S260">
        <f t="shared" ref="S260:S323" ca="1" si="111">RANDBETWEEN(0,R260)</f>
        <v>22897</v>
      </c>
      <c r="T260">
        <f t="shared" ca="1" si="93"/>
        <v>36141.762798374795</v>
      </c>
      <c r="U260">
        <f t="shared" ca="1" si="94"/>
        <v>48168.807735076596</v>
      </c>
      <c r="V260">
        <f t="shared" ca="1" si="95"/>
        <v>275293.05206222576</v>
      </c>
      <c r="W260">
        <f t="shared" ca="1" si="96"/>
        <v>112688.09017991521</v>
      </c>
      <c r="Z260" s="4">
        <f t="shared" ref="Z260:Z323" ca="1" si="112">IF(E260="male",1,0)</f>
        <v>0</v>
      </c>
      <c r="AA260">
        <f t="shared" ref="AA260:AA323" ca="1" si="113">IF(E260="male",0,1)</f>
        <v>1</v>
      </c>
      <c r="AC260" s="5"/>
      <c r="AX260" s="10">
        <f ca="1">Table1[[#This Row],[Car Value]]/Table1[[#This Row],[No. of Vehicles]]</f>
        <v>24080.122163574597</v>
      </c>
      <c r="AZ260">
        <f ca="1">IF(Table1[[#This Row],[Debts]]&gt;$BA$3,1,0)</f>
        <v>1</v>
      </c>
      <c r="BC260" s="12">
        <f ca="1">Table1[[#This Row],[Mortage left]]/Table1[[#This Row],[Value of The House]]</f>
        <v>0.29977720313325817</v>
      </c>
      <c r="BD260" s="4">
        <f t="shared" ref="BD260:BD323" ca="1" si="114">IF(BC260&lt;$BE$2,1,0)</f>
        <v>0</v>
      </c>
      <c r="BE260" s="5"/>
    </row>
    <row r="261" spans="4:57" x14ac:dyDescent="0.3">
      <c r="D261">
        <f t="shared" ca="1" si="98"/>
        <v>1</v>
      </c>
      <c r="E261" t="str">
        <f t="shared" ca="1" si="99"/>
        <v>Male</v>
      </c>
      <c r="F261">
        <f t="shared" ca="1" si="100"/>
        <v>41</v>
      </c>
      <c r="G261">
        <f t="shared" ca="1" si="101"/>
        <v>2</v>
      </c>
      <c r="H261" t="str">
        <f t="shared" ca="1" si="102"/>
        <v>Construction</v>
      </c>
      <c r="I261">
        <f t="shared" ca="1" si="103"/>
        <v>4</v>
      </c>
      <c r="J261" t="str">
        <f t="shared" ca="1" si="104"/>
        <v>Technical</v>
      </c>
      <c r="K261">
        <f t="shared" ca="1" si="105"/>
        <v>4</v>
      </c>
      <c r="L261">
        <f t="shared" ca="1" si="106"/>
        <v>1</v>
      </c>
      <c r="M261">
        <f t="shared" ca="1" si="107"/>
        <v>70506</v>
      </c>
      <c r="N261">
        <f t="shared" ca="1" si="108"/>
        <v>10</v>
      </c>
      <c r="O261" t="str">
        <f t="shared" ca="1" si="109"/>
        <v>Newfouland</v>
      </c>
      <c r="P261">
        <f t="shared" ca="1" si="92"/>
        <v>282024</v>
      </c>
      <c r="Q261">
        <f t="shared" ca="1" si="110"/>
        <v>73852.399327001593</v>
      </c>
      <c r="R261">
        <f t="shared" ca="1" si="97"/>
        <v>55686.18040293231</v>
      </c>
      <c r="S261">
        <f t="shared" ca="1" si="111"/>
        <v>12188</v>
      </c>
      <c r="T261">
        <f t="shared" ca="1" si="93"/>
        <v>26620.818531206576</v>
      </c>
      <c r="U261">
        <f t="shared" ca="1" si="94"/>
        <v>8892.2138522200694</v>
      </c>
      <c r="V261">
        <f t="shared" ca="1" si="95"/>
        <v>346602.39425515244</v>
      </c>
      <c r="W261">
        <f t="shared" ca="1" si="96"/>
        <v>112661.21785820817</v>
      </c>
      <c r="Z261" s="4">
        <f t="shared" ca="1" si="112"/>
        <v>1</v>
      </c>
      <c r="AA261">
        <f t="shared" ca="1" si="113"/>
        <v>0</v>
      </c>
      <c r="AC261" s="5"/>
      <c r="AX261" s="10">
        <f ca="1">Table1[[#This Row],[Car Value]]/Table1[[#This Row],[No. of Vehicles]]</f>
        <v>55686.18040293231</v>
      </c>
      <c r="AZ261">
        <f ca="1">IF(Table1[[#This Row],[Debts]]&gt;$BA$3,1,0)</f>
        <v>1</v>
      </c>
      <c r="BC261" s="12">
        <f ca="1">Table1[[#This Row],[Mortage left]]/Table1[[#This Row],[Value of The House]]</f>
        <v>0.26186565443721666</v>
      </c>
      <c r="BD261" s="4">
        <f t="shared" ca="1" si="114"/>
        <v>0</v>
      </c>
      <c r="BE261" s="5"/>
    </row>
    <row r="262" spans="4:57" x14ac:dyDescent="0.3">
      <c r="D262">
        <f t="shared" ca="1" si="98"/>
        <v>2</v>
      </c>
      <c r="E262" t="str">
        <f t="shared" ca="1" si="99"/>
        <v>Female</v>
      </c>
      <c r="F262">
        <f t="shared" ca="1" si="100"/>
        <v>36</v>
      </c>
      <c r="G262">
        <f t="shared" ca="1" si="101"/>
        <v>6</v>
      </c>
      <c r="H262" t="str">
        <f t="shared" ca="1" si="102"/>
        <v>General Work</v>
      </c>
      <c r="I262">
        <f t="shared" ca="1" si="103"/>
        <v>2</v>
      </c>
      <c r="J262" t="str">
        <f t="shared" ca="1" si="104"/>
        <v>College</v>
      </c>
      <c r="K262">
        <f t="shared" ca="1" si="105"/>
        <v>1</v>
      </c>
      <c r="L262">
        <f t="shared" ca="1" si="106"/>
        <v>1</v>
      </c>
      <c r="M262">
        <f t="shared" ca="1" si="107"/>
        <v>87074</v>
      </c>
      <c r="N262">
        <f t="shared" ca="1" si="108"/>
        <v>11</v>
      </c>
      <c r="O262" t="str">
        <f t="shared" ca="1" si="109"/>
        <v>New bruncwick</v>
      </c>
      <c r="P262">
        <f t="shared" ca="1" si="92"/>
        <v>348296</v>
      </c>
      <c r="Q262">
        <f t="shared" ca="1" si="110"/>
        <v>197831.48092122172</v>
      </c>
      <c r="R262">
        <f t="shared" ca="1" si="97"/>
        <v>19039.63379337309</v>
      </c>
      <c r="S262">
        <f t="shared" ca="1" si="111"/>
        <v>692</v>
      </c>
      <c r="T262">
        <f t="shared" ca="1" si="93"/>
        <v>26015.801648837114</v>
      </c>
      <c r="U262">
        <f t="shared" ca="1" si="94"/>
        <v>53104.305724126476</v>
      </c>
      <c r="V262">
        <f t="shared" ca="1" si="95"/>
        <v>420439.93951749953</v>
      </c>
      <c r="W262">
        <f t="shared" ca="1" si="96"/>
        <v>224539.28257005883</v>
      </c>
      <c r="Z262" s="4">
        <f t="shared" ca="1" si="112"/>
        <v>0</v>
      </c>
      <c r="AA262">
        <f t="shared" ca="1" si="113"/>
        <v>1</v>
      </c>
      <c r="AC262" s="5"/>
      <c r="AX262" s="10">
        <f ca="1">Table1[[#This Row],[Car Value]]/Table1[[#This Row],[No. of Vehicles]]</f>
        <v>19039.63379337309</v>
      </c>
      <c r="AZ262">
        <f ca="1">IF(Table1[[#This Row],[Debts]]&gt;$BA$3,1,0)</f>
        <v>1</v>
      </c>
      <c r="BC262" s="12">
        <f ca="1">Table1[[#This Row],[Mortage left]]/Table1[[#This Row],[Value of The House]]</f>
        <v>0.56799814215845634</v>
      </c>
      <c r="BD262" s="4">
        <f t="shared" ca="1" si="114"/>
        <v>0</v>
      </c>
      <c r="BE262" s="5"/>
    </row>
    <row r="263" spans="4:57" x14ac:dyDescent="0.3">
      <c r="D263">
        <f t="shared" ca="1" si="98"/>
        <v>2</v>
      </c>
      <c r="E263" t="str">
        <f t="shared" ca="1" si="99"/>
        <v>Female</v>
      </c>
      <c r="F263">
        <f t="shared" ca="1" si="100"/>
        <v>25</v>
      </c>
      <c r="G263">
        <f t="shared" ca="1" si="101"/>
        <v>1</v>
      </c>
      <c r="H263" t="str">
        <f t="shared" ca="1" si="102"/>
        <v>Health</v>
      </c>
      <c r="I263">
        <f t="shared" ca="1" si="103"/>
        <v>3</v>
      </c>
      <c r="J263" t="str">
        <f t="shared" ca="1" si="104"/>
        <v>University</v>
      </c>
      <c r="K263">
        <f t="shared" ca="1" si="105"/>
        <v>3</v>
      </c>
      <c r="L263">
        <f t="shared" ca="1" si="106"/>
        <v>1</v>
      </c>
      <c r="M263">
        <f t="shared" ca="1" si="107"/>
        <v>58002</v>
      </c>
      <c r="N263">
        <f t="shared" ca="1" si="108"/>
        <v>1</v>
      </c>
      <c r="O263" t="str">
        <f t="shared" ca="1" si="109"/>
        <v>Yukon</v>
      </c>
      <c r="P263">
        <f t="shared" ca="1" si="92"/>
        <v>348012</v>
      </c>
      <c r="Q263">
        <f t="shared" ca="1" si="110"/>
        <v>88172.800104435955</v>
      </c>
      <c r="R263">
        <f t="shared" ca="1" si="97"/>
        <v>44687.475878716876</v>
      </c>
      <c r="S263">
        <f t="shared" ca="1" si="111"/>
        <v>29880</v>
      </c>
      <c r="T263">
        <f t="shared" ca="1" si="93"/>
        <v>98142.799822780406</v>
      </c>
      <c r="U263">
        <f t="shared" ca="1" si="94"/>
        <v>20508.798374849659</v>
      </c>
      <c r="V263">
        <f t="shared" ca="1" si="95"/>
        <v>413208.27425356652</v>
      </c>
      <c r="W263">
        <f t="shared" ca="1" si="96"/>
        <v>216195.59992721636</v>
      </c>
      <c r="Z263" s="4">
        <f t="shared" ca="1" si="112"/>
        <v>0</v>
      </c>
      <c r="AA263">
        <f t="shared" ca="1" si="113"/>
        <v>1</v>
      </c>
      <c r="AC263" s="5"/>
      <c r="AX263" s="10">
        <f ca="1">Table1[[#This Row],[Car Value]]/Table1[[#This Row],[No. of Vehicles]]</f>
        <v>44687.475878716876</v>
      </c>
      <c r="AZ263">
        <f ca="1">IF(Table1[[#This Row],[Debts]]&gt;$BA$3,1,0)</f>
        <v>1</v>
      </c>
      <c r="BC263" s="12">
        <f ca="1">Table1[[#This Row],[Mortage left]]/Table1[[#This Row],[Value of The House]]</f>
        <v>0.2533613786433685</v>
      </c>
      <c r="BD263" s="4">
        <f t="shared" ca="1" si="114"/>
        <v>0</v>
      </c>
      <c r="BE263" s="5"/>
    </row>
    <row r="264" spans="4:57" x14ac:dyDescent="0.3">
      <c r="D264">
        <f t="shared" ca="1" si="98"/>
        <v>2</v>
      </c>
      <c r="E264" t="str">
        <f t="shared" ca="1" si="99"/>
        <v>Female</v>
      </c>
      <c r="F264">
        <f t="shared" ca="1" si="100"/>
        <v>31</v>
      </c>
      <c r="G264">
        <f t="shared" ca="1" si="101"/>
        <v>6</v>
      </c>
      <c r="H264" t="str">
        <f t="shared" ca="1" si="102"/>
        <v>General Work</v>
      </c>
      <c r="I264">
        <f t="shared" ca="1" si="103"/>
        <v>2</v>
      </c>
      <c r="J264" t="str">
        <f t="shared" ca="1" si="104"/>
        <v>College</v>
      </c>
      <c r="K264">
        <f t="shared" ca="1" si="105"/>
        <v>2</v>
      </c>
      <c r="L264">
        <f t="shared" ca="1" si="106"/>
        <v>1</v>
      </c>
      <c r="M264">
        <f t="shared" ca="1" si="107"/>
        <v>62470</v>
      </c>
      <c r="N264">
        <f t="shared" ca="1" si="108"/>
        <v>13</v>
      </c>
      <c r="O264" t="str">
        <f t="shared" ca="1" si="109"/>
        <v>Prince Edward Islnd</v>
      </c>
      <c r="P264">
        <f t="shared" ca="1" si="92"/>
        <v>249880</v>
      </c>
      <c r="Q264">
        <f t="shared" ca="1" si="110"/>
        <v>210910.34900067814</v>
      </c>
      <c r="R264">
        <f t="shared" ca="1" si="97"/>
        <v>40197.243693170509</v>
      </c>
      <c r="S264">
        <f t="shared" ca="1" si="111"/>
        <v>3749</v>
      </c>
      <c r="T264">
        <f t="shared" ca="1" si="93"/>
        <v>48476.190648902317</v>
      </c>
      <c r="U264">
        <f t="shared" ca="1" si="94"/>
        <v>21838.967068219157</v>
      </c>
      <c r="V264">
        <f t="shared" ca="1" si="95"/>
        <v>311916.21076138964</v>
      </c>
      <c r="W264">
        <f t="shared" ca="1" si="96"/>
        <v>263135.53964958043</v>
      </c>
      <c r="Z264" s="4">
        <f t="shared" ca="1" si="112"/>
        <v>0</v>
      </c>
      <c r="AA264">
        <f t="shared" ca="1" si="113"/>
        <v>1</v>
      </c>
      <c r="AC264" s="5"/>
      <c r="AX264" s="10">
        <f ca="1">Table1[[#This Row],[Car Value]]/Table1[[#This Row],[No. of Vehicles]]</f>
        <v>40197.243693170509</v>
      </c>
      <c r="AZ264">
        <f ca="1">IF(Table1[[#This Row],[Debts]]&gt;$BA$3,1,0)</f>
        <v>1</v>
      </c>
      <c r="BC264" s="12">
        <f ca="1">Table1[[#This Row],[Mortage left]]/Table1[[#This Row],[Value of The House]]</f>
        <v>0.84404653834111631</v>
      </c>
      <c r="BD264" s="4">
        <f t="shared" ca="1" si="114"/>
        <v>0</v>
      </c>
      <c r="BE264" s="5"/>
    </row>
    <row r="265" spans="4:57" x14ac:dyDescent="0.3">
      <c r="D265">
        <f t="shared" ca="1" si="98"/>
        <v>2</v>
      </c>
      <c r="E265" t="str">
        <f t="shared" ca="1" si="99"/>
        <v>Female</v>
      </c>
      <c r="F265">
        <f t="shared" ca="1" si="100"/>
        <v>43</v>
      </c>
      <c r="G265">
        <f t="shared" ca="1" si="101"/>
        <v>3</v>
      </c>
      <c r="H265" t="str">
        <f t="shared" ca="1" si="102"/>
        <v>Teaching</v>
      </c>
      <c r="I265">
        <f t="shared" ca="1" si="103"/>
        <v>2</v>
      </c>
      <c r="J265" t="str">
        <f t="shared" ca="1" si="104"/>
        <v>College</v>
      </c>
      <c r="K265">
        <f t="shared" ca="1" si="105"/>
        <v>4</v>
      </c>
      <c r="L265">
        <f t="shared" ca="1" si="106"/>
        <v>2</v>
      </c>
      <c r="M265">
        <f t="shared" ca="1" si="107"/>
        <v>55283</v>
      </c>
      <c r="N265">
        <f t="shared" ca="1" si="108"/>
        <v>4</v>
      </c>
      <c r="O265" t="str">
        <f t="shared" ca="1" si="109"/>
        <v>Alberta</v>
      </c>
      <c r="P265">
        <f t="shared" ca="1" si="92"/>
        <v>331698</v>
      </c>
      <c r="Q265">
        <f t="shared" ca="1" si="110"/>
        <v>129837.95580501173</v>
      </c>
      <c r="R265">
        <f t="shared" ca="1" si="97"/>
        <v>41768.735913827339</v>
      </c>
      <c r="S265">
        <f t="shared" ca="1" si="111"/>
        <v>1980</v>
      </c>
      <c r="T265">
        <f t="shared" ca="1" si="93"/>
        <v>33962.229300710118</v>
      </c>
      <c r="U265">
        <f t="shared" ca="1" si="94"/>
        <v>27208.776290630645</v>
      </c>
      <c r="V265">
        <f t="shared" ca="1" si="95"/>
        <v>400675.51220445795</v>
      </c>
      <c r="W265">
        <f t="shared" ca="1" si="96"/>
        <v>165780.18510572184</v>
      </c>
      <c r="Z265" s="4">
        <f t="shared" ca="1" si="112"/>
        <v>0</v>
      </c>
      <c r="AA265">
        <f t="shared" ca="1" si="113"/>
        <v>1</v>
      </c>
      <c r="AC265" s="5"/>
      <c r="AX265" s="10">
        <f ca="1">Table1[[#This Row],[Car Value]]/Table1[[#This Row],[No. of Vehicles]]</f>
        <v>20884.367956913669</v>
      </c>
      <c r="AZ265">
        <f ca="1">IF(Table1[[#This Row],[Debts]]&gt;$BA$3,1,0)</f>
        <v>1</v>
      </c>
      <c r="BC265" s="12">
        <f ca="1">Table1[[#This Row],[Mortage left]]/Table1[[#This Row],[Value of The House]]</f>
        <v>0.39143424381519254</v>
      </c>
      <c r="BD265" s="4">
        <f t="shared" ca="1" si="114"/>
        <v>0</v>
      </c>
      <c r="BE265" s="5"/>
    </row>
    <row r="266" spans="4:57" x14ac:dyDescent="0.3">
      <c r="D266">
        <f t="shared" ca="1" si="98"/>
        <v>2</v>
      </c>
      <c r="E266" t="str">
        <f t="shared" ca="1" si="99"/>
        <v>Female</v>
      </c>
      <c r="F266">
        <f t="shared" ca="1" si="100"/>
        <v>44</v>
      </c>
      <c r="G266">
        <f t="shared" ca="1" si="101"/>
        <v>5</v>
      </c>
      <c r="H266" t="str">
        <f t="shared" ca="1" si="102"/>
        <v>Agriculture</v>
      </c>
      <c r="I266">
        <f t="shared" ca="1" si="103"/>
        <v>1</v>
      </c>
      <c r="J266" t="str">
        <f t="shared" ca="1" si="104"/>
        <v>High School</v>
      </c>
      <c r="K266">
        <f t="shared" ca="1" si="105"/>
        <v>2</v>
      </c>
      <c r="L266">
        <f t="shared" ca="1" si="106"/>
        <v>1</v>
      </c>
      <c r="M266">
        <f t="shared" ca="1" si="107"/>
        <v>29991</v>
      </c>
      <c r="N266">
        <f t="shared" ca="1" si="108"/>
        <v>1</v>
      </c>
      <c r="O266" t="str">
        <f t="shared" ca="1" si="109"/>
        <v>Yukon</v>
      </c>
      <c r="P266">
        <f t="shared" ca="1" si="92"/>
        <v>149955</v>
      </c>
      <c r="Q266">
        <f t="shared" ca="1" si="110"/>
        <v>113191.4285086489</v>
      </c>
      <c r="R266">
        <f t="shared" ca="1" si="97"/>
        <v>27212.922538519699</v>
      </c>
      <c r="S266">
        <f t="shared" ca="1" si="111"/>
        <v>25147</v>
      </c>
      <c r="T266">
        <f t="shared" ca="1" si="93"/>
        <v>4631.7232970546456</v>
      </c>
      <c r="U266">
        <f t="shared" ca="1" si="94"/>
        <v>27901.49322644576</v>
      </c>
      <c r="V266">
        <f t="shared" ca="1" si="95"/>
        <v>205069.41576496547</v>
      </c>
      <c r="W266">
        <f t="shared" ca="1" si="96"/>
        <v>142970.15180570353</v>
      </c>
      <c r="Z266" s="4">
        <f t="shared" ca="1" si="112"/>
        <v>0</v>
      </c>
      <c r="AA266">
        <f t="shared" ca="1" si="113"/>
        <v>1</v>
      </c>
      <c r="AC266" s="5"/>
      <c r="AX266" s="10">
        <f ca="1">Table1[[#This Row],[Car Value]]/Table1[[#This Row],[No. of Vehicles]]</f>
        <v>27212.922538519699</v>
      </c>
      <c r="AZ266">
        <f ca="1">IF(Table1[[#This Row],[Debts]]&gt;$BA$3,1,0)</f>
        <v>0</v>
      </c>
      <c r="BC266" s="12">
        <f ca="1">Table1[[#This Row],[Mortage left]]/Table1[[#This Row],[Value of The House]]</f>
        <v>0.75483597418324766</v>
      </c>
      <c r="BD266" s="4">
        <f t="shared" ca="1" si="114"/>
        <v>0</v>
      </c>
      <c r="BE266" s="5"/>
    </row>
    <row r="267" spans="4:57" x14ac:dyDescent="0.3">
      <c r="D267">
        <f t="shared" ca="1" si="98"/>
        <v>2</v>
      </c>
      <c r="E267" t="str">
        <f t="shared" ca="1" si="99"/>
        <v>Female</v>
      </c>
      <c r="F267">
        <f t="shared" ca="1" si="100"/>
        <v>26</v>
      </c>
      <c r="G267">
        <f t="shared" ca="1" si="101"/>
        <v>3</v>
      </c>
      <c r="H267" t="str">
        <f t="shared" ca="1" si="102"/>
        <v>Teaching</v>
      </c>
      <c r="I267">
        <f t="shared" ca="1" si="103"/>
        <v>1</v>
      </c>
      <c r="J267" t="str">
        <f t="shared" ca="1" si="104"/>
        <v>High School</v>
      </c>
      <c r="K267">
        <f t="shared" ca="1" si="105"/>
        <v>1</v>
      </c>
      <c r="L267">
        <f t="shared" ca="1" si="106"/>
        <v>2</v>
      </c>
      <c r="M267">
        <f t="shared" ca="1" si="107"/>
        <v>37733</v>
      </c>
      <c r="N267">
        <f t="shared" ca="1" si="108"/>
        <v>2</v>
      </c>
      <c r="O267" t="str">
        <f t="shared" ca="1" si="109"/>
        <v>BC</v>
      </c>
      <c r="P267">
        <f t="shared" ca="1" si="92"/>
        <v>188665</v>
      </c>
      <c r="Q267">
        <f t="shared" ca="1" si="110"/>
        <v>124611.32829270304</v>
      </c>
      <c r="R267">
        <f t="shared" ca="1" si="97"/>
        <v>74102.030070788227</v>
      </c>
      <c r="S267">
        <f t="shared" ca="1" si="111"/>
        <v>18367</v>
      </c>
      <c r="T267">
        <f t="shared" ca="1" si="93"/>
        <v>21448.754238891026</v>
      </c>
      <c r="U267">
        <f t="shared" ca="1" si="94"/>
        <v>32272.551011874748</v>
      </c>
      <c r="V267">
        <f t="shared" ca="1" si="95"/>
        <v>295039.58108266297</v>
      </c>
      <c r="W267">
        <f t="shared" ca="1" si="96"/>
        <v>164427.08253159406</v>
      </c>
      <c r="Z267" s="4">
        <f t="shared" ca="1" si="112"/>
        <v>0</v>
      </c>
      <c r="AA267">
        <f t="shared" ca="1" si="113"/>
        <v>1</v>
      </c>
      <c r="AC267" s="5"/>
      <c r="AX267" s="10">
        <f ca="1">Table1[[#This Row],[Car Value]]/Table1[[#This Row],[No. of Vehicles]]</f>
        <v>37051.015035394114</v>
      </c>
      <c r="AZ267">
        <f ca="1">IF(Table1[[#This Row],[Debts]]&gt;$BA$3,1,0)</f>
        <v>1</v>
      </c>
      <c r="BC267" s="12">
        <f ca="1">Table1[[#This Row],[Mortage left]]/Table1[[#This Row],[Value of The House]]</f>
        <v>0.66048990693929999</v>
      </c>
      <c r="BD267" s="4">
        <f t="shared" ca="1" si="114"/>
        <v>0</v>
      </c>
      <c r="BE267" s="5"/>
    </row>
    <row r="268" spans="4:57" x14ac:dyDescent="0.3">
      <c r="D268">
        <f t="shared" ca="1" si="98"/>
        <v>2</v>
      </c>
      <c r="E268" t="str">
        <f t="shared" ca="1" si="99"/>
        <v>Female</v>
      </c>
      <c r="F268">
        <f t="shared" ca="1" si="100"/>
        <v>27</v>
      </c>
      <c r="G268">
        <f t="shared" ca="1" si="101"/>
        <v>6</v>
      </c>
      <c r="H268" t="str">
        <f t="shared" ca="1" si="102"/>
        <v>General Work</v>
      </c>
      <c r="I268">
        <f t="shared" ca="1" si="103"/>
        <v>4</v>
      </c>
      <c r="J268" t="str">
        <f t="shared" ca="1" si="104"/>
        <v>Technical</v>
      </c>
      <c r="K268">
        <f t="shared" ca="1" si="105"/>
        <v>2</v>
      </c>
      <c r="L268">
        <f t="shared" ca="1" si="106"/>
        <v>2</v>
      </c>
      <c r="M268">
        <f t="shared" ca="1" si="107"/>
        <v>84732</v>
      </c>
      <c r="N268">
        <f t="shared" ca="1" si="108"/>
        <v>5</v>
      </c>
      <c r="O268" t="str">
        <f t="shared" ca="1" si="109"/>
        <v>Nunavut</v>
      </c>
      <c r="P268">
        <f t="shared" ca="1" si="92"/>
        <v>423660</v>
      </c>
      <c r="Q268">
        <f t="shared" ca="1" si="110"/>
        <v>420442.73536379164</v>
      </c>
      <c r="R268">
        <f t="shared" ca="1" si="97"/>
        <v>30361.313113712244</v>
      </c>
      <c r="S268">
        <f t="shared" ca="1" si="111"/>
        <v>13784</v>
      </c>
      <c r="T268">
        <f t="shared" ca="1" si="93"/>
        <v>31396.943050168553</v>
      </c>
      <c r="U268">
        <f t="shared" ca="1" si="94"/>
        <v>19381.348551670253</v>
      </c>
      <c r="V268">
        <f t="shared" ca="1" si="95"/>
        <v>473402.6616653825</v>
      </c>
      <c r="W268">
        <f t="shared" ca="1" si="96"/>
        <v>465623.67841396021</v>
      </c>
      <c r="Z268" s="4">
        <f t="shared" ca="1" si="112"/>
        <v>0</v>
      </c>
      <c r="AA268">
        <f t="shared" ca="1" si="113"/>
        <v>1</v>
      </c>
      <c r="AC268" s="5"/>
      <c r="AX268" s="10">
        <f ca="1">Table1[[#This Row],[Car Value]]/Table1[[#This Row],[No. of Vehicles]]</f>
        <v>15180.656556856122</v>
      </c>
      <c r="AZ268">
        <f ca="1">IF(Table1[[#This Row],[Debts]]&gt;$BA$3,1,0)</f>
        <v>1</v>
      </c>
      <c r="BC268" s="12">
        <f ca="1">Table1[[#This Row],[Mortage left]]/Table1[[#This Row],[Value of The House]]</f>
        <v>0.99240602219655294</v>
      </c>
      <c r="BD268" s="4">
        <f t="shared" ca="1" si="114"/>
        <v>0</v>
      </c>
      <c r="BE268" s="5"/>
    </row>
    <row r="269" spans="4:57" x14ac:dyDescent="0.3">
      <c r="D269">
        <f t="shared" ca="1" si="98"/>
        <v>2</v>
      </c>
      <c r="E269" t="str">
        <f t="shared" ca="1" si="99"/>
        <v>Female</v>
      </c>
      <c r="F269">
        <f t="shared" ca="1" si="100"/>
        <v>26</v>
      </c>
      <c r="G269">
        <f t="shared" ca="1" si="101"/>
        <v>6</v>
      </c>
      <c r="H269" t="str">
        <f t="shared" ca="1" si="102"/>
        <v>General Work</v>
      </c>
      <c r="I269">
        <f t="shared" ca="1" si="103"/>
        <v>3</v>
      </c>
      <c r="J269" t="str">
        <f t="shared" ca="1" si="104"/>
        <v>University</v>
      </c>
      <c r="K269">
        <f t="shared" ca="1" si="105"/>
        <v>2</v>
      </c>
      <c r="L269">
        <f t="shared" ca="1" si="106"/>
        <v>1</v>
      </c>
      <c r="M269">
        <f t="shared" ca="1" si="107"/>
        <v>73409</v>
      </c>
      <c r="N269">
        <f t="shared" ca="1" si="108"/>
        <v>8</v>
      </c>
      <c r="O269" t="str">
        <f t="shared" ca="1" si="109"/>
        <v>Ontario</v>
      </c>
      <c r="P269">
        <f t="shared" ca="1" si="92"/>
        <v>293636</v>
      </c>
      <c r="Q269">
        <f t="shared" ca="1" si="110"/>
        <v>175830.83399330394</v>
      </c>
      <c r="R269">
        <f t="shared" ca="1" si="97"/>
        <v>32345.611445492468</v>
      </c>
      <c r="S269">
        <f t="shared" ca="1" si="111"/>
        <v>31661</v>
      </c>
      <c r="T269">
        <f t="shared" ca="1" si="93"/>
        <v>98304.691267794449</v>
      </c>
      <c r="U269">
        <f t="shared" ca="1" si="94"/>
        <v>76368.18076896666</v>
      </c>
      <c r="V269">
        <f t="shared" ca="1" si="95"/>
        <v>402349.79221445916</v>
      </c>
      <c r="W269">
        <f t="shared" ca="1" si="96"/>
        <v>305796.5252610984</v>
      </c>
      <c r="Z269" s="4">
        <f t="shared" ca="1" si="112"/>
        <v>0</v>
      </c>
      <c r="AA269">
        <f t="shared" ca="1" si="113"/>
        <v>1</v>
      </c>
      <c r="AC269" s="5"/>
      <c r="AX269" s="10">
        <f ca="1">Table1[[#This Row],[Car Value]]/Table1[[#This Row],[No. of Vehicles]]</f>
        <v>32345.611445492468</v>
      </c>
      <c r="AZ269">
        <f ca="1">IF(Table1[[#This Row],[Debts]]&gt;$BA$3,1,0)</f>
        <v>1</v>
      </c>
      <c r="BC269" s="12">
        <f ca="1">Table1[[#This Row],[Mortage left]]/Table1[[#This Row],[Value of The House]]</f>
        <v>0.59880543936473707</v>
      </c>
      <c r="BD269" s="4">
        <f t="shared" ca="1" si="114"/>
        <v>0</v>
      </c>
      <c r="BE269" s="5"/>
    </row>
    <row r="270" spans="4:57" x14ac:dyDescent="0.3">
      <c r="D270">
        <f t="shared" ca="1" si="98"/>
        <v>1</v>
      </c>
      <c r="E270" t="str">
        <f t="shared" ca="1" si="99"/>
        <v>Male</v>
      </c>
      <c r="F270">
        <f t="shared" ca="1" si="100"/>
        <v>28</v>
      </c>
      <c r="G270">
        <f t="shared" ca="1" si="101"/>
        <v>2</v>
      </c>
      <c r="H270" t="str">
        <f t="shared" ca="1" si="102"/>
        <v>Construction</v>
      </c>
      <c r="I270">
        <f t="shared" ca="1" si="103"/>
        <v>4</v>
      </c>
      <c r="J270" t="str">
        <f t="shared" ca="1" si="104"/>
        <v>Technical</v>
      </c>
      <c r="K270">
        <f t="shared" ca="1" si="105"/>
        <v>0</v>
      </c>
      <c r="L270">
        <f t="shared" ca="1" si="106"/>
        <v>1</v>
      </c>
      <c r="M270">
        <f t="shared" ca="1" si="107"/>
        <v>72754</v>
      </c>
      <c r="N270">
        <f t="shared" ca="1" si="108"/>
        <v>2</v>
      </c>
      <c r="O270" t="str">
        <f t="shared" ca="1" si="109"/>
        <v>BC</v>
      </c>
      <c r="P270">
        <f t="shared" ca="1" si="92"/>
        <v>291016</v>
      </c>
      <c r="Q270">
        <f t="shared" ca="1" si="110"/>
        <v>59077.291857048353</v>
      </c>
      <c r="R270">
        <f t="shared" ca="1" si="97"/>
        <v>25369.4459981689</v>
      </c>
      <c r="S270">
        <f t="shared" ca="1" si="111"/>
        <v>3447</v>
      </c>
      <c r="T270">
        <f t="shared" ca="1" si="93"/>
        <v>49603.52437200112</v>
      </c>
      <c r="U270">
        <f t="shared" ca="1" si="94"/>
        <v>67134.396585728886</v>
      </c>
      <c r="V270">
        <f t="shared" ca="1" si="95"/>
        <v>383519.84258389776</v>
      </c>
      <c r="W270">
        <f t="shared" ca="1" si="96"/>
        <v>112127.81622904947</v>
      </c>
      <c r="Z270" s="4">
        <f t="shared" ca="1" si="112"/>
        <v>1</v>
      </c>
      <c r="AA270">
        <f t="shared" ca="1" si="113"/>
        <v>0</v>
      </c>
      <c r="AC270" s="5"/>
      <c r="AX270" s="10">
        <f ca="1">Table1[[#This Row],[Car Value]]/Table1[[#This Row],[No. of Vehicles]]</f>
        <v>25369.4459981689</v>
      </c>
      <c r="AZ270">
        <f ca="1">IF(Table1[[#This Row],[Debts]]&gt;$BA$3,1,0)</f>
        <v>1</v>
      </c>
      <c r="BC270" s="12">
        <f ca="1">Table1[[#This Row],[Mortage left]]/Table1[[#This Row],[Value of The House]]</f>
        <v>0.2030035869404031</v>
      </c>
      <c r="BD270" s="4">
        <f t="shared" ca="1" si="114"/>
        <v>0</v>
      </c>
      <c r="BE270" s="5"/>
    </row>
    <row r="271" spans="4:57" x14ac:dyDescent="0.3">
      <c r="D271">
        <f t="shared" ca="1" si="98"/>
        <v>2</v>
      </c>
      <c r="E271" t="str">
        <f t="shared" ca="1" si="99"/>
        <v>Female</v>
      </c>
      <c r="F271">
        <f t="shared" ca="1" si="100"/>
        <v>45</v>
      </c>
      <c r="G271">
        <f t="shared" ca="1" si="101"/>
        <v>1</v>
      </c>
      <c r="H271" t="str">
        <f t="shared" ca="1" si="102"/>
        <v>Health</v>
      </c>
      <c r="I271">
        <f t="shared" ca="1" si="103"/>
        <v>2</v>
      </c>
      <c r="J271" t="str">
        <f t="shared" ca="1" si="104"/>
        <v>College</v>
      </c>
      <c r="K271">
        <f t="shared" ca="1" si="105"/>
        <v>3</v>
      </c>
      <c r="L271">
        <f t="shared" ca="1" si="106"/>
        <v>2</v>
      </c>
      <c r="M271">
        <f t="shared" ca="1" si="107"/>
        <v>62457</v>
      </c>
      <c r="N271">
        <f t="shared" ca="1" si="108"/>
        <v>1</v>
      </c>
      <c r="O271" t="str">
        <f t="shared" ca="1" si="109"/>
        <v>Yukon</v>
      </c>
      <c r="P271">
        <f t="shared" ca="1" si="92"/>
        <v>312285</v>
      </c>
      <c r="Q271">
        <f t="shared" ca="1" si="110"/>
        <v>234204.88969762405</v>
      </c>
      <c r="R271">
        <f t="shared" ca="1" si="97"/>
        <v>48935.903872415067</v>
      </c>
      <c r="S271">
        <f t="shared" ca="1" si="111"/>
        <v>4954</v>
      </c>
      <c r="T271">
        <f t="shared" ca="1" si="93"/>
        <v>87223.748692499255</v>
      </c>
      <c r="U271">
        <f t="shared" ca="1" si="94"/>
        <v>15936.799879679398</v>
      </c>
      <c r="V271">
        <f t="shared" ca="1" si="95"/>
        <v>377157.70375209447</v>
      </c>
      <c r="W271">
        <f t="shared" ca="1" si="96"/>
        <v>326382.63839012332</v>
      </c>
      <c r="Z271" s="4">
        <f t="shared" ca="1" si="112"/>
        <v>0</v>
      </c>
      <c r="AA271">
        <f t="shared" ca="1" si="113"/>
        <v>1</v>
      </c>
      <c r="AC271" s="5"/>
      <c r="AX271" s="10">
        <f ca="1">Table1[[#This Row],[Car Value]]/Table1[[#This Row],[No. of Vehicles]]</f>
        <v>24467.951936207533</v>
      </c>
      <c r="AZ271">
        <f ca="1">IF(Table1[[#This Row],[Debts]]&gt;$BA$3,1,0)</f>
        <v>1</v>
      </c>
      <c r="BC271" s="12">
        <f ca="1">Table1[[#This Row],[Mortage left]]/Table1[[#This Row],[Value of The House]]</f>
        <v>0.74997162751212532</v>
      </c>
      <c r="BD271" s="4">
        <f t="shared" ca="1" si="114"/>
        <v>0</v>
      </c>
      <c r="BE271" s="5"/>
    </row>
    <row r="272" spans="4:57" x14ac:dyDescent="0.3">
      <c r="D272">
        <f t="shared" ca="1" si="98"/>
        <v>2</v>
      </c>
      <c r="E272" t="str">
        <f t="shared" ca="1" si="99"/>
        <v>Female</v>
      </c>
      <c r="F272">
        <f t="shared" ca="1" si="100"/>
        <v>30</v>
      </c>
      <c r="G272">
        <f t="shared" ca="1" si="101"/>
        <v>6</v>
      </c>
      <c r="H272" t="str">
        <f t="shared" ca="1" si="102"/>
        <v>General Work</v>
      </c>
      <c r="I272">
        <f t="shared" ca="1" si="103"/>
        <v>5</v>
      </c>
      <c r="J272" t="str">
        <f t="shared" ca="1" si="104"/>
        <v>Other</v>
      </c>
      <c r="K272">
        <f t="shared" ca="1" si="105"/>
        <v>0</v>
      </c>
      <c r="L272">
        <f t="shared" ca="1" si="106"/>
        <v>1</v>
      </c>
      <c r="M272">
        <f t="shared" ca="1" si="107"/>
        <v>84486</v>
      </c>
      <c r="N272">
        <f t="shared" ca="1" si="108"/>
        <v>8</v>
      </c>
      <c r="O272" t="str">
        <f t="shared" ca="1" si="109"/>
        <v>Ontario</v>
      </c>
      <c r="P272">
        <f t="shared" ca="1" si="92"/>
        <v>422430</v>
      </c>
      <c r="Q272">
        <f t="shared" ca="1" si="110"/>
        <v>401118.45850017888</v>
      </c>
      <c r="R272">
        <f t="shared" ca="1" si="97"/>
        <v>58186.99512350688</v>
      </c>
      <c r="S272">
        <f t="shared" ca="1" si="111"/>
        <v>14550</v>
      </c>
      <c r="T272">
        <f t="shared" ca="1" si="93"/>
        <v>6004.3552989610989</v>
      </c>
      <c r="U272">
        <f t="shared" ca="1" si="94"/>
        <v>77982.735868441596</v>
      </c>
      <c r="V272">
        <f t="shared" ca="1" si="95"/>
        <v>558599.73099194851</v>
      </c>
      <c r="W272">
        <f t="shared" ca="1" si="96"/>
        <v>421672.81379913999</v>
      </c>
      <c r="Z272" s="4">
        <f t="shared" ca="1" si="112"/>
        <v>0</v>
      </c>
      <c r="AA272">
        <f t="shared" ca="1" si="113"/>
        <v>1</v>
      </c>
      <c r="AC272" s="5"/>
      <c r="AX272" s="10">
        <f ca="1">Table1[[#This Row],[Car Value]]/Table1[[#This Row],[No. of Vehicles]]</f>
        <v>58186.99512350688</v>
      </c>
      <c r="AZ272">
        <f ca="1">IF(Table1[[#This Row],[Debts]]&gt;$BA$3,1,0)</f>
        <v>0</v>
      </c>
      <c r="BC272" s="12">
        <f ca="1">Table1[[#This Row],[Mortage left]]/Table1[[#This Row],[Value of The House]]</f>
        <v>0.94955012309774134</v>
      </c>
      <c r="BD272" s="4">
        <f t="shared" ca="1" si="114"/>
        <v>0</v>
      </c>
      <c r="BE272" s="5"/>
    </row>
    <row r="273" spans="4:57" x14ac:dyDescent="0.3">
      <c r="D273">
        <f t="shared" ca="1" si="98"/>
        <v>2</v>
      </c>
      <c r="E273" t="str">
        <f t="shared" ca="1" si="99"/>
        <v>Female</v>
      </c>
      <c r="F273">
        <f t="shared" ca="1" si="100"/>
        <v>31</v>
      </c>
      <c r="G273">
        <f t="shared" ca="1" si="101"/>
        <v>3</v>
      </c>
      <c r="H273" t="str">
        <f t="shared" ca="1" si="102"/>
        <v>Teaching</v>
      </c>
      <c r="I273">
        <f t="shared" ca="1" si="103"/>
        <v>5</v>
      </c>
      <c r="J273" t="str">
        <f t="shared" ca="1" si="104"/>
        <v>Other</v>
      </c>
      <c r="K273">
        <f t="shared" ca="1" si="105"/>
        <v>2</v>
      </c>
      <c r="L273">
        <f t="shared" ca="1" si="106"/>
        <v>1</v>
      </c>
      <c r="M273">
        <f t="shared" ca="1" si="107"/>
        <v>56403</v>
      </c>
      <c r="N273">
        <f t="shared" ca="1" si="108"/>
        <v>1</v>
      </c>
      <c r="O273" t="str">
        <f t="shared" ca="1" si="109"/>
        <v>Yukon</v>
      </c>
      <c r="P273">
        <f t="shared" ca="1" si="92"/>
        <v>282015</v>
      </c>
      <c r="Q273">
        <f t="shared" ca="1" si="110"/>
        <v>32512.01600765956</v>
      </c>
      <c r="R273">
        <f t="shared" ca="1" si="97"/>
        <v>33136.128306867518</v>
      </c>
      <c r="S273">
        <f t="shared" ca="1" si="111"/>
        <v>15368</v>
      </c>
      <c r="T273">
        <f t="shared" ca="1" si="93"/>
        <v>28692.686350196978</v>
      </c>
      <c r="U273">
        <f t="shared" ca="1" si="94"/>
        <v>57924.570323040185</v>
      </c>
      <c r="V273">
        <f t="shared" ca="1" si="95"/>
        <v>373075.69862990768</v>
      </c>
      <c r="W273">
        <f t="shared" ca="1" si="96"/>
        <v>76572.702357856542</v>
      </c>
      <c r="Z273" s="4">
        <f t="shared" ca="1" si="112"/>
        <v>0</v>
      </c>
      <c r="AA273">
        <f t="shared" ca="1" si="113"/>
        <v>1</v>
      </c>
      <c r="AC273" s="5"/>
      <c r="AX273" s="10">
        <f ca="1">Table1[[#This Row],[Car Value]]/Table1[[#This Row],[No. of Vehicles]]</f>
        <v>33136.128306867518</v>
      </c>
      <c r="AZ273">
        <f ca="1">IF(Table1[[#This Row],[Debts]]&gt;$BA$3,1,0)</f>
        <v>1</v>
      </c>
      <c r="BC273" s="12">
        <f ca="1">Table1[[#This Row],[Mortage left]]/Table1[[#This Row],[Value of The House]]</f>
        <v>0.11528470474144836</v>
      </c>
      <c r="BD273" s="4">
        <f t="shared" ca="1" si="114"/>
        <v>1</v>
      </c>
      <c r="BE273" s="5"/>
    </row>
    <row r="274" spans="4:57" x14ac:dyDescent="0.3">
      <c r="D274">
        <f t="shared" ca="1" si="98"/>
        <v>1</v>
      </c>
      <c r="E274" t="str">
        <f t="shared" ca="1" si="99"/>
        <v>Male</v>
      </c>
      <c r="F274">
        <f t="shared" ca="1" si="100"/>
        <v>40</v>
      </c>
      <c r="G274">
        <f t="shared" ca="1" si="101"/>
        <v>5</v>
      </c>
      <c r="H274" t="str">
        <f t="shared" ca="1" si="102"/>
        <v>Agriculture</v>
      </c>
      <c r="I274">
        <f t="shared" ca="1" si="103"/>
        <v>3</v>
      </c>
      <c r="J274" t="str">
        <f t="shared" ca="1" si="104"/>
        <v>University</v>
      </c>
      <c r="K274">
        <f t="shared" ca="1" si="105"/>
        <v>2</v>
      </c>
      <c r="L274">
        <f t="shared" ca="1" si="106"/>
        <v>2</v>
      </c>
      <c r="M274">
        <f t="shared" ca="1" si="107"/>
        <v>84766</v>
      </c>
      <c r="N274">
        <f t="shared" ca="1" si="108"/>
        <v>12</v>
      </c>
      <c r="O274" t="str">
        <f t="shared" ca="1" si="109"/>
        <v>Nova scotia</v>
      </c>
      <c r="P274">
        <f t="shared" ca="1" si="92"/>
        <v>508596</v>
      </c>
      <c r="Q274">
        <f t="shared" ca="1" si="110"/>
        <v>475672.34871426097</v>
      </c>
      <c r="R274">
        <f t="shared" ca="1" si="97"/>
        <v>147638.08178823534</v>
      </c>
      <c r="S274">
        <f t="shared" ca="1" si="111"/>
        <v>108623</v>
      </c>
      <c r="T274">
        <f t="shared" ca="1" si="93"/>
        <v>90630.455377428632</v>
      </c>
      <c r="U274">
        <f t="shared" ca="1" si="94"/>
        <v>479.38951533754312</v>
      </c>
      <c r="V274">
        <f t="shared" ca="1" si="95"/>
        <v>656713.47130357288</v>
      </c>
      <c r="W274">
        <f t="shared" ca="1" si="96"/>
        <v>674925.80409168964</v>
      </c>
      <c r="Z274" s="4">
        <f t="shared" ca="1" si="112"/>
        <v>1</v>
      </c>
      <c r="AA274">
        <f t="shared" ca="1" si="113"/>
        <v>0</v>
      </c>
      <c r="AC274" s="5"/>
      <c r="AX274" s="10">
        <f ca="1">Table1[[#This Row],[Car Value]]/Table1[[#This Row],[No. of Vehicles]]</f>
        <v>73819.040894117672</v>
      </c>
      <c r="AZ274">
        <f ca="1">IF(Table1[[#This Row],[Debts]]&gt;$BA$3,1,0)</f>
        <v>1</v>
      </c>
      <c r="BC274" s="12">
        <f ca="1">Table1[[#This Row],[Mortage left]]/Table1[[#This Row],[Value of The House]]</f>
        <v>0.93526561104346273</v>
      </c>
      <c r="BD274" s="4">
        <f t="shared" ca="1" si="114"/>
        <v>0</v>
      </c>
      <c r="BE274" s="5"/>
    </row>
    <row r="275" spans="4:57" x14ac:dyDescent="0.3">
      <c r="D275">
        <f t="shared" ca="1" si="98"/>
        <v>1</v>
      </c>
      <c r="E275" t="str">
        <f t="shared" ca="1" si="99"/>
        <v>Male</v>
      </c>
      <c r="F275">
        <f t="shared" ca="1" si="100"/>
        <v>29</v>
      </c>
      <c r="G275">
        <f t="shared" ca="1" si="101"/>
        <v>3</v>
      </c>
      <c r="H275" t="str">
        <f t="shared" ca="1" si="102"/>
        <v>Teaching</v>
      </c>
      <c r="I275">
        <f t="shared" ca="1" si="103"/>
        <v>1</v>
      </c>
      <c r="J275" t="str">
        <f t="shared" ca="1" si="104"/>
        <v>High School</v>
      </c>
      <c r="K275">
        <f t="shared" ca="1" si="105"/>
        <v>2</v>
      </c>
      <c r="L275">
        <f t="shared" ca="1" si="106"/>
        <v>1</v>
      </c>
      <c r="M275">
        <f t="shared" ca="1" si="107"/>
        <v>83044</v>
      </c>
      <c r="N275">
        <f t="shared" ca="1" si="108"/>
        <v>6</v>
      </c>
      <c r="O275" t="str">
        <f t="shared" ca="1" si="109"/>
        <v>Saskatchewan</v>
      </c>
      <c r="P275">
        <f t="shared" ca="1" si="92"/>
        <v>332176</v>
      </c>
      <c r="Q275">
        <f t="shared" ca="1" si="110"/>
        <v>290064.22929950507</v>
      </c>
      <c r="R275">
        <f t="shared" ca="1" si="97"/>
        <v>48536.525662828957</v>
      </c>
      <c r="S275">
        <f t="shared" ca="1" si="111"/>
        <v>19692</v>
      </c>
      <c r="T275">
        <f t="shared" ca="1" si="93"/>
        <v>29907.699841292892</v>
      </c>
      <c r="U275">
        <f t="shared" ca="1" si="94"/>
        <v>73178.782035803524</v>
      </c>
      <c r="V275">
        <f t="shared" ca="1" si="95"/>
        <v>453891.30769863247</v>
      </c>
      <c r="W275">
        <f t="shared" ca="1" si="96"/>
        <v>339663.92914079793</v>
      </c>
      <c r="Z275" s="4">
        <f t="shared" ca="1" si="112"/>
        <v>1</v>
      </c>
      <c r="AA275">
        <f t="shared" ca="1" si="113"/>
        <v>0</v>
      </c>
      <c r="AC275" s="5"/>
      <c r="AX275" s="10">
        <f ca="1">Table1[[#This Row],[Car Value]]/Table1[[#This Row],[No. of Vehicles]]</f>
        <v>48536.525662828957</v>
      </c>
      <c r="AZ275">
        <f ca="1">IF(Table1[[#This Row],[Debts]]&gt;$BA$3,1,0)</f>
        <v>1</v>
      </c>
      <c r="BC275" s="12">
        <f ca="1">Table1[[#This Row],[Mortage left]]/Table1[[#This Row],[Value of The House]]</f>
        <v>0.87322452344391244</v>
      </c>
      <c r="BD275" s="4">
        <f t="shared" ca="1" si="114"/>
        <v>0</v>
      </c>
      <c r="BE275" s="5"/>
    </row>
    <row r="276" spans="4:57" x14ac:dyDescent="0.3">
      <c r="D276">
        <f t="shared" ca="1" si="98"/>
        <v>1</v>
      </c>
      <c r="E276" t="str">
        <f t="shared" ca="1" si="99"/>
        <v>Male</v>
      </c>
      <c r="F276">
        <f t="shared" ca="1" si="100"/>
        <v>45</v>
      </c>
      <c r="G276">
        <f t="shared" ca="1" si="101"/>
        <v>5</v>
      </c>
      <c r="H276" t="str">
        <f t="shared" ca="1" si="102"/>
        <v>Agriculture</v>
      </c>
      <c r="I276">
        <f t="shared" ca="1" si="103"/>
        <v>4</v>
      </c>
      <c r="J276" t="str">
        <f t="shared" ca="1" si="104"/>
        <v>Technical</v>
      </c>
      <c r="K276">
        <f t="shared" ca="1" si="105"/>
        <v>4</v>
      </c>
      <c r="L276">
        <f t="shared" ca="1" si="106"/>
        <v>1</v>
      </c>
      <c r="M276">
        <f t="shared" ca="1" si="107"/>
        <v>73542</v>
      </c>
      <c r="N276">
        <f t="shared" ca="1" si="108"/>
        <v>7</v>
      </c>
      <c r="O276" t="str">
        <f t="shared" ca="1" si="109"/>
        <v>Manitoba</v>
      </c>
      <c r="P276">
        <f t="shared" ca="1" si="92"/>
        <v>441252</v>
      </c>
      <c r="Q276">
        <f t="shared" ca="1" si="110"/>
        <v>208688.32558075179</v>
      </c>
      <c r="R276">
        <f t="shared" ca="1" si="97"/>
        <v>59637.74421505924</v>
      </c>
      <c r="S276">
        <f t="shared" ca="1" si="111"/>
        <v>19155</v>
      </c>
      <c r="T276">
        <f t="shared" ca="1" si="93"/>
        <v>9326.7816541498451</v>
      </c>
      <c r="U276">
        <f t="shared" ca="1" si="94"/>
        <v>95460.563166027743</v>
      </c>
      <c r="V276">
        <f t="shared" ca="1" si="95"/>
        <v>596350.30738108698</v>
      </c>
      <c r="W276">
        <f t="shared" ca="1" si="96"/>
        <v>237170.10723490163</v>
      </c>
      <c r="Z276" s="4">
        <f t="shared" ca="1" si="112"/>
        <v>1</v>
      </c>
      <c r="AA276">
        <f t="shared" ca="1" si="113"/>
        <v>0</v>
      </c>
      <c r="AC276" s="5"/>
      <c r="AX276" s="10">
        <f ca="1">Table1[[#This Row],[Car Value]]/Table1[[#This Row],[No. of Vehicles]]</f>
        <v>59637.74421505924</v>
      </c>
      <c r="AZ276">
        <f ca="1">IF(Table1[[#This Row],[Debts]]&gt;$BA$3,1,0)</f>
        <v>0</v>
      </c>
      <c r="BC276" s="12">
        <f ca="1">Table1[[#This Row],[Mortage left]]/Table1[[#This Row],[Value of The House]]</f>
        <v>0.47294590297778094</v>
      </c>
      <c r="BD276" s="4">
        <f t="shared" ca="1" si="114"/>
        <v>0</v>
      </c>
      <c r="BE276" s="5"/>
    </row>
    <row r="277" spans="4:57" x14ac:dyDescent="0.3">
      <c r="D277">
        <f t="shared" ca="1" si="98"/>
        <v>1</v>
      </c>
      <c r="E277" t="str">
        <f t="shared" ca="1" si="99"/>
        <v>Male</v>
      </c>
      <c r="F277">
        <f t="shared" ca="1" si="100"/>
        <v>25</v>
      </c>
      <c r="G277">
        <f t="shared" ca="1" si="101"/>
        <v>3</v>
      </c>
      <c r="H277" t="str">
        <f t="shared" ca="1" si="102"/>
        <v>Teaching</v>
      </c>
      <c r="I277">
        <f t="shared" ca="1" si="103"/>
        <v>5</v>
      </c>
      <c r="J277" t="str">
        <f t="shared" ca="1" si="104"/>
        <v>Other</v>
      </c>
      <c r="K277">
        <f t="shared" ca="1" si="105"/>
        <v>4</v>
      </c>
      <c r="L277">
        <f t="shared" ca="1" si="106"/>
        <v>1</v>
      </c>
      <c r="M277">
        <f t="shared" ca="1" si="107"/>
        <v>43990</v>
      </c>
      <c r="N277">
        <f t="shared" ca="1" si="108"/>
        <v>6</v>
      </c>
      <c r="O277" t="str">
        <f t="shared" ca="1" si="109"/>
        <v>Saskatchewan</v>
      </c>
      <c r="P277">
        <f t="shared" ca="1" si="92"/>
        <v>175960</v>
      </c>
      <c r="Q277">
        <f t="shared" ca="1" si="110"/>
        <v>160980.67260892788</v>
      </c>
      <c r="R277">
        <f t="shared" ca="1" si="97"/>
        <v>26738.767527069896</v>
      </c>
      <c r="S277">
        <f t="shared" ca="1" si="111"/>
        <v>6397</v>
      </c>
      <c r="T277">
        <f t="shared" ca="1" si="93"/>
        <v>72172.8718625576</v>
      </c>
      <c r="U277">
        <f t="shared" ca="1" si="94"/>
        <v>51760.453036685867</v>
      </c>
      <c r="V277">
        <f t="shared" ca="1" si="95"/>
        <v>254459.22056375578</v>
      </c>
      <c r="W277">
        <f t="shared" ca="1" si="96"/>
        <v>239550.54447148548</v>
      </c>
      <c r="Z277" s="4">
        <f t="shared" ca="1" si="112"/>
        <v>1</v>
      </c>
      <c r="AA277">
        <f t="shared" ca="1" si="113"/>
        <v>0</v>
      </c>
      <c r="AC277" s="5"/>
      <c r="AX277" s="10">
        <f ca="1">Table1[[#This Row],[Car Value]]/Table1[[#This Row],[No. of Vehicles]]</f>
        <v>26738.767527069896</v>
      </c>
      <c r="AZ277">
        <f ca="1">IF(Table1[[#This Row],[Debts]]&gt;$BA$3,1,0)</f>
        <v>1</v>
      </c>
      <c r="BC277" s="12">
        <f ca="1">Table1[[#This Row],[Mortage left]]/Table1[[#This Row],[Value of The House]]</f>
        <v>0.91487083774112232</v>
      </c>
      <c r="BD277" s="4">
        <f t="shared" ca="1" si="114"/>
        <v>0</v>
      </c>
      <c r="BE277" s="5"/>
    </row>
    <row r="278" spans="4:57" x14ac:dyDescent="0.3">
      <c r="D278">
        <f t="shared" ca="1" si="98"/>
        <v>1</v>
      </c>
      <c r="E278" t="str">
        <f t="shared" ca="1" si="99"/>
        <v>Male</v>
      </c>
      <c r="F278">
        <f t="shared" ca="1" si="100"/>
        <v>28</v>
      </c>
      <c r="G278">
        <f t="shared" ca="1" si="101"/>
        <v>3</v>
      </c>
      <c r="H278" t="str">
        <f t="shared" ca="1" si="102"/>
        <v>Teaching</v>
      </c>
      <c r="I278">
        <f t="shared" ca="1" si="103"/>
        <v>4</v>
      </c>
      <c r="J278" t="str">
        <f t="shared" ca="1" si="104"/>
        <v>Technical</v>
      </c>
      <c r="K278">
        <f t="shared" ca="1" si="105"/>
        <v>4</v>
      </c>
      <c r="L278">
        <f t="shared" ca="1" si="106"/>
        <v>1</v>
      </c>
      <c r="M278">
        <f t="shared" ca="1" si="107"/>
        <v>80993</v>
      </c>
      <c r="N278">
        <f t="shared" ca="1" si="108"/>
        <v>5</v>
      </c>
      <c r="O278" t="str">
        <f t="shared" ca="1" si="109"/>
        <v>Nunavut</v>
      </c>
      <c r="P278">
        <f t="shared" ca="1" si="92"/>
        <v>485958</v>
      </c>
      <c r="Q278">
        <f t="shared" ca="1" si="110"/>
        <v>16873.170772332793</v>
      </c>
      <c r="R278">
        <f t="shared" ca="1" si="97"/>
        <v>76349.992307089778</v>
      </c>
      <c r="S278">
        <f t="shared" ca="1" si="111"/>
        <v>1681</v>
      </c>
      <c r="T278">
        <f t="shared" ca="1" si="93"/>
        <v>53007.625823507311</v>
      </c>
      <c r="U278">
        <f t="shared" ca="1" si="94"/>
        <v>66860.756982864084</v>
      </c>
      <c r="V278">
        <f t="shared" ca="1" si="95"/>
        <v>629168.74928995385</v>
      </c>
      <c r="W278">
        <f t="shared" ca="1" si="96"/>
        <v>71561.796595840104</v>
      </c>
      <c r="Z278" s="4">
        <f t="shared" ca="1" si="112"/>
        <v>1</v>
      </c>
      <c r="AA278">
        <f t="shared" ca="1" si="113"/>
        <v>0</v>
      </c>
      <c r="AC278" s="5"/>
      <c r="AX278" s="10">
        <f ca="1">Table1[[#This Row],[Car Value]]/Table1[[#This Row],[No. of Vehicles]]</f>
        <v>76349.992307089778</v>
      </c>
      <c r="AZ278">
        <f ca="1">IF(Table1[[#This Row],[Debts]]&gt;$BA$3,1,0)</f>
        <v>1</v>
      </c>
      <c r="BC278" s="12">
        <f ca="1">Table1[[#This Row],[Mortage left]]/Table1[[#This Row],[Value of The House]]</f>
        <v>3.4721458999199095E-2</v>
      </c>
      <c r="BD278" s="4">
        <f t="shared" ca="1" si="114"/>
        <v>1</v>
      </c>
      <c r="BE278" s="5"/>
    </row>
    <row r="279" spans="4:57" x14ac:dyDescent="0.3">
      <c r="D279">
        <f t="shared" ca="1" si="98"/>
        <v>1</v>
      </c>
      <c r="E279" t="str">
        <f t="shared" ca="1" si="99"/>
        <v>Male</v>
      </c>
      <c r="F279">
        <f t="shared" ca="1" si="100"/>
        <v>41</v>
      </c>
      <c r="G279">
        <f t="shared" ca="1" si="101"/>
        <v>2</v>
      </c>
      <c r="H279" t="str">
        <f t="shared" ca="1" si="102"/>
        <v>Construction</v>
      </c>
      <c r="I279">
        <f t="shared" ca="1" si="103"/>
        <v>5</v>
      </c>
      <c r="J279" t="str">
        <f t="shared" ca="1" si="104"/>
        <v>Other</v>
      </c>
      <c r="K279">
        <f t="shared" ca="1" si="105"/>
        <v>2</v>
      </c>
      <c r="L279">
        <f t="shared" ca="1" si="106"/>
        <v>2</v>
      </c>
      <c r="M279">
        <f t="shared" ca="1" si="107"/>
        <v>26734</v>
      </c>
      <c r="N279">
        <f t="shared" ca="1" si="108"/>
        <v>13</v>
      </c>
      <c r="O279" t="str">
        <f t="shared" ca="1" si="109"/>
        <v>Prince Edward Islnd</v>
      </c>
      <c r="P279">
        <f t="shared" ca="1" si="92"/>
        <v>106936</v>
      </c>
      <c r="Q279">
        <f t="shared" ca="1" si="110"/>
        <v>83316.065894009429</v>
      </c>
      <c r="R279">
        <f t="shared" ca="1" si="97"/>
        <v>25829.056033073157</v>
      </c>
      <c r="S279">
        <f t="shared" ca="1" si="111"/>
        <v>4098</v>
      </c>
      <c r="T279">
        <f t="shared" ca="1" si="93"/>
        <v>26575.912410152378</v>
      </c>
      <c r="U279">
        <f t="shared" ca="1" si="94"/>
        <v>38141.330649057018</v>
      </c>
      <c r="V279">
        <f t="shared" ca="1" si="95"/>
        <v>170906.38668213019</v>
      </c>
      <c r="W279">
        <f t="shared" ca="1" si="96"/>
        <v>113989.97830416181</v>
      </c>
      <c r="Z279" s="4">
        <f t="shared" ca="1" si="112"/>
        <v>1</v>
      </c>
      <c r="AA279">
        <f t="shared" ca="1" si="113"/>
        <v>0</v>
      </c>
      <c r="AC279" s="5"/>
      <c r="AX279" s="10">
        <f ca="1">Table1[[#This Row],[Car Value]]/Table1[[#This Row],[No. of Vehicles]]</f>
        <v>12914.528016536578</v>
      </c>
      <c r="AZ279">
        <f ca="1">IF(Table1[[#This Row],[Debts]]&gt;$BA$3,1,0)</f>
        <v>1</v>
      </c>
      <c r="BC279" s="12">
        <f ca="1">Table1[[#This Row],[Mortage left]]/Table1[[#This Row],[Value of The House]]</f>
        <v>0.77912083764129414</v>
      </c>
      <c r="BD279" s="4">
        <f t="shared" ca="1" si="114"/>
        <v>0</v>
      </c>
      <c r="BE279" s="5"/>
    </row>
    <row r="280" spans="4:57" x14ac:dyDescent="0.3">
      <c r="D280">
        <f t="shared" ca="1" si="98"/>
        <v>1</v>
      </c>
      <c r="E280" t="str">
        <f t="shared" ca="1" si="99"/>
        <v>Male</v>
      </c>
      <c r="F280">
        <f t="shared" ca="1" si="100"/>
        <v>26</v>
      </c>
      <c r="G280">
        <f t="shared" ca="1" si="101"/>
        <v>3</v>
      </c>
      <c r="H280" t="str">
        <f t="shared" ca="1" si="102"/>
        <v>Teaching</v>
      </c>
      <c r="I280">
        <f t="shared" ca="1" si="103"/>
        <v>1</v>
      </c>
      <c r="J280" t="str">
        <f t="shared" ca="1" si="104"/>
        <v>High School</v>
      </c>
      <c r="K280">
        <f t="shared" ca="1" si="105"/>
        <v>4</v>
      </c>
      <c r="L280">
        <f t="shared" ca="1" si="106"/>
        <v>1</v>
      </c>
      <c r="M280">
        <f t="shared" ca="1" si="107"/>
        <v>51174</v>
      </c>
      <c r="N280">
        <f t="shared" ca="1" si="108"/>
        <v>13</v>
      </c>
      <c r="O280" t="str">
        <f t="shared" ca="1" si="109"/>
        <v>Prince Edward Islnd</v>
      </c>
      <c r="P280">
        <f t="shared" ca="1" si="92"/>
        <v>307044</v>
      </c>
      <c r="Q280">
        <f t="shared" ca="1" si="110"/>
        <v>22419.343986631742</v>
      </c>
      <c r="R280">
        <f t="shared" ca="1" si="97"/>
        <v>3863.8749108872357</v>
      </c>
      <c r="S280">
        <f t="shared" ca="1" si="111"/>
        <v>1182</v>
      </c>
      <c r="T280">
        <f t="shared" ca="1" si="93"/>
        <v>62252.350202415932</v>
      </c>
      <c r="U280">
        <f t="shared" ca="1" si="94"/>
        <v>63355.210709999134</v>
      </c>
      <c r="V280">
        <f t="shared" ca="1" si="95"/>
        <v>374263.08562088636</v>
      </c>
      <c r="W280">
        <f t="shared" ca="1" si="96"/>
        <v>85853.694189047674</v>
      </c>
      <c r="Z280" s="4">
        <f t="shared" ca="1" si="112"/>
        <v>1</v>
      </c>
      <c r="AA280">
        <f t="shared" ca="1" si="113"/>
        <v>0</v>
      </c>
      <c r="AC280" s="5"/>
      <c r="AX280" s="10">
        <f ca="1">Table1[[#This Row],[Car Value]]/Table1[[#This Row],[No. of Vehicles]]</f>
        <v>3863.8749108872357</v>
      </c>
      <c r="AZ280">
        <f ca="1">IF(Table1[[#This Row],[Debts]]&gt;$BA$3,1,0)</f>
        <v>1</v>
      </c>
      <c r="BC280" s="12">
        <f ca="1">Table1[[#This Row],[Mortage left]]/Table1[[#This Row],[Value of The House]]</f>
        <v>7.3016714173316344E-2</v>
      </c>
      <c r="BD280" s="4">
        <f t="shared" ca="1" si="114"/>
        <v>1</v>
      </c>
      <c r="BE280" s="5"/>
    </row>
    <row r="281" spans="4:57" x14ac:dyDescent="0.3">
      <c r="D281">
        <f t="shared" ca="1" si="98"/>
        <v>1</v>
      </c>
      <c r="E281" t="str">
        <f t="shared" ca="1" si="99"/>
        <v>Male</v>
      </c>
      <c r="F281">
        <f t="shared" ca="1" si="100"/>
        <v>43</v>
      </c>
      <c r="G281">
        <f t="shared" ca="1" si="101"/>
        <v>6</v>
      </c>
      <c r="H281" t="str">
        <f t="shared" ca="1" si="102"/>
        <v>General Work</v>
      </c>
      <c r="I281">
        <f t="shared" ca="1" si="103"/>
        <v>5</v>
      </c>
      <c r="J281" t="str">
        <f t="shared" ca="1" si="104"/>
        <v>Other</v>
      </c>
      <c r="K281">
        <f t="shared" ca="1" si="105"/>
        <v>0</v>
      </c>
      <c r="L281">
        <f t="shared" ca="1" si="106"/>
        <v>2</v>
      </c>
      <c r="M281">
        <f t="shared" ca="1" si="107"/>
        <v>44963</v>
      </c>
      <c r="N281">
        <f t="shared" ca="1" si="108"/>
        <v>6</v>
      </c>
      <c r="O281" t="str">
        <f t="shared" ca="1" si="109"/>
        <v>Saskatchewan</v>
      </c>
      <c r="P281">
        <f t="shared" ca="1" si="92"/>
        <v>179852</v>
      </c>
      <c r="Q281">
        <f t="shared" ca="1" si="110"/>
        <v>100664.2027050085</v>
      </c>
      <c r="R281">
        <f t="shared" ca="1" si="97"/>
        <v>27941.603663890739</v>
      </c>
      <c r="S281">
        <f t="shared" ca="1" si="111"/>
        <v>9176</v>
      </c>
      <c r="T281">
        <f t="shared" ca="1" si="93"/>
        <v>45715.25368083395</v>
      </c>
      <c r="U281">
        <f t="shared" ca="1" si="94"/>
        <v>39104.348629333297</v>
      </c>
      <c r="V281">
        <f t="shared" ca="1" si="95"/>
        <v>246897.95229322405</v>
      </c>
      <c r="W281">
        <f t="shared" ca="1" si="96"/>
        <v>155555.45638584247</v>
      </c>
      <c r="Z281" s="4">
        <f t="shared" ca="1" si="112"/>
        <v>1</v>
      </c>
      <c r="AA281">
        <f t="shared" ca="1" si="113"/>
        <v>0</v>
      </c>
      <c r="AC281" s="5"/>
      <c r="AX281" s="10">
        <f ca="1">Table1[[#This Row],[Car Value]]/Table1[[#This Row],[No. of Vehicles]]</f>
        <v>13970.801831945369</v>
      </c>
      <c r="AZ281">
        <f ca="1">IF(Table1[[#This Row],[Debts]]&gt;$BA$3,1,0)</f>
        <v>1</v>
      </c>
      <c r="BC281" s="12">
        <f ca="1">Table1[[#This Row],[Mortage left]]/Table1[[#This Row],[Value of The House]]</f>
        <v>0.55970577310793601</v>
      </c>
      <c r="BD281" s="4">
        <f t="shared" ca="1" si="114"/>
        <v>0</v>
      </c>
      <c r="BE281" s="5"/>
    </row>
    <row r="282" spans="4:57" x14ac:dyDescent="0.3">
      <c r="D282">
        <f t="shared" ca="1" si="98"/>
        <v>1</v>
      </c>
      <c r="E282" t="str">
        <f t="shared" ca="1" si="99"/>
        <v>Male</v>
      </c>
      <c r="F282">
        <f t="shared" ca="1" si="100"/>
        <v>32</v>
      </c>
      <c r="G282">
        <f t="shared" ca="1" si="101"/>
        <v>4</v>
      </c>
      <c r="H282" t="str">
        <f t="shared" ca="1" si="102"/>
        <v>IT</v>
      </c>
      <c r="I282">
        <f t="shared" ca="1" si="103"/>
        <v>1</v>
      </c>
      <c r="J282" t="str">
        <f t="shared" ca="1" si="104"/>
        <v>High School</v>
      </c>
      <c r="K282">
        <f t="shared" ca="1" si="105"/>
        <v>1</v>
      </c>
      <c r="L282">
        <f t="shared" ca="1" si="106"/>
        <v>1</v>
      </c>
      <c r="M282">
        <f t="shared" ca="1" si="107"/>
        <v>45014</v>
      </c>
      <c r="N282">
        <f t="shared" ca="1" si="108"/>
        <v>12</v>
      </c>
      <c r="O282" t="str">
        <f t="shared" ca="1" si="109"/>
        <v>Nova scotia</v>
      </c>
      <c r="P282">
        <f t="shared" ca="1" si="92"/>
        <v>270084</v>
      </c>
      <c r="Q282">
        <f t="shared" ca="1" si="110"/>
        <v>250291.50847355271</v>
      </c>
      <c r="R282">
        <f t="shared" ca="1" si="97"/>
        <v>40066.159202455936</v>
      </c>
      <c r="S282">
        <f t="shared" ca="1" si="111"/>
        <v>15302</v>
      </c>
      <c r="T282">
        <f t="shared" ca="1" si="93"/>
        <v>25824.899978835922</v>
      </c>
      <c r="U282">
        <f t="shared" ca="1" si="94"/>
        <v>2949.0072893552319</v>
      </c>
      <c r="V282">
        <f t="shared" ca="1" si="95"/>
        <v>313099.16649181116</v>
      </c>
      <c r="W282">
        <f t="shared" ca="1" si="96"/>
        <v>291418.4084523886</v>
      </c>
      <c r="Z282" s="4">
        <f t="shared" ca="1" si="112"/>
        <v>1</v>
      </c>
      <c r="AA282">
        <f t="shared" ca="1" si="113"/>
        <v>0</v>
      </c>
      <c r="AC282" s="5"/>
      <c r="AX282" s="10">
        <f ca="1">Table1[[#This Row],[Car Value]]/Table1[[#This Row],[No. of Vehicles]]</f>
        <v>40066.159202455936</v>
      </c>
      <c r="AZ282">
        <f ca="1">IF(Table1[[#This Row],[Debts]]&gt;$BA$3,1,0)</f>
        <v>1</v>
      </c>
      <c r="BC282" s="12">
        <f ca="1">Table1[[#This Row],[Mortage left]]/Table1[[#This Row],[Value of The House]]</f>
        <v>0.92671727489800471</v>
      </c>
      <c r="BD282" s="4">
        <f t="shared" ca="1" si="114"/>
        <v>0</v>
      </c>
      <c r="BE282" s="5"/>
    </row>
    <row r="283" spans="4:57" x14ac:dyDescent="0.3">
      <c r="D283">
        <f t="shared" ca="1" si="98"/>
        <v>1</v>
      </c>
      <c r="E283" t="str">
        <f t="shared" ca="1" si="99"/>
        <v>Male</v>
      </c>
      <c r="F283">
        <f t="shared" ca="1" si="100"/>
        <v>26</v>
      </c>
      <c r="G283">
        <f t="shared" ca="1" si="101"/>
        <v>6</v>
      </c>
      <c r="H283" t="str">
        <f t="shared" ca="1" si="102"/>
        <v>General Work</v>
      </c>
      <c r="I283">
        <f t="shared" ca="1" si="103"/>
        <v>4</v>
      </c>
      <c r="J283" t="str">
        <f t="shared" ca="1" si="104"/>
        <v>Technical</v>
      </c>
      <c r="K283">
        <f t="shared" ca="1" si="105"/>
        <v>2</v>
      </c>
      <c r="L283">
        <f t="shared" ca="1" si="106"/>
        <v>1</v>
      </c>
      <c r="M283">
        <f t="shared" ca="1" si="107"/>
        <v>54771</v>
      </c>
      <c r="N283">
        <f t="shared" ca="1" si="108"/>
        <v>9</v>
      </c>
      <c r="O283" t="str">
        <f t="shared" ca="1" si="109"/>
        <v>Quebec</v>
      </c>
      <c r="P283">
        <f t="shared" ca="1" si="92"/>
        <v>273855</v>
      </c>
      <c r="Q283">
        <f t="shared" ca="1" si="110"/>
        <v>190309.6193925197</v>
      </c>
      <c r="R283">
        <f t="shared" ca="1" si="97"/>
        <v>27771.538899223815</v>
      </c>
      <c r="S283">
        <f t="shared" ca="1" si="111"/>
        <v>22888</v>
      </c>
      <c r="T283">
        <f t="shared" ca="1" si="93"/>
        <v>21935.694916584842</v>
      </c>
      <c r="U283">
        <f t="shared" ca="1" si="94"/>
        <v>3636.9162555037506</v>
      </c>
      <c r="V283">
        <f t="shared" ca="1" si="95"/>
        <v>305263.45515472756</v>
      </c>
      <c r="W283">
        <f t="shared" ca="1" si="96"/>
        <v>235133.31430910455</v>
      </c>
      <c r="Z283" s="4">
        <f t="shared" ca="1" si="112"/>
        <v>1</v>
      </c>
      <c r="AA283">
        <f t="shared" ca="1" si="113"/>
        <v>0</v>
      </c>
      <c r="AC283" s="5"/>
      <c r="AX283" s="10">
        <f ca="1">Table1[[#This Row],[Car Value]]/Table1[[#This Row],[No. of Vehicles]]</f>
        <v>27771.538899223815</v>
      </c>
      <c r="AZ283">
        <f ca="1">IF(Table1[[#This Row],[Debts]]&gt;$BA$3,1,0)</f>
        <v>1</v>
      </c>
      <c r="BC283" s="12">
        <f ca="1">Table1[[#This Row],[Mortage left]]/Table1[[#This Row],[Value of The House]]</f>
        <v>0.69492840880217521</v>
      </c>
      <c r="BD283" s="4">
        <f t="shared" ca="1" si="114"/>
        <v>0</v>
      </c>
      <c r="BE283" s="5"/>
    </row>
    <row r="284" spans="4:57" x14ac:dyDescent="0.3">
      <c r="D284">
        <f t="shared" ca="1" si="98"/>
        <v>1</v>
      </c>
      <c r="E284" t="str">
        <f t="shared" ca="1" si="99"/>
        <v>Male</v>
      </c>
      <c r="F284">
        <f t="shared" ca="1" si="100"/>
        <v>29</v>
      </c>
      <c r="G284">
        <f t="shared" ca="1" si="101"/>
        <v>6</v>
      </c>
      <c r="H284" t="str">
        <f t="shared" ca="1" si="102"/>
        <v>General Work</v>
      </c>
      <c r="I284">
        <f t="shared" ca="1" si="103"/>
        <v>3</v>
      </c>
      <c r="J284" t="str">
        <f t="shared" ca="1" si="104"/>
        <v>University</v>
      </c>
      <c r="K284">
        <f t="shared" ca="1" si="105"/>
        <v>4</v>
      </c>
      <c r="L284">
        <f t="shared" ca="1" si="106"/>
        <v>2</v>
      </c>
      <c r="M284">
        <f t="shared" ca="1" si="107"/>
        <v>74944</v>
      </c>
      <c r="N284">
        <f t="shared" ca="1" si="108"/>
        <v>11</v>
      </c>
      <c r="O284" t="str">
        <f t="shared" ca="1" si="109"/>
        <v>New bruncwick</v>
      </c>
      <c r="P284">
        <f t="shared" ca="1" si="92"/>
        <v>449664</v>
      </c>
      <c r="Q284">
        <f t="shared" ca="1" si="110"/>
        <v>429296.01313576644</v>
      </c>
      <c r="R284">
        <f t="shared" ca="1" si="97"/>
        <v>32771.724933344136</v>
      </c>
      <c r="S284">
        <f t="shared" ca="1" si="111"/>
        <v>17420</v>
      </c>
      <c r="T284">
        <f t="shared" ca="1" si="93"/>
        <v>102020.21032994104</v>
      </c>
      <c r="U284">
        <f t="shared" ca="1" si="94"/>
        <v>74150.888789194913</v>
      </c>
      <c r="V284">
        <f t="shared" ca="1" si="95"/>
        <v>556586.61372253904</v>
      </c>
      <c r="W284">
        <f t="shared" ca="1" si="96"/>
        <v>548736.2234657075</v>
      </c>
      <c r="Z284" s="4">
        <f t="shared" ca="1" si="112"/>
        <v>1</v>
      </c>
      <c r="AA284">
        <f t="shared" ca="1" si="113"/>
        <v>0</v>
      </c>
      <c r="AC284" s="5"/>
      <c r="AX284" s="10">
        <f ca="1">Table1[[#This Row],[Car Value]]/Table1[[#This Row],[No. of Vehicles]]</f>
        <v>16385.862466672068</v>
      </c>
      <c r="AZ284">
        <f ca="1">IF(Table1[[#This Row],[Debts]]&gt;$BA$3,1,0)</f>
        <v>1</v>
      </c>
      <c r="BC284" s="12">
        <f ca="1">Table1[[#This Row],[Mortage left]]/Table1[[#This Row],[Value of The House]]</f>
        <v>0.95470398594454176</v>
      </c>
      <c r="BD284" s="4">
        <f t="shared" ca="1" si="114"/>
        <v>0</v>
      </c>
      <c r="BE284" s="5"/>
    </row>
    <row r="285" spans="4:57" x14ac:dyDescent="0.3">
      <c r="D285">
        <f t="shared" ca="1" si="98"/>
        <v>2</v>
      </c>
      <c r="E285" t="str">
        <f t="shared" ca="1" si="99"/>
        <v>Female</v>
      </c>
      <c r="F285">
        <f t="shared" ca="1" si="100"/>
        <v>28</v>
      </c>
      <c r="G285">
        <f t="shared" ca="1" si="101"/>
        <v>4</v>
      </c>
      <c r="H285" t="str">
        <f t="shared" ca="1" si="102"/>
        <v>IT</v>
      </c>
      <c r="I285">
        <f t="shared" ca="1" si="103"/>
        <v>4</v>
      </c>
      <c r="J285" t="str">
        <f t="shared" ca="1" si="104"/>
        <v>Technical</v>
      </c>
      <c r="K285">
        <f t="shared" ca="1" si="105"/>
        <v>3</v>
      </c>
      <c r="L285">
        <f t="shared" ca="1" si="106"/>
        <v>2</v>
      </c>
      <c r="M285">
        <f t="shared" ca="1" si="107"/>
        <v>43583</v>
      </c>
      <c r="N285">
        <f t="shared" ca="1" si="108"/>
        <v>7</v>
      </c>
      <c r="O285" t="str">
        <f t="shared" ca="1" si="109"/>
        <v>Manitoba</v>
      </c>
      <c r="P285">
        <f t="shared" ca="1" si="92"/>
        <v>217915</v>
      </c>
      <c r="Q285">
        <f t="shared" ca="1" si="110"/>
        <v>90658.272069264392</v>
      </c>
      <c r="R285">
        <f t="shared" ca="1" si="97"/>
        <v>18961.260229867163</v>
      </c>
      <c r="S285">
        <f t="shared" ca="1" si="111"/>
        <v>10491</v>
      </c>
      <c r="T285">
        <f t="shared" ca="1" si="93"/>
        <v>33412.448837290394</v>
      </c>
      <c r="U285">
        <f t="shared" ca="1" si="94"/>
        <v>62005.753233147916</v>
      </c>
      <c r="V285">
        <f t="shared" ca="1" si="95"/>
        <v>298882.01346301509</v>
      </c>
      <c r="W285">
        <f t="shared" ca="1" si="96"/>
        <v>134561.72090655478</v>
      </c>
      <c r="Z285" s="4">
        <f t="shared" ca="1" si="112"/>
        <v>0</v>
      </c>
      <c r="AA285">
        <f t="shared" ca="1" si="113"/>
        <v>1</v>
      </c>
      <c r="AC285" s="5"/>
      <c r="AX285" s="10">
        <f ca="1">Table1[[#This Row],[Car Value]]/Table1[[#This Row],[No. of Vehicles]]</f>
        <v>9480.6301149335814</v>
      </c>
      <c r="AZ285">
        <f ca="1">IF(Table1[[#This Row],[Debts]]&gt;$BA$3,1,0)</f>
        <v>1</v>
      </c>
      <c r="BC285" s="12">
        <f ca="1">Table1[[#This Row],[Mortage left]]/Table1[[#This Row],[Value of The House]]</f>
        <v>0.41602584525739117</v>
      </c>
      <c r="BD285" s="4">
        <f t="shared" ca="1" si="114"/>
        <v>0</v>
      </c>
      <c r="BE285" s="5"/>
    </row>
    <row r="286" spans="4:57" x14ac:dyDescent="0.3">
      <c r="D286">
        <f t="shared" ca="1" si="98"/>
        <v>2</v>
      </c>
      <c r="E286" t="str">
        <f t="shared" ca="1" si="99"/>
        <v>Female</v>
      </c>
      <c r="F286">
        <f t="shared" ca="1" si="100"/>
        <v>37</v>
      </c>
      <c r="G286">
        <f t="shared" ca="1" si="101"/>
        <v>1</v>
      </c>
      <c r="H286" t="str">
        <f t="shared" ca="1" si="102"/>
        <v>Health</v>
      </c>
      <c r="I286">
        <f t="shared" ca="1" si="103"/>
        <v>5</v>
      </c>
      <c r="J286" t="str">
        <f t="shared" ca="1" si="104"/>
        <v>Other</v>
      </c>
      <c r="K286">
        <f t="shared" ca="1" si="105"/>
        <v>4</v>
      </c>
      <c r="L286">
        <f t="shared" ca="1" si="106"/>
        <v>1</v>
      </c>
      <c r="M286">
        <f t="shared" ca="1" si="107"/>
        <v>41324</v>
      </c>
      <c r="N286">
        <f t="shared" ca="1" si="108"/>
        <v>10</v>
      </c>
      <c r="O286" t="str">
        <f t="shared" ca="1" si="109"/>
        <v>Newfouland</v>
      </c>
      <c r="P286">
        <f t="shared" ca="1" si="92"/>
        <v>165296</v>
      </c>
      <c r="Q286">
        <f t="shared" ca="1" si="110"/>
        <v>122796.78750571664</v>
      </c>
      <c r="R286">
        <f t="shared" ca="1" si="97"/>
        <v>899.01120978207439</v>
      </c>
      <c r="S286">
        <f t="shared" ca="1" si="111"/>
        <v>480</v>
      </c>
      <c r="T286">
        <f t="shared" ca="1" si="93"/>
        <v>10543.292103749071</v>
      </c>
      <c r="U286">
        <f t="shared" ca="1" si="94"/>
        <v>51509.498226960226</v>
      </c>
      <c r="V286">
        <f t="shared" ca="1" si="95"/>
        <v>217704.50943674229</v>
      </c>
      <c r="W286">
        <f t="shared" ca="1" si="96"/>
        <v>133820.0796094657</v>
      </c>
      <c r="Z286" s="4">
        <f t="shared" ca="1" si="112"/>
        <v>0</v>
      </c>
      <c r="AA286">
        <f t="shared" ca="1" si="113"/>
        <v>1</v>
      </c>
      <c r="AC286" s="5"/>
      <c r="AX286" s="10">
        <f ca="1">Table1[[#This Row],[Car Value]]/Table1[[#This Row],[No. of Vehicles]]</f>
        <v>899.01120978207439</v>
      </c>
      <c r="AZ286">
        <f ca="1">IF(Table1[[#This Row],[Debts]]&gt;$BA$3,1,0)</f>
        <v>0</v>
      </c>
      <c r="BC286" s="12">
        <f ca="1">Table1[[#This Row],[Mortage left]]/Table1[[#This Row],[Value of The House]]</f>
        <v>0.74289025448720258</v>
      </c>
      <c r="BD286" s="4">
        <f t="shared" ca="1" si="114"/>
        <v>0</v>
      </c>
      <c r="BE286" s="5"/>
    </row>
    <row r="287" spans="4:57" x14ac:dyDescent="0.3">
      <c r="D287">
        <f t="shared" ca="1" si="98"/>
        <v>1</v>
      </c>
      <c r="E287" t="str">
        <f t="shared" ca="1" si="99"/>
        <v>Male</v>
      </c>
      <c r="F287">
        <f t="shared" ca="1" si="100"/>
        <v>33</v>
      </c>
      <c r="G287">
        <f t="shared" ca="1" si="101"/>
        <v>5</v>
      </c>
      <c r="H287" t="str">
        <f t="shared" ca="1" si="102"/>
        <v>Agriculture</v>
      </c>
      <c r="I287">
        <f t="shared" ca="1" si="103"/>
        <v>4</v>
      </c>
      <c r="J287" t="str">
        <f t="shared" ca="1" si="104"/>
        <v>Technical</v>
      </c>
      <c r="K287">
        <f t="shared" ca="1" si="105"/>
        <v>3</v>
      </c>
      <c r="L287">
        <f t="shared" ca="1" si="106"/>
        <v>2</v>
      </c>
      <c r="M287">
        <f t="shared" ca="1" si="107"/>
        <v>81085</v>
      </c>
      <c r="N287">
        <f t="shared" ca="1" si="108"/>
        <v>7</v>
      </c>
      <c r="O287" t="str">
        <f t="shared" ca="1" si="109"/>
        <v>Manitoba</v>
      </c>
      <c r="P287">
        <f t="shared" ca="1" si="92"/>
        <v>405425</v>
      </c>
      <c r="Q287">
        <f t="shared" ca="1" si="110"/>
        <v>328529.21249973035</v>
      </c>
      <c r="R287">
        <f t="shared" ca="1" si="97"/>
        <v>150081.65932045633</v>
      </c>
      <c r="S287">
        <f t="shared" ca="1" si="111"/>
        <v>56976</v>
      </c>
      <c r="T287">
        <f t="shared" ca="1" si="93"/>
        <v>78035.755013774469</v>
      </c>
      <c r="U287">
        <f t="shared" ca="1" si="94"/>
        <v>77910.740316407901</v>
      </c>
      <c r="V287">
        <f t="shared" ca="1" si="95"/>
        <v>633417.3996368642</v>
      </c>
      <c r="W287">
        <f t="shared" ca="1" si="96"/>
        <v>463540.96751350479</v>
      </c>
      <c r="Z287" s="4">
        <f t="shared" ca="1" si="112"/>
        <v>1</v>
      </c>
      <c r="AA287">
        <f t="shared" ca="1" si="113"/>
        <v>0</v>
      </c>
      <c r="AC287" s="5"/>
      <c r="AX287" s="10">
        <f ca="1">Table1[[#This Row],[Car Value]]/Table1[[#This Row],[No. of Vehicles]]</f>
        <v>75040.829660228163</v>
      </c>
      <c r="AZ287">
        <f ca="1">IF(Table1[[#This Row],[Debts]]&gt;$BA$3,1,0)</f>
        <v>1</v>
      </c>
      <c r="BC287" s="12">
        <f ca="1">Table1[[#This Row],[Mortage left]]/Table1[[#This Row],[Value of The House]]</f>
        <v>0.81033289140958342</v>
      </c>
      <c r="BD287" s="4">
        <f t="shared" ca="1" si="114"/>
        <v>0</v>
      </c>
      <c r="BE287" s="5"/>
    </row>
    <row r="288" spans="4:57" x14ac:dyDescent="0.3">
      <c r="D288">
        <f t="shared" ca="1" si="98"/>
        <v>1</v>
      </c>
      <c r="E288" t="str">
        <f t="shared" ca="1" si="99"/>
        <v>Male</v>
      </c>
      <c r="F288">
        <f t="shared" ca="1" si="100"/>
        <v>41</v>
      </c>
      <c r="G288">
        <f t="shared" ca="1" si="101"/>
        <v>6</v>
      </c>
      <c r="H288" t="str">
        <f t="shared" ca="1" si="102"/>
        <v>General Work</v>
      </c>
      <c r="I288">
        <f t="shared" ca="1" si="103"/>
        <v>2</v>
      </c>
      <c r="J288" t="str">
        <f t="shared" ca="1" si="104"/>
        <v>College</v>
      </c>
      <c r="K288">
        <f t="shared" ca="1" si="105"/>
        <v>4</v>
      </c>
      <c r="L288">
        <f t="shared" ca="1" si="106"/>
        <v>1</v>
      </c>
      <c r="M288">
        <f t="shared" ca="1" si="107"/>
        <v>44199</v>
      </c>
      <c r="N288">
        <f t="shared" ca="1" si="108"/>
        <v>3</v>
      </c>
      <c r="O288" t="str">
        <f t="shared" ca="1" si="109"/>
        <v>Northwest Ter</v>
      </c>
      <c r="P288">
        <f t="shared" ca="1" si="92"/>
        <v>176796</v>
      </c>
      <c r="Q288">
        <f t="shared" ca="1" si="110"/>
        <v>99532.970202819663</v>
      </c>
      <c r="R288">
        <f t="shared" ca="1" si="97"/>
        <v>27917.192029452657</v>
      </c>
      <c r="S288">
        <f t="shared" ca="1" si="111"/>
        <v>26988</v>
      </c>
      <c r="T288">
        <f t="shared" ca="1" si="93"/>
        <v>43485.283136531434</v>
      </c>
      <c r="U288">
        <f t="shared" ca="1" si="94"/>
        <v>2113.9404652939784</v>
      </c>
      <c r="V288">
        <f t="shared" ca="1" si="95"/>
        <v>206827.13249474662</v>
      </c>
      <c r="W288">
        <f t="shared" ca="1" si="96"/>
        <v>170006.2533393511</v>
      </c>
      <c r="Z288" s="4">
        <f t="shared" ca="1" si="112"/>
        <v>1</v>
      </c>
      <c r="AA288">
        <f t="shared" ca="1" si="113"/>
        <v>0</v>
      </c>
      <c r="AC288" s="5"/>
      <c r="AX288" s="10">
        <f ca="1">Table1[[#This Row],[Car Value]]/Table1[[#This Row],[No. of Vehicles]]</f>
        <v>27917.192029452657</v>
      </c>
      <c r="AZ288">
        <f ca="1">IF(Table1[[#This Row],[Debts]]&gt;$BA$3,1,0)</f>
        <v>1</v>
      </c>
      <c r="BC288" s="12">
        <f ca="1">Table1[[#This Row],[Mortage left]]/Table1[[#This Row],[Value of The House]]</f>
        <v>0.56298202562738786</v>
      </c>
      <c r="BD288" s="4">
        <f t="shared" ca="1" si="114"/>
        <v>0</v>
      </c>
      <c r="BE288" s="5"/>
    </row>
    <row r="289" spans="4:57" x14ac:dyDescent="0.3">
      <c r="D289">
        <f t="shared" ca="1" si="98"/>
        <v>1</v>
      </c>
      <c r="E289" t="str">
        <f t="shared" ca="1" si="99"/>
        <v>Male</v>
      </c>
      <c r="F289">
        <f t="shared" ca="1" si="100"/>
        <v>25</v>
      </c>
      <c r="G289">
        <f t="shared" ca="1" si="101"/>
        <v>3</v>
      </c>
      <c r="H289" t="str">
        <f t="shared" ca="1" si="102"/>
        <v>Teaching</v>
      </c>
      <c r="I289">
        <f t="shared" ca="1" si="103"/>
        <v>1</v>
      </c>
      <c r="J289" t="str">
        <f t="shared" ca="1" si="104"/>
        <v>High School</v>
      </c>
      <c r="K289">
        <f t="shared" ca="1" si="105"/>
        <v>4</v>
      </c>
      <c r="L289">
        <f t="shared" ca="1" si="106"/>
        <v>1</v>
      </c>
      <c r="M289">
        <f t="shared" ca="1" si="107"/>
        <v>81935</v>
      </c>
      <c r="N289">
        <f t="shared" ca="1" si="108"/>
        <v>8</v>
      </c>
      <c r="O289" t="str">
        <f t="shared" ca="1" si="109"/>
        <v>Ontario</v>
      </c>
      <c r="P289">
        <f t="shared" ca="1" si="92"/>
        <v>327740</v>
      </c>
      <c r="Q289">
        <f t="shared" ca="1" si="110"/>
        <v>42677.108708923755</v>
      </c>
      <c r="R289">
        <f t="shared" ca="1" si="97"/>
        <v>22559.321751764979</v>
      </c>
      <c r="S289">
        <f t="shared" ca="1" si="111"/>
        <v>7051</v>
      </c>
      <c r="T289">
        <f t="shared" ca="1" si="93"/>
        <v>30551.514655906958</v>
      </c>
      <c r="U289">
        <f t="shared" ca="1" si="94"/>
        <v>59947.069357802582</v>
      </c>
      <c r="V289">
        <f t="shared" ca="1" si="95"/>
        <v>410246.39110956754</v>
      </c>
      <c r="W289">
        <f t="shared" ca="1" si="96"/>
        <v>80279.62336483071</v>
      </c>
      <c r="Z289" s="4">
        <f t="shared" ca="1" si="112"/>
        <v>1</v>
      </c>
      <c r="AA289">
        <f t="shared" ca="1" si="113"/>
        <v>0</v>
      </c>
      <c r="AC289" s="5"/>
      <c r="AX289" s="10">
        <f ca="1">Table1[[#This Row],[Car Value]]/Table1[[#This Row],[No. of Vehicles]]</f>
        <v>22559.321751764979</v>
      </c>
      <c r="AZ289">
        <f ca="1">IF(Table1[[#This Row],[Debts]]&gt;$BA$3,1,0)</f>
        <v>1</v>
      </c>
      <c r="BC289" s="12">
        <f ca="1">Table1[[#This Row],[Mortage left]]/Table1[[#This Row],[Value of The House]]</f>
        <v>0.13021635659035746</v>
      </c>
      <c r="BD289" s="4">
        <f t="shared" ca="1" si="114"/>
        <v>1</v>
      </c>
      <c r="BE289" s="5"/>
    </row>
    <row r="290" spans="4:57" x14ac:dyDescent="0.3">
      <c r="D290">
        <f t="shared" ca="1" si="98"/>
        <v>1</v>
      </c>
      <c r="E290" t="str">
        <f t="shared" ca="1" si="99"/>
        <v>Male</v>
      </c>
      <c r="F290">
        <f t="shared" ca="1" si="100"/>
        <v>45</v>
      </c>
      <c r="G290">
        <f t="shared" ca="1" si="101"/>
        <v>4</v>
      </c>
      <c r="H290" t="str">
        <f t="shared" ca="1" si="102"/>
        <v>IT</v>
      </c>
      <c r="I290">
        <f t="shared" ca="1" si="103"/>
        <v>4</v>
      </c>
      <c r="J290" t="str">
        <f t="shared" ca="1" si="104"/>
        <v>Technical</v>
      </c>
      <c r="K290">
        <f t="shared" ca="1" si="105"/>
        <v>1</v>
      </c>
      <c r="L290">
        <f t="shared" ca="1" si="106"/>
        <v>2</v>
      </c>
      <c r="M290">
        <f t="shared" ca="1" si="107"/>
        <v>42707</v>
      </c>
      <c r="N290">
        <f t="shared" ca="1" si="108"/>
        <v>11</v>
      </c>
      <c r="O290" t="str">
        <f t="shared" ca="1" si="109"/>
        <v>New bruncwick</v>
      </c>
      <c r="P290">
        <f t="shared" ca="1" si="92"/>
        <v>170828</v>
      </c>
      <c r="Q290">
        <f t="shared" ca="1" si="110"/>
        <v>13479.60198393491</v>
      </c>
      <c r="R290">
        <f t="shared" ca="1" si="97"/>
        <v>77911.995615498381</v>
      </c>
      <c r="S290">
        <f t="shared" ca="1" si="111"/>
        <v>66327</v>
      </c>
      <c r="T290">
        <f t="shared" ca="1" si="93"/>
        <v>3411.8891166404906</v>
      </c>
      <c r="U290">
        <f t="shared" ca="1" si="94"/>
        <v>34730.264142849497</v>
      </c>
      <c r="V290">
        <f t="shared" ca="1" si="95"/>
        <v>283470.25975834788</v>
      </c>
      <c r="W290">
        <f t="shared" ca="1" si="96"/>
        <v>83218.491100575397</v>
      </c>
      <c r="Z290" s="4">
        <f t="shared" ca="1" si="112"/>
        <v>1</v>
      </c>
      <c r="AA290">
        <f t="shared" ca="1" si="113"/>
        <v>0</v>
      </c>
      <c r="AC290" s="5"/>
      <c r="AX290" s="10">
        <f ca="1">Table1[[#This Row],[Car Value]]/Table1[[#This Row],[No. of Vehicles]]</f>
        <v>38955.997807749191</v>
      </c>
      <c r="AZ290">
        <f ca="1">IF(Table1[[#This Row],[Debts]]&gt;$BA$3,1,0)</f>
        <v>0</v>
      </c>
      <c r="BC290" s="12">
        <f ca="1">Table1[[#This Row],[Mortage left]]/Table1[[#This Row],[Value of The House]]</f>
        <v>7.8907450675152258E-2</v>
      </c>
      <c r="BD290" s="4">
        <f t="shared" ca="1" si="114"/>
        <v>1</v>
      </c>
      <c r="BE290" s="5"/>
    </row>
    <row r="291" spans="4:57" x14ac:dyDescent="0.3">
      <c r="D291">
        <f t="shared" ca="1" si="98"/>
        <v>2</v>
      </c>
      <c r="E291" t="str">
        <f t="shared" ca="1" si="99"/>
        <v>Female</v>
      </c>
      <c r="F291">
        <f t="shared" ca="1" si="100"/>
        <v>25</v>
      </c>
      <c r="G291">
        <f t="shared" ca="1" si="101"/>
        <v>2</v>
      </c>
      <c r="H291" t="str">
        <f t="shared" ca="1" si="102"/>
        <v>Construction</v>
      </c>
      <c r="I291">
        <f t="shared" ca="1" si="103"/>
        <v>3</v>
      </c>
      <c r="J291" t="str">
        <f t="shared" ca="1" si="104"/>
        <v>University</v>
      </c>
      <c r="K291">
        <f t="shared" ca="1" si="105"/>
        <v>4</v>
      </c>
      <c r="L291">
        <f t="shared" ca="1" si="106"/>
        <v>2</v>
      </c>
      <c r="M291">
        <f t="shared" ca="1" si="107"/>
        <v>58232</v>
      </c>
      <c r="N291">
        <f t="shared" ca="1" si="108"/>
        <v>13</v>
      </c>
      <c r="O291" t="str">
        <f t="shared" ca="1" si="109"/>
        <v>Prince Edward Islnd</v>
      </c>
      <c r="P291">
        <f t="shared" ca="1" si="92"/>
        <v>232928</v>
      </c>
      <c r="Q291">
        <f t="shared" ca="1" si="110"/>
        <v>118422.87938127884</v>
      </c>
      <c r="R291">
        <f t="shared" ca="1" si="97"/>
        <v>3131.1657051621664</v>
      </c>
      <c r="S291">
        <f t="shared" ca="1" si="111"/>
        <v>1606</v>
      </c>
      <c r="T291">
        <f t="shared" ca="1" si="93"/>
        <v>75040.576775878231</v>
      </c>
      <c r="U291">
        <f t="shared" ca="1" si="94"/>
        <v>19623.106980947276</v>
      </c>
      <c r="V291">
        <f t="shared" ca="1" si="95"/>
        <v>255682.27268610944</v>
      </c>
      <c r="W291">
        <f t="shared" ca="1" si="96"/>
        <v>195069.45615715708</v>
      </c>
      <c r="Z291" s="4">
        <f t="shared" ca="1" si="112"/>
        <v>0</v>
      </c>
      <c r="AA291">
        <f t="shared" ca="1" si="113"/>
        <v>1</v>
      </c>
      <c r="AC291" s="5"/>
      <c r="AX291" s="10">
        <f ca="1">Table1[[#This Row],[Car Value]]/Table1[[#This Row],[No. of Vehicles]]</f>
        <v>1565.5828525810832</v>
      </c>
      <c r="AZ291">
        <f ca="1">IF(Table1[[#This Row],[Debts]]&gt;$BA$3,1,0)</f>
        <v>1</v>
      </c>
      <c r="BC291" s="12">
        <f ca="1">Table1[[#This Row],[Mortage left]]/Table1[[#This Row],[Value of The House]]</f>
        <v>0.50840980638342681</v>
      </c>
      <c r="BD291" s="4">
        <f t="shared" ca="1" si="114"/>
        <v>0</v>
      </c>
      <c r="BE291" s="5"/>
    </row>
    <row r="292" spans="4:57" x14ac:dyDescent="0.3">
      <c r="D292">
        <f t="shared" ca="1" si="98"/>
        <v>2</v>
      </c>
      <c r="E292" t="str">
        <f t="shared" ca="1" si="99"/>
        <v>Female</v>
      </c>
      <c r="F292">
        <f t="shared" ca="1" si="100"/>
        <v>38</v>
      </c>
      <c r="G292">
        <f t="shared" ca="1" si="101"/>
        <v>5</v>
      </c>
      <c r="H292" t="str">
        <f t="shared" ca="1" si="102"/>
        <v>Agriculture</v>
      </c>
      <c r="I292">
        <f t="shared" ca="1" si="103"/>
        <v>4</v>
      </c>
      <c r="J292" t="str">
        <f t="shared" ca="1" si="104"/>
        <v>Technical</v>
      </c>
      <c r="K292">
        <f t="shared" ca="1" si="105"/>
        <v>4</v>
      </c>
      <c r="L292">
        <f t="shared" ca="1" si="106"/>
        <v>1</v>
      </c>
      <c r="M292">
        <f t="shared" ca="1" si="107"/>
        <v>69476</v>
      </c>
      <c r="N292">
        <f t="shared" ca="1" si="108"/>
        <v>5</v>
      </c>
      <c r="O292" t="str">
        <f t="shared" ca="1" si="109"/>
        <v>Nunavut</v>
      </c>
      <c r="P292">
        <f t="shared" ca="1" si="92"/>
        <v>347380</v>
      </c>
      <c r="Q292">
        <f t="shared" ca="1" si="110"/>
        <v>296415.14161371824</v>
      </c>
      <c r="R292">
        <f t="shared" ca="1" si="97"/>
        <v>63274.094872107518</v>
      </c>
      <c r="S292">
        <f t="shared" ca="1" si="111"/>
        <v>62916</v>
      </c>
      <c r="T292">
        <f t="shared" ca="1" si="93"/>
        <v>18963.675874571625</v>
      </c>
      <c r="U292">
        <f t="shared" ca="1" si="94"/>
        <v>67497.408451104129</v>
      </c>
      <c r="V292">
        <f t="shared" ca="1" si="95"/>
        <v>478151.50332321163</v>
      </c>
      <c r="W292">
        <f t="shared" ca="1" si="96"/>
        <v>378294.81748828985</v>
      </c>
      <c r="Z292" s="4">
        <f t="shared" ca="1" si="112"/>
        <v>0</v>
      </c>
      <c r="AA292">
        <f t="shared" ca="1" si="113"/>
        <v>1</v>
      </c>
      <c r="AC292" s="5"/>
      <c r="AX292" s="10">
        <f ca="1">Table1[[#This Row],[Car Value]]/Table1[[#This Row],[No. of Vehicles]]</f>
        <v>63274.094872107518</v>
      </c>
      <c r="AZ292">
        <f ca="1">IF(Table1[[#This Row],[Debts]]&gt;$BA$3,1,0)</f>
        <v>0</v>
      </c>
      <c r="BC292" s="12">
        <f ca="1">Table1[[#This Row],[Mortage left]]/Table1[[#This Row],[Value of The House]]</f>
        <v>0.85328787383763671</v>
      </c>
      <c r="BD292" s="4">
        <f t="shared" ca="1" si="114"/>
        <v>0</v>
      </c>
      <c r="BE292" s="5"/>
    </row>
    <row r="293" spans="4:57" x14ac:dyDescent="0.3">
      <c r="D293">
        <f t="shared" ca="1" si="98"/>
        <v>2</v>
      </c>
      <c r="E293" t="str">
        <f t="shared" ca="1" si="99"/>
        <v>Female</v>
      </c>
      <c r="F293">
        <f t="shared" ca="1" si="100"/>
        <v>45</v>
      </c>
      <c r="G293">
        <f t="shared" ca="1" si="101"/>
        <v>3</v>
      </c>
      <c r="H293" t="str">
        <f t="shared" ca="1" si="102"/>
        <v>Teaching</v>
      </c>
      <c r="I293">
        <f t="shared" ca="1" si="103"/>
        <v>3</v>
      </c>
      <c r="J293" t="str">
        <f t="shared" ca="1" si="104"/>
        <v>University</v>
      </c>
      <c r="K293">
        <f t="shared" ca="1" si="105"/>
        <v>3</v>
      </c>
      <c r="L293">
        <f t="shared" ca="1" si="106"/>
        <v>2</v>
      </c>
      <c r="M293">
        <f t="shared" ca="1" si="107"/>
        <v>32246</v>
      </c>
      <c r="N293">
        <f t="shared" ca="1" si="108"/>
        <v>5</v>
      </c>
      <c r="O293" t="str">
        <f t="shared" ca="1" si="109"/>
        <v>Nunavut</v>
      </c>
      <c r="P293">
        <f t="shared" ref="P293:P356" ca="1" si="115">M293*RANDBETWEEN(4,6)</f>
        <v>128984</v>
      </c>
      <c r="Q293">
        <f t="shared" ca="1" si="110"/>
        <v>116655.45424589711</v>
      </c>
      <c r="R293">
        <f t="shared" ca="1" si="97"/>
        <v>818.40087737361387</v>
      </c>
      <c r="S293">
        <f t="shared" ca="1" si="111"/>
        <v>476</v>
      </c>
      <c r="T293">
        <f t="shared" ref="T293:T356" ca="1" si="116">M293*RAND()*2</f>
        <v>38252.757526383262</v>
      </c>
      <c r="U293">
        <f t="shared" ref="U293:U356" ca="1" si="117">RAND()*M293*1.5</f>
        <v>2040.5125261635108</v>
      </c>
      <c r="V293">
        <f t="shared" ref="V293:V356" ca="1" si="118">P293+R293+U293</f>
        <v>131842.91340353712</v>
      </c>
      <c r="W293">
        <f t="shared" ref="W293:W356" ca="1" si="119">Q293+S293+T293</f>
        <v>155384.21177228037</v>
      </c>
      <c r="Z293" s="4">
        <f t="shared" ca="1" si="112"/>
        <v>0</v>
      </c>
      <c r="AA293">
        <f t="shared" ca="1" si="113"/>
        <v>1</v>
      </c>
      <c r="AC293" s="5"/>
      <c r="AX293" s="10">
        <f ca="1">Table1[[#This Row],[Car Value]]/Table1[[#This Row],[No. of Vehicles]]</f>
        <v>409.20043868680693</v>
      </c>
      <c r="AZ293">
        <f ca="1">IF(Table1[[#This Row],[Debts]]&gt;$BA$3,1,0)</f>
        <v>1</v>
      </c>
      <c r="BC293" s="12">
        <f ca="1">Table1[[#This Row],[Mortage left]]/Table1[[#This Row],[Value of The House]]</f>
        <v>0.90441802274620975</v>
      </c>
      <c r="BD293" s="4">
        <f t="shared" ca="1" si="114"/>
        <v>0</v>
      </c>
      <c r="BE293" s="5"/>
    </row>
    <row r="294" spans="4:57" x14ac:dyDescent="0.3">
      <c r="D294">
        <f t="shared" ca="1" si="98"/>
        <v>2</v>
      </c>
      <c r="E294" t="str">
        <f t="shared" ca="1" si="99"/>
        <v>Female</v>
      </c>
      <c r="F294">
        <f t="shared" ca="1" si="100"/>
        <v>34</v>
      </c>
      <c r="G294">
        <f t="shared" ca="1" si="101"/>
        <v>3</v>
      </c>
      <c r="H294" t="str">
        <f t="shared" ca="1" si="102"/>
        <v>Teaching</v>
      </c>
      <c r="I294">
        <f t="shared" ca="1" si="103"/>
        <v>3</v>
      </c>
      <c r="J294" t="str">
        <f t="shared" ca="1" si="104"/>
        <v>University</v>
      </c>
      <c r="K294">
        <f t="shared" ca="1" si="105"/>
        <v>3</v>
      </c>
      <c r="L294">
        <f t="shared" ca="1" si="106"/>
        <v>2</v>
      </c>
      <c r="M294">
        <f t="shared" ca="1" si="107"/>
        <v>27729</v>
      </c>
      <c r="N294">
        <f t="shared" ca="1" si="108"/>
        <v>11</v>
      </c>
      <c r="O294" t="str">
        <f t="shared" ca="1" si="109"/>
        <v>New bruncwick</v>
      </c>
      <c r="P294">
        <f t="shared" ca="1" si="115"/>
        <v>138645</v>
      </c>
      <c r="Q294">
        <f t="shared" ca="1" si="110"/>
        <v>52726.769708498417</v>
      </c>
      <c r="R294">
        <f t="shared" ca="1" si="97"/>
        <v>29732.702553994084</v>
      </c>
      <c r="S294">
        <f t="shared" ca="1" si="111"/>
        <v>10409</v>
      </c>
      <c r="T294">
        <f t="shared" ca="1" si="116"/>
        <v>8669.6252802961098</v>
      </c>
      <c r="U294">
        <f t="shared" ca="1" si="117"/>
        <v>36495.49048248952</v>
      </c>
      <c r="V294">
        <f t="shared" ca="1" si="118"/>
        <v>204873.1930364836</v>
      </c>
      <c r="W294">
        <f t="shared" ca="1" si="119"/>
        <v>71805.39498879452</v>
      </c>
      <c r="Z294" s="4">
        <f t="shared" ca="1" si="112"/>
        <v>0</v>
      </c>
      <c r="AA294">
        <f t="shared" ca="1" si="113"/>
        <v>1</v>
      </c>
      <c r="AC294" s="5"/>
      <c r="AX294" s="10">
        <f ca="1">Table1[[#This Row],[Car Value]]/Table1[[#This Row],[No. of Vehicles]]</f>
        <v>14866.351276997042</v>
      </c>
      <c r="AZ294">
        <f ca="1">IF(Table1[[#This Row],[Debts]]&gt;$BA$3,1,0)</f>
        <v>0</v>
      </c>
      <c r="BC294" s="12">
        <f ca="1">Table1[[#This Row],[Mortage left]]/Table1[[#This Row],[Value of The House]]</f>
        <v>0.38030054966640281</v>
      </c>
      <c r="BD294" s="4">
        <f t="shared" ca="1" si="114"/>
        <v>0</v>
      </c>
      <c r="BE294" s="5"/>
    </row>
    <row r="295" spans="4:57" x14ac:dyDescent="0.3">
      <c r="D295">
        <f t="shared" ca="1" si="98"/>
        <v>1</v>
      </c>
      <c r="E295" t="str">
        <f t="shared" ca="1" si="99"/>
        <v>Male</v>
      </c>
      <c r="F295">
        <f t="shared" ca="1" si="100"/>
        <v>34</v>
      </c>
      <c r="G295">
        <f t="shared" ca="1" si="101"/>
        <v>5</v>
      </c>
      <c r="H295" t="str">
        <f t="shared" ca="1" si="102"/>
        <v>Agriculture</v>
      </c>
      <c r="I295">
        <f t="shared" ca="1" si="103"/>
        <v>5</v>
      </c>
      <c r="J295" t="str">
        <f t="shared" ca="1" si="104"/>
        <v>Other</v>
      </c>
      <c r="K295">
        <f t="shared" ca="1" si="105"/>
        <v>0</v>
      </c>
      <c r="L295">
        <f t="shared" ca="1" si="106"/>
        <v>1</v>
      </c>
      <c r="M295">
        <f t="shared" ca="1" si="107"/>
        <v>71045</v>
      </c>
      <c r="N295">
        <f t="shared" ca="1" si="108"/>
        <v>10</v>
      </c>
      <c r="O295" t="str">
        <f t="shared" ca="1" si="109"/>
        <v>Newfouland</v>
      </c>
      <c r="P295">
        <f t="shared" ca="1" si="115"/>
        <v>426270</v>
      </c>
      <c r="Q295">
        <f t="shared" ca="1" si="110"/>
        <v>117877.12617569159</v>
      </c>
      <c r="R295">
        <f t="shared" ca="1" si="97"/>
        <v>1338.0707873689657</v>
      </c>
      <c r="S295">
        <f t="shared" ca="1" si="111"/>
        <v>444</v>
      </c>
      <c r="T295">
        <f t="shared" ca="1" si="116"/>
        <v>130325.61790486863</v>
      </c>
      <c r="U295">
        <f t="shared" ca="1" si="117"/>
        <v>6555.9523087781326</v>
      </c>
      <c r="V295">
        <f t="shared" ca="1" si="118"/>
        <v>434164.02309614711</v>
      </c>
      <c r="W295">
        <f t="shared" ca="1" si="119"/>
        <v>248646.74408056022</v>
      </c>
      <c r="Z295" s="4">
        <f t="shared" ca="1" si="112"/>
        <v>1</v>
      </c>
      <c r="AA295">
        <f t="shared" ca="1" si="113"/>
        <v>0</v>
      </c>
      <c r="AC295" s="5"/>
      <c r="AX295" s="10">
        <f ca="1">Table1[[#This Row],[Car Value]]/Table1[[#This Row],[No. of Vehicles]]</f>
        <v>1338.0707873689657</v>
      </c>
      <c r="AZ295">
        <f ca="1">IF(Table1[[#This Row],[Debts]]&gt;$BA$3,1,0)</f>
        <v>1</v>
      </c>
      <c r="BC295" s="12">
        <f ca="1">Table1[[#This Row],[Mortage left]]/Table1[[#This Row],[Value of The House]]</f>
        <v>0.27653160244842845</v>
      </c>
      <c r="BD295" s="4">
        <f t="shared" ca="1" si="114"/>
        <v>0</v>
      </c>
      <c r="BE295" s="5"/>
    </row>
    <row r="296" spans="4:57" x14ac:dyDescent="0.3">
      <c r="D296">
        <f t="shared" ca="1" si="98"/>
        <v>2</v>
      </c>
      <c r="E296" t="str">
        <f t="shared" ca="1" si="99"/>
        <v>Female</v>
      </c>
      <c r="F296">
        <f t="shared" ca="1" si="100"/>
        <v>28</v>
      </c>
      <c r="G296">
        <f t="shared" ca="1" si="101"/>
        <v>3</v>
      </c>
      <c r="H296" t="str">
        <f t="shared" ca="1" si="102"/>
        <v>Teaching</v>
      </c>
      <c r="I296">
        <f t="shared" ca="1" si="103"/>
        <v>4</v>
      </c>
      <c r="J296" t="str">
        <f t="shared" ca="1" si="104"/>
        <v>Technical</v>
      </c>
      <c r="K296">
        <f t="shared" ca="1" si="105"/>
        <v>2</v>
      </c>
      <c r="L296">
        <f t="shared" ca="1" si="106"/>
        <v>2</v>
      </c>
      <c r="M296">
        <f t="shared" ca="1" si="107"/>
        <v>56023</v>
      </c>
      <c r="N296">
        <f t="shared" ca="1" si="108"/>
        <v>6</v>
      </c>
      <c r="O296" t="str">
        <f t="shared" ca="1" si="109"/>
        <v>Saskatchewan</v>
      </c>
      <c r="P296">
        <f t="shared" ca="1" si="115"/>
        <v>224092</v>
      </c>
      <c r="Q296">
        <f t="shared" ca="1" si="110"/>
        <v>38911.530329085566</v>
      </c>
      <c r="R296">
        <f t="shared" ca="1" si="97"/>
        <v>84376.521186071433</v>
      </c>
      <c r="S296">
        <f t="shared" ca="1" si="111"/>
        <v>55963</v>
      </c>
      <c r="T296">
        <f t="shared" ca="1" si="116"/>
        <v>68948.701115078642</v>
      </c>
      <c r="U296">
        <f t="shared" ca="1" si="117"/>
        <v>60028.814131353589</v>
      </c>
      <c r="V296">
        <f t="shared" ca="1" si="118"/>
        <v>368497.33531742502</v>
      </c>
      <c r="W296">
        <f t="shared" ca="1" si="119"/>
        <v>163823.23144416421</v>
      </c>
      <c r="Z296" s="4">
        <f t="shared" ca="1" si="112"/>
        <v>0</v>
      </c>
      <c r="AA296">
        <f t="shared" ca="1" si="113"/>
        <v>1</v>
      </c>
      <c r="AC296" s="5"/>
      <c r="AX296" s="10">
        <f ca="1">Table1[[#This Row],[Car Value]]/Table1[[#This Row],[No. of Vehicles]]</f>
        <v>42188.260593035717</v>
      </c>
      <c r="AZ296">
        <f ca="1">IF(Table1[[#This Row],[Debts]]&gt;$BA$3,1,0)</f>
        <v>1</v>
      </c>
      <c r="BC296" s="12">
        <f ca="1">Table1[[#This Row],[Mortage left]]/Table1[[#This Row],[Value of The House]]</f>
        <v>0.17364087218234281</v>
      </c>
      <c r="BD296" s="4">
        <f t="shared" ca="1" si="114"/>
        <v>1</v>
      </c>
      <c r="BE296" s="5"/>
    </row>
    <row r="297" spans="4:57" x14ac:dyDescent="0.3">
      <c r="D297">
        <f t="shared" ca="1" si="98"/>
        <v>1</v>
      </c>
      <c r="E297" t="str">
        <f t="shared" ca="1" si="99"/>
        <v>Male</v>
      </c>
      <c r="F297">
        <f t="shared" ca="1" si="100"/>
        <v>36</v>
      </c>
      <c r="G297">
        <f t="shared" ca="1" si="101"/>
        <v>2</v>
      </c>
      <c r="H297" t="str">
        <f t="shared" ca="1" si="102"/>
        <v>Construction</v>
      </c>
      <c r="I297">
        <f t="shared" ca="1" si="103"/>
        <v>4</v>
      </c>
      <c r="J297" t="str">
        <f t="shared" ca="1" si="104"/>
        <v>Technical</v>
      </c>
      <c r="K297">
        <f t="shared" ca="1" si="105"/>
        <v>1</v>
      </c>
      <c r="L297">
        <f t="shared" ca="1" si="106"/>
        <v>1</v>
      </c>
      <c r="M297">
        <f t="shared" ca="1" si="107"/>
        <v>70538</v>
      </c>
      <c r="N297">
        <f t="shared" ca="1" si="108"/>
        <v>4</v>
      </c>
      <c r="O297" t="str">
        <f t="shared" ca="1" si="109"/>
        <v>Alberta</v>
      </c>
      <c r="P297">
        <f t="shared" ca="1" si="115"/>
        <v>352690</v>
      </c>
      <c r="Q297">
        <f t="shared" ca="1" si="110"/>
        <v>80775.998980160977</v>
      </c>
      <c r="R297">
        <f t="shared" ca="1" si="97"/>
        <v>20027.779296503926</v>
      </c>
      <c r="S297">
        <f t="shared" ca="1" si="111"/>
        <v>15736</v>
      </c>
      <c r="T297">
        <f t="shared" ca="1" si="116"/>
        <v>116481.5111804975</v>
      </c>
      <c r="U297">
        <f t="shared" ca="1" si="117"/>
        <v>91577.921365205839</v>
      </c>
      <c r="V297">
        <f t="shared" ca="1" si="118"/>
        <v>464295.70066170976</v>
      </c>
      <c r="W297">
        <f t="shared" ca="1" si="119"/>
        <v>212993.51016065848</v>
      </c>
      <c r="Z297" s="4">
        <f t="shared" ca="1" si="112"/>
        <v>1</v>
      </c>
      <c r="AA297">
        <f t="shared" ca="1" si="113"/>
        <v>0</v>
      </c>
      <c r="AC297" s="5"/>
      <c r="AX297" s="10">
        <f ca="1">Table1[[#This Row],[Car Value]]/Table1[[#This Row],[No. of Vehicles]]</f>
        <v>20027.779296503926</v>
      </c>
      <c r="AZ297">
        <f ca="1">IF(Table1[[#This Row],[Debts]]&gt;$BA$3,1,0)</f>
        <v>1</v>
      </c>
      <c r="BC297" s="12">
        <f ca="1">Table1[[#This Row],[Mortage left]]/Table1[[#This Row],[Value of The House]]</f>
        <v>0.22902832226646908</v>
      </c>
      <c r="BD297" s="4">
        <f t="shared" ca="1" si="114"/>
        <v>0</v>
      </c>
      <c r="BE297" s="5"/>
    </row>
    <row r="298" spans="4:57" x14ac:dyDescent="0.3">
      <c r="D298">
        <f t="shared" ca="1" si="98"/>
        <v>2</v>
      </c>
      <c r="E298" t="str">
        <f t="shared" ca="1" si="99"/>
        <v>Female</v>
      </c>
      <c r="F298">
        <f t="shared" ca="1" si="100"/>
        <v>39</v>
      </c>
      <c r="G298">
        <f t="shared" ca="1" si="101"/>
        <v>5</v>
      </c>
      <c r="H298" t="str">
        <f t="shared" ca="1" si="102"/>
        <v>Agriculture</v>
      </c>
      <c r="I298">
        <f t="shared" ca="1" si="103"/>
        <v>5</v>
      </c>
      <c r="J298" t="str">
        <f t="shared" ca="1" si="104"/>
        <v>Other</v>
      </c>
      <c r="K298">
        <f t="shared" ca="1" si="105"/>
        <v>4</v>
      </c>
      <c r="L298">
        <f t="shared" ca="1" si="106"/>
        <v>1</v>
      </c>
      <c r="M298">
        <f t="shared" ca="1" si="107"/>
        <v>49890</v>
      </c>
      <c r="N298">
        <f t="shared" ca="1" si="108"/>
        <v>3</v>
      </c>
      <c r="O298" t="str">
        <f t="shared" ca="1" si="109"/>
        <v>Northwest Ter</v>
      </c>
      <c r="P298">
        <f t="shared" ca="1" si="115"/>
        <v>199560</v>
      </c>
      <c r="Q298">
        <f t="shared" ca="1" si="110"/>
        <v>13079.097401944204</v>
      </c>
      <c r="R298">
        <f t="shared" ca="1" si="97"/>
        <v>48090.331935857452</v>
      </c>
      <c r="S298">
        <f t="shared" ca="1" si="111"/>
        <v>11562</v>
      </c>
      <c r="T298">
        <f t="shared" ca="1" si="116"/>
        <v>33549.294995690274</v>
      </c>
      <c r="U298">
        <f t="shared" ca="1" si="117"/>
        <v>12.004705558526851</v>
      </c>
      <c r="V298">
        <f t="shared" ca="1" si="118"/>
        <v>247662.33664141598</v>
      </c>
      <c r="W298">
        <f t="shared" ca="1" si="119"/>
        <v>58190.392397634481</v>
      </c>
      <c r="Z298" s="4">
        <f t="shared" ca="1" si="112"/>
        <v>0</v>
      </c>
      <c r="AA298">
        <f t="shared" ca="1" si="113"/>
        <v>1</v>
      </c>
      <c r="AC298" s="5"/>
      <c r="AX298" s="10">
        <f ca="1">Table1[[#This Row],[Car Value]]/Table1[[#This Row],[No. of Vehicles]]</f>
        <v>48090.331935857452</v>
      </c>
      <c r="AZ298">
        <f ca="1">IF(Table1[[#This Row],[Debts]]&gt;$BA$3,1,0)</f>
        <v>1</v>
      </c>
      <c r="BC298" s="12">
        <f ca="1">Table1[[#This Row],[Mortage left]]/Table1[[#This Row],[Value of The House]]</f>
        <v>6.5539674293165984E-2</v>
      </c>
      <c r="BD298" s="4">
        <f t="shared" ca="1" si="114"/>
        <v>1</v>
      </c>
      <c r="BE298" s="5"/>
    </row>
    <row r="299" spans="4:57" x14ac:dyDescent="0.3">
      <c r="D299">
        <f t="shared" ca="1" si="98"/>
        <v>2</v>
      </c>
      <c r="E299" t="str">
        <f t="shared" ca="1" si="99"/>
        <v>Female</v>
      </c>
      <c r="F299">
        <f t="shared" ca="1" si="100"/>
        <v>34</v>
      </c>
      <c r="G299">
        <f t="shared" ca="1" si="101"/>
        <v>4</v>
      </c>
      <c r="H299" t="str">
        <f t="shared" ca="1" si="102"/>
        <v>IT</v>
      </c>
      <c r="I299">
        <f t="shared" ca="1" si="103"/>
        <v>2</v>
      </c>
      <c r="J299" t="str">
        <f t="shared" ca="1" si="104"/>
        <v>College</v>
      </c>
      <c r="K299">
        <f t="shared" ca="1" si="105"/>
        <v>2</v>
      </c>
      <c r="L299">
        <f t="shared" ca="1" si="106"/>
        <v>2</v>
      </c>
      <c r="M299">
        <f t="shared" ca="1" si="107"/>
        <v>38864</v>
      </c>
      <c r="N299">
        <f t="shared" ca="1" si="108"/>
        <v>13</v>
      </c>
      <c r="O299" t="str">
        <f t="shared" ca="1" si="109"/>
        <v>Prince Edward Islnd</v>
      </c>
      <c r="P299">
        <f t="shared" ca="1" si="115"/>
        <v>233184</v>
      </c>
      <c r="Q299">
        <f t="shared" ca="1" si="110"/>
        <v>29599.29426496393</v>
      </c>
      <c r="R299">
        <f t="shared" ca="1" si="97"/>
        <v>29389.909823210688</v>
      </c>
      <c r="S299">
        <f t="shared" ca="1" si="111"/>
        <v>11114</v>
      </c>
      <c r="T299">
        <f t="shared" ca="1" si="116"/>
        <v>7221.0161945678174</v>
      </c>
      <c r="U299">
        <f t="shared" ca="1" si="117"/>
        <v>6707.7743109918665</v>
      </c>
      <c r="V299">
        <f t="shared" ca="1" si="118"/>
        <v>269281.68413420254</v>
      </c>
      <c r="W299">
        <f t="shared" ca="1" si="119"/>
        <v>47934.310459531749</v>
      </c>
      <c r="Z299" s="4">
        <f t="shared" ca="1" si="112"/>
        <v>0</v>
      </c>
      <c r="AA299">
        <f t="shared" ca="1" si="113"/>
        <v>1</v>
      </c>
      <c r="AC299" s="5"/>
      <c r="AX299" s="10">
        <f ca="1">Table1[[#This Row],[Car Value]]/Table1[[#This Row],[No. of Vehicles]]</f>
        <v>14694.954911605344</v>
      </c>
      <c r="AZ299">
        <f ca="1">IF(Table1[[#This Row],[Debts]]&gt;$BA$3,1,0)</f>
        <v>0</v>
      </c>
      <c r="BC299" s="12">
        <f ca="1">Table1[[#This Row],[Mortage left]]/Table1[[#This Row],[Value of The House]]</f>
        <v>0.12693535690683722</v>
      </c>
      <c r="BD299" s="4">
        <f t="shared" ca="1" si="114"/>
        <v>1</v>
      </c>
      <c r="BE299" s="5"/>
    </row>
    <row r="300" spans="4:57" x14ac:dyDescent="0.3">
      <c r="D300">
        <f t="shared" ca="1" si="98"/>
        <v>1</v>
      </c>
      <c r="E300" t="str">
        <f t="shared" ca="1" si="99"/>
        <v>Male</v>
      </c>
      <c r="F300">
        <f t="shared" ca="1" si="100"/>
        <v>27</v>
      </c>
      <c r="G300">
        <f t="shared" ca="1" si="101"/>
        <v>1</v>
      </c>
      <c r="H300" t="str">
        <f t="shared" ca="1" si="102"/>
        <v>Health</v>
      </c>
      <c r="I300">
        <f t="shared" ca="1" si="103"/>
        <v>1</v>
      </c>
      <c r="J300" t="str">
        <f t="shared" ca="1" si="104"/>
        <v>High School</v>
      </c>
      <c r="K300">
        <f t="shared" ca="1" si="105"/>
        <v>3</v>
      </c>
      <c r="L300">
        <f t="shared" ca="1" si="106"/>
        <v>1</v>
      </c>
      <c r="M300">
        <f t="shared" ca="1" si="107"/>
        <v>68840</v>
      </c>
      <c r="N300">
        <f t="shared" ca="1" si="108"/>
        <v>1</v>
      </c>
      <c r="O300" t="str">
        <f t="shared" ca="1" si="109"/>
        <v>Yukon</v>
      </c>
      <c r="P300">
        <f t="shared" ca="1" si="115"/>
        <v>344200</v>
      </c>
      <c r="Q300">
        <f t="shared" ca="1" si="110"/>
        <v>56633.533501623162</v>
      </c>
      <c r="R300">
        <f t="shared" ca="1" si="97"/>
        <v>58530.116511751381</v>
      </c>
      <c r="S300">
        <f t="shared" ca="1" si="111"/>
        <v>43814</v>
      </c>
      <c r="T300">
        <f t="shared" ca="1" si="116"/>
        <v>76327.147438366534</v>
      </c>
      <c r="U300">
        <f t="shared" ca="1" si="117"/>
        <v>58287.088135401435</v>
      </c>
      <c r="V300">
        <f t="shared" ca="1" si="118"/>
        <v>461017.2046471528</v>
      </c>
      <c r="W300">
        <f t="shared" ca="1" si="119"/>
        <v>176774.68093998969</v>
      </c>
      <c r="Z300" s="4">
        <f t="shared" ca="1" si="112"/>
        <v>1</v>
      </c>
      <c r="AA300">
        <f t="shared" ca="1" si="113"/>
        <v>0</v>
      </c>
      <c r="AC300" s="5"/>
      <c r="AX300" s="10">
        <f ca="1">Table1[[#This Row],[Car Value]]/Table1[[#This Row],[No. of Vehicles]]</f>
        <v>58530.116511751381</v>
      </c>
      <c r="AZ300">
        <f ca="1">IF(Table1[[#This Row],[Debts]]&gt;$BA$3,1,0)</f>
        <v>1</v>
      </c>
      <c r="BC300" s="12">
        <f ca="1">Table1[[#This Row],[Mortage left]]/Table1[[#This Row],[Value of The House]]</f>
        <v>0.16453670395590692</v>
      </c>
      <c r="BD300" s="4">
        <f t="shared" ca="1" si="114"/>
        <v>1</v>
      </c>
      <c r="BE300" s="5"/>
    </row>
    <row r="301" spans="4:57" x14ac:dyDescent="0.3">
      <c r="D301">
        <f t="shared" ca="1" si="98"/>
        <v>2</v>
      </c>
      <c r="E301" t="str">
        <f t="shared" ca="1" si="99"/>
        <v>Female</v>
      </c>
      <c r="F301">
        <f t="shared" ca="1" si="100"/>
        <v>31</v>
      </c>
      <c r="G301">
        <f t="shared" ca="1" si="101"/>
        <v>5</v>
      </c>
      <c r="H301" t="str">
        <f t="shared" ca="1" si="102"/>
        <v>Agriculture</v>
      </c>
      <c r="I301">
        <f t="shared" ca="1" si="103"/>
        <v>3</v>
      </c>
      <c r="J301" t="str">
        <f t="shared" ca="1" si="104"/>
        <v>University</v>
      </c>
      <c r="K301">
        <f t="shared" ca="1" si="105"/>
        <v>0</v>
      </c>
      <c r="L301">
        <f t="shared" ca="1" si="106"/>
        <v>1</v>
      </c>
      <c r="M301">
        <f t="shared" ca="1" si="107"/>
        <v>60180</v>
      </c>
      <c r="N301">
        <f t="shared" ca="1" si="108"/>
        <v>1</v>
      </c>
      <c r="O301" t="str">
        <f t="shared" ca="1" si="109"/>
        <v>Yukon</v>
      </c>
      <c r="P301">
        <f t="shared" ca="1" si="115"/>
        <v>361080</v>
      </c>
      <c r="Q301">
        <f t="shared" ca="1" si="110"/>
        <v>332708.79924585653</v>
      </c>
      <c r="R301">
        <f t="shared" ca="1" si="97"/>
        <v>33660.948752644814</v>
      </c>
      <c r="S301">
        <f t="shared" ca="1" si="111"/>
        <v>8446</v>
      </c>
      <c r="T301">
        <f t="shared" ca="1" si="116"/>
        <v>46079.933985618452</v>
      </c>
      <c r="U301">
        <f t="shared" ca="1" si="117"/>
        <v>44047.618682548738</v>
      </c>
      <c r="V301">
        <f t="shared" ca="1" si="118"/>
        <v>438788.56743519357</v>
      </c>
      <c r="W301">
        <f t="shared" ca="1" si="119"/>
        <v>387234.73323147499</v>
      </c>
      <c r="Z301" s="4">
        <f t="shared" ca="1" si="112"/>
        <v>0</v>
      </c>
      <c r="AA301">
        <f t="shared" ca="1" si="113"/>
        <v>1</v>
      </c>
      <c r="AC301" s="5"/>
      <c r="AX301" s="10">
        <f ca="1">Table1[[#This Row],[Car Value]]/Table1[[#This Row],[No. of Vehicles]]</f>
        <v>33660.948752644814</v>
      </c>
      <c r="AZ301">
        <f ca="1">IF(Table1[[#This Row],[Debts]]&gt;$BA$3,1,0)</f>
        <v>1</v>
      </c>
      <c r="BC301" s="12">
        <f ca="1">Table1[[#This Row],[Mortage left]]/Table1[[#This Row],[Value of The House]]</f>
        <v>0.92142682853067615</v>
      </c>
      <c r="BD301" s="4">
        <f t="shared" ca="1" si="114"/>
        <v>0</v>
      </c>
      <c r="BE301" s="5"/>
    </row>
    <row r="302" spans="4:57" x14ac:dyDescent="0.3">
      <c r="D302">
        <f t="shared" ca="1" si="98"/>
        <v>2</v>
      </c>
      <c r="E302" t="str">
        <f t="shared" ca="1" si="99"/>
        <v>Female</v>
      </c>
      <c r="F302">
        <f t="shared" ca="1" si="100"/>
        <v>41</v>
      </c>
      <c r="G302">
        <f t="shared" ca="1" si="101"/>
        <v>4</v>
      </c>
      <c r="H302" t="str">
        <f t="shared" ca="1" si="102"/>
        <v>IT</v>
      </c>
      <c r="I302">
        <f t="shared" ca="1" si="103"/>
        <v>1</v>
      </c>
      <c r="J302" t="str">
        <f t="shared" ca="1" si="104"/>
        <v>High School</v>
      </c>
      <c r="K302">
        <f t="shared" ca="1" si="105"/>
        <v>0</v>
      </c>
      <c r="L302">
        <f t="shared" ca="1" si="106"/>
        <v>1</v>
      </c>
      <c r="M302">
        <f t="shared" ca="1" si="107"/>
        <v>83882</v>
      </c>
      <c r="N302">
        <f t="shared" ca="1" si="108"/>
        <v>11</v>
      </c>
      <c r="O302" t="str">
        <f t="shared" ca="1" si="109"/>
        <v>New bruncwick</v>
      </c>
      <c r="P302">
        <f t="shared" ca="1" si="115"/>
        <v>419410</v>
      </c>
      <c r="Q302">
        <f t="shared" ca="1" si="110"/>
        <v>349056.36500794161</v>
      </c>
      <c r="R302">
        <f t="shared" ca="1" si="97"/>
        <v>70225.382872540038</v>
      </c>
      <c r="S302">
        <f t="shared" ca="1" si="111"/>
        <v>47009</v>
      </c>
      <c r="T302">
        <f t="shared" ca="1" si="116"/>
        <v>164576.70866717421</v>
      </c>
      <c r="U302">
        <f t="shared" ca="1" si="117"/>
        <v>40062.653233858146</v>
      </c>
      <c r="V302">
        <f t="shared" ca="1" si="118"/>
        <v>529698.03610639821</v>
      </c>
      <c r="W302">
        <f t="shared" ca="1" si="119"/>
        <v>560642.07367511583</v>
      </c>
      <c r="Z302" s="4">
        <f t="shared" ca="1" si="112"/>
        <v>0</v>
      </c>
      <c r="AA302">
        <f t="shared" ca="1" si="113"/>
        <v>1</v>
      </c>
      <c r="AC302" s="5"/>
      <c r="AX302" s="10">
        <f ca="1">Table1[[#This Row],[Car Value]]/Table1[[#This Row],[No. of Vehicles]]</f>
        <v>70225.382872540038</v>
      </c>
      <c r="AZ302">
        <f ca="1">IF(Table1[[#This Row],[Debts]]&gt;$BA$3,1,0)</f>
        <v>1</v>
      </c>
      <c r="BC302" s="12">
        <f ca="1">Table1[[#This Row],[Mortage left]]/Table1[[#This Row],[Value of The House]]</f>
        <v>0.83225570446088937</v>
      </c>
      <c r="BD302" s="4">
        <f t="shared" ca="1" si="114"/>
        <v>0</v>
      </c>
      <c r="BE302" s="5"/>
    </row>
    <row r="303" spans="4:57" x14ac:dyDescent="0.3">
      <c r="D303">
        <f t="shared" ca="1" si="98"/>
        <v>1</v>
      </c>
      <c r="E303" t="str">
        <f t="shared" ca="1" si="99"/>
        <v>Male</v>
      </c>
      <c r="F303">
        <f t="shared" ca="1" si="100"/>
        <v>44</v>
      </c>
      <c r="G303">
        <f t="shared" ca="1" si="101"/>
        <v>1</v>
      </c>
      <c r="H303" t="str">
        <f t="shared" ca="1" si="102"/>
        <v>Health</v>
      </c>
      <c r="I303">
        <f t="shared" ca="1" si="103"/>
        <v>2</v>
      </c>
      <c r="J303" t="str">
        <f t="shared" ca="1" si="104"/>
        <v>College</v>
      </c>
      <c r="K303">
        <f t="shared" ca="1" si="105"/>
        <v>1</v>
      </c>
      <c r="L303">
        <f t="shared" ca="1" si="106"/>
        <v>1</v>
      </c>
      <c r="M303">
        <f t="shared" ca="1" si="107"/>
        <v>42226</v>
      </c>
      <c r="N303">
        <f t="shared" ca="1" si="108"/>
        <v>1</v>
      </c>
      <c r="O303" t="str">
        <f t="shared" ca="1" si="109"/>
        <v>Yukon</v>
      </c>
      <c r="P303">
        <f t="shared" ca="1" si="115"/>
        <v>253356</v>
      </c>
      <c r="Q303">
        <f t="shared" ca="1" si="110"/>
        <v>146562.97716082635</v>
      </c>
      <c r="R303">
        <f t="shared" ca="1" si="97"/>
        <v>18096.064581847819</v>
      </c>
      <c r="S303">
        <f t="shared" ca="1" si="111"/>
        <v>5781</v>
      </c>
      <c r="T303">
        <f t="shared" ca="1" si="116"/>
        <v>37595.746929980371</v>
      </c>
      <c r="U303">
        <f t="shared" ca="1" si="117"/>
        <v>50850.1436269431</v>
      </c>
      <c r="V303">
        <f t="shared" ca="1" si="118"/>
        <v>322302.20820879092</v>
      </c>
      <c r="W303">
        <f t="shared" ca="1" si="119"/>
        <v>189939.72409080673</v>
      </c>
      <c r="Z303" s="4">
        <f t="shared" ca="1" si="112"/>
        <v>1</v>
      </c>
      <c r="AA303">
        <f t="shared" ca="1" si="113"/>
        <v>0</v>
      </c>
      <c r="AC303" s="5"/>
      <c r="AX303" s="10">
        <f ca="1">Table1[[#This Row],[Car Value]]/Table1[[#This Row],[No. of Vehicles]]</f>
        <v>18096.064581847819</v>
      </c>
      <c r="AZ303">
        <f ca="1">IF(Table1[[#This Row],[Debts]]&gt;$BA$3,1,0)</f>
        <v>1</v>
      </c>
      <c r="BC303" s="12">
        <f ca="1">Table1[[#This Row],[Mortage left]]/Table1[[#This Row],[Value of The House]]</f>
        <v>0.57848630843882265</v>
      </c>
      <c r="BD303" s="4">
        <f t="shared" ca="1" si="114"/>
        <v>0</v>
      </c>
      <c r="BE303" s="5"/>
    </row>
    <row r="304" spans="4:57" x14ac:dyDescent="0.3">
      <c r="D304">
        <f t="shared" ca="1" si="98"/>
        <v>1</v>
      </c>
      <c r="E304" t="str">
        <f t="shared" ca="1" si="99"/>
        <v>Male</v>
      </c>
      <c r="F304">
        <f t="shared" ca="1" si="100"/>
        <v>36</v>
      </c>
      <c r="G304">
        <f t="shared" ca="1" si="101"/>
        <v>2</v>
      </c>
      <c r="H304" t="str">
        <f t="shared" ca="1" si="102"/>
        <v>Construction</v>
      </c>
      <c r="I304">
        <f t="shared" ca="1" si="103"/>
        <v>3</v>
      </c>
      <c r="J304" t="str">
        <f t="shared" ca="1" si="104"/>
        <v>University</v>
      </c>
      <c r="K304">
        <f t="shared" ca="1" si="105"/>
        <v>1</v>
      </c>
      <c r="L304">
        <f t="shared" ca="1" si="106"/>
        <v>2</v>
      </c>
      <c r="M304">
        <f t="shared" ca="1" si="107"/>
        <v>31964</v>
      </c>
      <c r="N304">
        <f t="shared" ca="1" si="108"/>
        <v>7</v>
      </c>
      <c r="O304" t="str">
        <f t="shared" ca="1" si="109"/>
        <v>Manitoba</v>
      </c>
      <c r="P304">
        <f t="shared" ca="1" si="115"/>
        <v>127856</v>
      </c>
      <c r="Q304">
        <f t="shared" ca="1" si="110"/>
        <v>55304.74659920502</v>
      </c>
      <c r="R304">
        <f t="shared" ca="1" si="97"/>
        <v>10220.036827737529</v>
      </c>
      <c r="S304">
        <f t="shared" ca="1" si="111"/>
        <v>3538</v>
      </c>
      <c r="T304">
        <f t="shared" ca="1" si="116"/>
        <v>40085.207623158451</v>
      </c>
      <c r="U304">
        <f t="shared" ca="1" si="117"/>
        <v>3104.3221371508384</v>
      </c>
      <c r="V304">
        <f t="shared" ca="1" si="118"/>
        <v>141180.35896488835</v>
      </c>
      <c r="W304">
        <f t="shared" ca="1" si="119"/>
        <v>98927.954222363478</v>
      </c>
      <c r="Z304" s="4">
        <f t="shared" ca="1" si="112"/>
        <v>1</v>
      </c>
      <c r="AA304">
        <f t="shared" ca="1" si="113"/>
        <v>0</v>
      </c>
      <c r="AC304" s="5"/>
      <c r="AX304" s="10">
        <f ca="1">Table1[[#This Row],[Car Value]]/Table1[[#This Row],[No. of Vehicles]]</f>
        <v>5110.0184138687646</v>
      </c>
      <c r="AZ304">
        <f ca="1">IF(Table1[[#This Row],[Debts]]&gt;$BA$3,1,0)</f>
        <v>1</v>
      </c>
      <c r="BC304" s="12">
        <f ca="1">Table1[[#This Row],[Mortage left]]/Table1[[#This Row],[Value of The House]]</f>
        <v>0.43255495713306391</v>
      </c>
      <c r="BD304" s="4">
        <f t="shared" ca="1" si="114"/>
        <v>0</v>
      </c>
      <c r="BE304" s="5"/>
    </row>
    <row r="305" spans="4:57" x14ac:dyDescent="0.3">
      <c r="D305">
        <f t="shared" ca="1" si="98"/>
        <v>2</v>
      </c>
      <c r="E305" t="str">
        <f t="shared" ca="1" si="99"/>
        <v>Female</v>
      </c>
      <c r="F305">
        <f t="shared" ca="1" si="100"/>
        <v>44</v>
      </c>
      <c r="G305">
        <f t="shared" ca="1" si="101"/>
        <v>6</v>
      </c>
      <c r="H305" t="str">
        <f t="shared" ca="1" si="102"/>
        <v>General Work</v>
      </c>
      <c r="I305">
        <f t="shared" ca="1" si="103"/>
        <v>2</v>
      </c>
      <c r="J305" t="str">
        <f t="shared" ca="1" si="104"/>
        <v>College</v>
      </c>
      <c r="K305">
        <f t="shared" ca="1" si="105"/>
        <v>4</v>
      </c>
      <c r="L305">
        <f t="shared" ca="1" si="106"/>
        <v>2</v>
      </c>
      <c r="M305">
        <f t="shared" ca="1" si="107"/>
        <v>42945</v>
      </c>
      <c r="N305">
        <f t="shared" ca="1" si="108"/>
        <v>3</v>
      </c>
      <c r="O305" t="str">
        <f t="shared" ca="1" si="109"/>
        <v>Northwest Ter</v>
      </c>
      <c r="P305">
        <f t="shared" ca="1" si="115"/>
        <v>257670</v>
      </c>
      <c r="Q305">
        <f t="shared" ca="1" si="110"/>
        <v>181952.0733423674</v>
      </c>
      <c r="R305">
        <f t="shared" ca="1" si="97"/>
        <v>82204.313087284376</v>
      </c>
      <c r="S305">
        <f t="shared" ca="1" si="111"/>
        <v>39524</v>
      </c>
      <c r="T305">
        <f t="shared" ca="1" si="116"/>
        <v>47608.5725689397</v>
      </c>
      <c r="U305">
        <f t="shared" ca="1" si="117"/>
        <v>52765.178801832611</v>
      </c>
      <c r="V305">
        <f t="shared" ca="1" si="118"/>
        <v>392639.49188911699</v>
      </c>
      <c r="W305">
        <f t="shared" ca="1" si="119"/>
        <v>269084.64591130707</v>
      </c>
      <c r="Z305" s="4">
        <f t="shared" ca="1" si="112"/>
        <v>0</v>
      </c>
      <c r="AA305">
        <f t="shared" ca="1" si="113"/>
        <v>1</v>
      </c>
      <c r="AC305" s="5"/>
      <c r="AX305" s="10">
        <f ca="1">Table1[[#This Row],[Car Value]]/Table1[[#This Row],[No. of Vehicles]]</f>
        <v>41102.156543642188</v>
      </c>
      <c r="AZ305">
        <f ca="1">IF(Table1[[#This Row],[Debts]]&gt;$BA$3,1,0)</f>
        <v>1</v>
      </c>
      <c r="BC305" s="12">
        <f ca="1">Table1[[#This Row],[Mortage left]]/Table1[[#This Row],[Value of The House]]</f>
        <v>0.70614380153827527</v>
      </c>
      <c r="BD305" s="4">
        <f t="shared" ca="1" si="114"/>
        <v>0</v>
      </c>
      <c r="BE305" s="5"/>
    </row>
    <row r="306" spans="4:57" x14ac:dyDescent="0.3">
      <c r="D306">
        <f t="shared" ca="1" si="98"/>
        <v>2</v>
      </c>
      <c r="E306" t="str">
        <f t="shared" ca="1" si="99"/>
        <v>Female</v>
      </c>
      <c r="F306">
        <f t="shared" ca="1" si="100"/>
        <v>30</v>
      </c>
      <c r="G306">
        <f t="shared" ca="1" si="101"/>
        <v>2</v>
      </c>
      <c r="H306" t="str">
        <f t="shared" ca="1" si="102"/>
        <v>Construction</v>
      </c>
      <c r="I306">
        <f t="shared" ca="1" si="103"/>
        <v>2</v>
      </c>
      <c r="J306" t="str">
        <f t="shared" ca="1" si="104"/>
        <v>College</v>
      </c>
      <c r="K306">
        <f t="shared" ca="1" si="105"/>
        <v>1</v>
      </c>
      <c r="L306">
        <f t="shared" ca="1" si="106"/>
        <v>1</v>
      </c>
      <c r="M306">
        <f t="shared" ca="1" si="107"/>
        <v>28711</v>
      </c>
      <c r="N306">
        <f t="shared" ca="1" si="108"/>
        <v>7</v>
      </c>
      <c r="O306" t="str">
        <f t="shared" ca="1" si="109"/>
        <v>Manitoba</v>
      </c>
      <c r="P306">
        <f t="shared" ca="1" si="115"/>
        <v>172266</v>
      </c>
      <c r="Q306">
        <f t="shared" ca="1" si="110"/>
        <v>31611.661475046603</v>
      </c>
      <c r="R306">
        <f t="shared" ca="1" si="97"/>
        <v>1597.0478085599918</v>
      </c>
      <c r="S306">
        <f t="shared" ca="1" si="111"/>
        <v>689</v>
      </c>
      <c r="T306">
        <f t="shared" ca="1" si="116"/>
        <v>44741.885908988748</v>
      </c>
      <c r="U306">
        <f t="shared" ca="1" si="117"/>
        <v>42954.207118469865</v>
      </c>
      <c r="V306">
        <f t="shared" ca="1" si="118"/>
        <v>216817.25492702986</v>
      </c>
      <c r="W306">
        <f t="shared" ca="1" si="119"/>
        <v>77042.547384035352</v>
      </c>
      <c r="Z306" s="4">
        <f t="shared" ca="1" si="112"/>
        <v>0</v>
      </c>
      <c r="AA306">
        <f t="shared" ca="1" si="113"/>
        <v>1</v>
      </c>
      <c r="AC306" s="5"/>
      <c r="AX306" s="10">
        <f ca="1">Table1[[#This Row],[Car Value]]/Table1[[#This Row],[No. of Vehicles]]</f>
        <v>1597.0478085599918</v>
      </c>
      <c r="AZ306">
        <f ca="1">IF(Table1[[#This Row],[Debts]]&gt;$BA$3,1,0)</f>
        <v>1</v>
      </c>
      <c r="BC306" s="12">
        <f ca="1">Table1[[#This Row],[Mortage left]]/Table1[[#This Row],[Value of The House]]</f>
        <v>0.18350493698725578</v>
      </c>
      <c r="BD306" s="4">
        <f t="shared" ca="1" si="114"/>
        <v>1</v>
      </c>
      <c r="BE306" s="5"/>
    </row>
    <row r="307" spans="4:57" x14ac:dyDescent="0.3">
      <c r="D307">
        <f t="shared" ca="1" si="98"/>
        <v>1</v>
      </c>
      <c r="E307" t="str">
        <f t="shared" ca="1" si="99"/>
        <v>Male</v>
      </c>
      <c r="F307">
        <f t="shared" ca="1" si="100"/>
        <v>33</v>
      </c>
      <c r="G307">
        <f t="shared" ca="1" si="101"/>
        <v>3</v>
      </c>
      <c r="H307" t="str">
        <f t="shared" ca="1" si="102"/>
        <v>Teaching</v>
      </c>
      <c r="I307">
        <f t="shared" ca="1" si="103"/>
        <v>2</v>
      </c>
      <c r="J307" t="str">
        <f t="shared" ca="1" si="104"/>
        <v>College</v>
      </c>
      <c r="K307">
        <f t="shared" ca="1" si="105"/>
        <v>4</v>
      </c>
      <c r="L307">
        <f t="shared" ca="1" si="106"/>
        <v>2</v>
      </c>
      <c r="M307">
        <f t="shared" ca="1" si="107"/>
        <v>79196</v>
      </c>
      <c r="N307">
        <f t="shared" ca="1" si="108"/>
        <v>12</v>
      </c>
      <c r="O307" t="str">
        <f t="shared" ca="1" si="109"/>
        <v>Nova scotia</v>
      </c>
      <c r="P307">
        <f t="shared" ca="1" si="115"/>
        <v>395980</v>
      </c>
      <c r="Q307">
        <f t="shared" ca="1" si="110"/>
        <v>353967.06157310837</v>
      </c>
      <c r="R307">
        <f t="shared" ca="1" si="97"/>
        <v>56334.205366506467</v>
      </c>
      <c r="S307">
        <f t="shared" ca="1" si="111"/>
        <v>51543</v>
      </c>
      <c r="T307">
        <f t="shared" ca="1" si="116"/>
        <v>17179.816884103158</v>
      </c>
      <c r="U307">
        <f t="shared" ca="1" si="117"/>
        <v>101721.19331731752</v>
      </c>
      <c r="V307">
        <f t="shared" ca="1" si="118"/>
        <v>554035.39868382399</v>
      </c>
      <c r="W307">
        <f t="shared" ca="1" si="119"/>
        <v>422689.87845721154</v>
      </c>
      <c r="Z307" s="4">
        <f t="shared" ca="1" si="112"/>
        <v>1</v>
      </c>
      <c r="AA307">
        <f t="shared" ca="1" si="113"/>
        <v>0</v>
      </c>
      <c r="AC307" s="5"/>
      <c r="AX307" s="10">
        <f ca="1">Table1[[#This Row],[Car Value]]/Table1[[#This Row],[No. of Vehicles]]</f>
        <v>28167.102683253233</v>
      </c>
      <c r="AZ307">
        <f ca="1">IF(Table1[[#This Row],[Debts]]&gt;$BA$3,1,0)</f>
        <v>0</v>
      </c>
      <c r="BC307" s="12">
        <f ca="1">Table1[[#This Row],[Mortage left]]/Table1[[#This Row],[Value of The House]]</f>
        <v>0.89390136262717401</v>
      </c>
      <c r="BD307" s="4">
        <f t="shared" ca="1" si="114"/>
        <v>0</v>
      </c>
      <c r="BE307" s="5"/>
    </row>
    <row r="308" spans="4:57" x14ac:dyDescent="0.3">
      <c r="D308">
        <f t="shared" ca="1" si="98"/>
        <v>2</v>
      </c>
      <c r="E308" t="str">
        <f t="shared" ca="1" si="99"/>
        <v>Female</v>
      </c>
      <c r="F308">
        <f t="shared" ca="1" si="100"/>
        <v>27</v>
      </c>
      <c r="G308">
        <f t="shared" ca="1" si="101"/>
        <v>6</v>
      </c>
      <c r="H308" t="str">
        <f t="shared" ca="1" si="102"/>
        <v>General Work</v>
      </c>
      <c r="I308">
        <f t="shared" ca="1" si="103"/>
        <v>3</v>
      </c>
      <c r="J308" t="str">
        <f t="shared" ca="1" si="104"/>
        <v>University</v>
      </c>
      <c r="K308">
        <f t="shared" ca="1" si="105"/>
        <v>2</v>
      </c>
      <c r="L308">
        <f t="shared" ca="1" si="106"/>
        <v>2</v>
      </c>
      <c r="M308">
        <f t="shared" ca="1" si="107"/>
        <v>62680</v>
      </c>
      <c r="N308">
        <f t="shared" ca="1" si="108"/>
        <v>1</v>
      </c>
      <c r="O308" t="str">
        <f t="shared" ca="1" si="109"/>
        <v>Yukon</v>
      </c>
      <c r="P308">
        <f t="shared" ca="1" si="115"/>
        <v>376080</v>
      </c>
      <c r="Q308">
        <f t="shared" ca="1" si="110"/>
        <v>279424.12701985886</v>
      </c>
      <c r="R308">
        <f t="shared" ca="1" si="97"/>
        <v>5869.8292670637557</v>
      </c>
      <c r="S308">
        <f t="shared" ca="1" si="111"/>
        <v>2027</v>
      </c>
      <c r="T308">
        <f t="shared" ca="1" si="116"/>
        <v>90730.80891149641</v>
      </c>
      <c r="U308">
        <f t="shared" ca="1" si="117"/>
        <v>43416.917549004633</v>
      </c>
      <c r="V308">
        <f t="shared" ca="1" si="118"/>
        <v>425366.74681606842</v>
      </c>
      <c r="W308">
        <f t="shared" ca="1" si="119"/>
        <v>372181.93593135528</v>
      </c>
      <c r="Z308" s="4">
        <f t="shared" ca="1" si="112"/>
        <v>0</v>
      </c>
      <c r="AA308">
        <f t="shared" ca="1" si="113"/>
        <v>1</v>
      </c>
      <c r="AC308" s="5"/>
      <c r="AX308" s="10">
        <f ca="1">Table1[[#This Row],[Car Value]]/Table1[[#This Row],[No. of Vehicles]]</f>
        <v>2934.9146335318778</v>
      </c>
      <c r="AZ308">
        <f ca="1">IF(Table1[[#This Row],[Debts]]&gt;$BA$3,1,0)</f>
        <v>1</v>
      </c>
      <c r="BC308" s="12">
        <f ca="1">Table1[[#This Row],[Mortage left]]/Table1[[#This Row],[Value of The House]]</f>
        <v>0.74299119075691045</v>
      </c>
      <c r="BD308" s="4">
        <f t="shared" ca="1" si="114"/>
        <v>0</v>
      </c>
      <c r="BE308" s="5"/>
    </row>
    <row r="309" spans="4:57" x14ac:dyDescent="0.3">
      <c r="D309">
        <f t="shared" ca="1" si="98"/>
        <v>1</v>
      </c>
      <c r="E309" t="str">
        <f t="shared" ca="1" si="99"/>
        <v>Male</v>
      </c>
      <c r="F309">
        <f t="shared" ca="1" si="100"/>
        <v>38</v>
      </c>
      <c r="G309">
        <f t="shared" ca="1" si="101"/>
        <v>4</v>
      </c>
      <c r="H309" t="str">
        <f t="shared" ca="1" si="102"/>
        <v>IT</v>
      </c>
      <c r="I309">
        <f t="shared" ca="1" si="103"/>
        <v>1</v>
      </c>
      <c r="J309" t="str">
        <f t="shared" ca="1" si="104"/>
        <v>High School</v>
      </c>
      <c r="K309">
        <f t="shared" ca="1" si="105"/>
        <v>0</v>
      </c>
      <c r="L309">
        <f t="shared" ca="1" si="106"/>
        <v>1</v>
      </c>
      <c r="M309">
        <f t="shared" ca="1" si="107"/>
        <v>37875</v>
      </c>
      <c r="N309">
        <f t="shared" ca="1" si="108"/>
        <v>2</v>
      </c>
      <c r="O309" t="str">
        <f t="shared" ca="1" si="109"/>
        <v>BC</v>
      </c>
      <c r="P309">
        <f t="shared" ca="1" si="115"/>
        <v>189375</v>
      </c>
      <c r="Q309">
        <f t="shared" ca="1" si="110"/>
        <v>178339.23491379712</v>
      </c>
      <c r="R309">
        <f t="shared" ca="1" si="97"/>
        <v>11854.273356585563</v>
      </c>
      <c r="S309">
        <f t="shared" ca="1" si="111"/>
        <v>322</v>
      </c>
      <c r="T309">
        <f t="shared" ca="1" si="116"/>
        <v>59311.949334455014</v>
      </c>
      <c r="U309">
        <f t="shared" ca="1" si="117"/>
        <v>22843.160260872384</v>
      </c>
      <c r="V309">
        <f t="shared" ca="1" si="118"/>
        <v>224072.43361745795</v>
      </c>
      <c r="W309">
        <f t="shared" ca="1" si="119"/>
        <v>237973.18424825213</v>
      </c>
      <c r="Z309" s="4">
        <f t="shared" ca="1" si="112"/>
        <v>1</v>
      </c>
      <c r="AA309">
        <f t="shared" ca="1" si="113"/>
        <v>0</v>
      </c>
      <c r="AC309" s="5"/>
      <c r="AX309" s="10">
        <f ca="1">Table1[[#This Row],[Car Value]]/Table1[[#This Row],[No. of Vehicles]]</f>
        <v>11854.273356585563</v>
      </c>
      <c r="AZ309">
        <f ca="1">IF(Table1[[#This Row],[Debts]]&gt;$BA$3,1,0)</f>
        <v>1</v>
      </c>
      <c r="BC309" s="12">
        <f ca="1">Table1[[#This Row],[Mortage left]]/Table1[[#This Row],[Value of The House]]</f>
        <v>0.94172533287813665</v>
      </c>
      <c r="BD309" s="4">
        <f t="shared" ca="1" si="114"/>
        <v>0</v>
      </c>
      <c r="BE309" s="5"/>
    </row>
    <row r="310" spans="4:57" x14ac:dyDescent="0.3">
      <c r="D310">
        <f t="shared" ca="1" si="98"/>
        <v>2</v>
      </c>
      <c r="E310" t="str">
        <f t="shared" ca="1" si="99"/>
        <v>Female</v>
      </c>
      <c r="F310">
        <f t="shared" ca="1" si="100"/>
        <v>36</v>
      </c>
      <c r="G310">
        <f t="shared" ca="1" si="101"/>
        <v>4</v>
      </c>
      <c r="H310" t="str">
        <f t="shared" ca="1" si="102"/>
        <v>IT</v>
      </c>
      <c r="I310">
        <f t="shared" ca="1" si="103"/>
        <v>1</v>
      </c>
      <c r="J310" t="str">
        <f t="shared" ca="1" si="104"/>
        <v>High School</v>
      </c>
      <c r="K310">
        <f t="shared" ca="1" si="105"/>
        <v>2</v>
      </c>
      <c r="L310">
        <f t="shared" ca="1" si="106"/>
        <v>2</v>
      </c>
      <c r="M310">
        <f t="shared" ca="1" si="107"/>
        <v>27177</v>
      </c>
      <c r="N310">
        <f t="shared" ca="1" si="108"/>
        <v>9</v>
      </c>
      <c r="O310" t="str">
        <f t="shared" ca="1" si="109"/>
        <v>Quebec</v>
      </c>
      <c r="P310">
        <f t="shared" ca="1" si="115"/>
        <v>108708</v>
      </c>
      <c r="Q310">
        <f t="shared" ca="1" si="110"/>
        <v>14989.726173382916</v>
      </c>
      <c r="R310">
        <f t="shared" ca="1" si="97"/>
        <v>22425.175472927927</v>
      </c>
      <c r="S310">
        <f t="shared" ca="1" si="111"/>
        <v>14319</v>
      </c>
      <c r="T310">
        <f t="shared" ca="1" si="116"/>
        <v>31278.171436458888</v>
      </c>
      <c r="U310">
        <f t="shared" ca="1" si="117"/>
        <v>28280.761493893617</v>
      </c>
      <c r="V310">
        <f t="shared" ca="1" si="118"/>
        <v>159413.93696682155</v>
      </c>
      <c r="W310">
        <f t="shared" ca="1" si="119"/>
        <v>60586.897609841806</v>
      </c>
      <c r="Z310" s="4">
        <f t="shared" ca="1" si="112"/>
        <v>0</v>
      </c>
      <c r="AA310">
        <f t="shared" ca="1" si="113"/>
        <v>1</v>
      </c>
      <c r="AC310" s="5"/>
      <c r="AX310" s="10">
        <f ca="1">Table1[[#This Row],[Car Value]]/Table1[[#This Row],[No. of Vehicles]]</f>
        <v>11212.587736463964</v>
      </c>
      <c r="AZ310">
        <f ca="1">IF(Table1[[#This Row],[Debts]]&gt;$BA$3,1,0)</f>
        <v>1</v>
      </c>
      <c r="BC310" s="12">
        <f ca="1">Table1[[#This Row],[Mortage left]]/Table1[[#This Row],[Value of The House]]</f>
        <v>0.13788981651196708</v>
      </c>
      <c r="BD310" s="4">
        <f t="shared" ca="1" si="114"/>
        <v>1</v>
      </c>
      <c r="BE310" s="5"/>
    </row>
    <row r="311" spans="4:57" x14ac:dyDescent="0.3">
      <c r="D311">
        <f t="shared" ca="1" si="98"/>
        <v>2</v>
      </c>
      <c r="E311" t="str">
        <f t="shared" ca="1" si="99"/>
        <v>Female</v>
      </c>
      <c r="F311">
        <f t="shared" ca="1" si="100"/>
        <v>25</v>
      </c>
      <c r="G311">
        <f t="shared" ca="1" si="101"/>
        <v>2</v>
      </c>
      <c r="H311" t="str">
        <f t="shared" ca="1" si="102"/>
        <v>Construction</v>
      </c>
      <c r="I311">
        <f t="shared" ca="1" si="103"/>
        <v>2</v>
      </c>
      <c r="J311" t="str">
        <f t="shared" ca="1" si="104"/>
        <v>College</v>
      </c>
      <c r="K311">
        <f t="shared" ca="1" si="105"/>
        <v>3</v>
      </c>
      <c r="L311">
        <f t="shared" ca="1" si="106"/>
        <v>1</v>
      </c>
      <c r="M311">
        <f t="shared" ca="1" si="107"/>
        <v>32383</v>
      </c>
      <c r="N311">
        <f t="shared" ca="1" si="108"/>
        <v>3</v>
      </c>
      <c r="O311" t="str">
        <f t="shared" ca="1" si="109"/>
        <v>Northwest Ter</v>
      </c>
      <c r="P311">
        <f t="shared" ca="1" si="115"/>
        <v>194298</v>
      </c>
      <c r="Q311">
        <f t="shared" ca="1" si="110"/>
        <v>1523.5606713571169</v>
      </c>
      <c r="R311">
        <f t="shared" ca="1" si="97"/>
        <v>27219.792711251321</v>
      </c>
      <c r="S311">
        <f t="shared" ca="1" si="111"/>
        <v>23401</v>
      </c>
      <c r="T311">
        <f t="shared" ca="1" si="116"/>
        <v>59829.701482315199</v>
      </c>
      <c r="U311">
        <f t="shared" ca="1" si="117"/>
        <v>45889.937645213424</v>
      </c>
      <c r="V311">
        <f t="shared" ca="1" si="118"/>
        <v>267407.73035646474</v>
      </c>
      <c r="W311">
        <f t="shared" ca="1" si="119"/>
        <v>84754.262153672316</v>
      </c>
      <c r="Z311" s="4">
        <f t="shared" ca="1" si="112"/>
        <v>0</v>
      </c>
      <c r="AA311">
        <f t="shared" ca="1" si="113"/>
        <v>1</v>
      </c>
      <c r="AC311" s="5"/>
      <c r="AX311" s="10">
        <f ca="1">Table1[[#This Row],[Car Value]]/Table1[[#This Row],[No. of Vehicles]]</f>
        <v>27219.792711251321</v>
      </c>
      <c r="AZ311">
        <f ca="1">IF(Table1[[#This Row],[Debts]]&gt;$BA$3,1,0)</f>
        <v>1</v>
      </c>
      <c r="BC311" s="12">
        <f ca="1">Table1[[#This Row],[Mortage left]]/Table1[[#This Row],[Value of The House]]</f>
        <v>7.8413605459506375E-3</v>
      </c>
      <c r="BD311" s="4">
        <f t="shared" ca="1" si="114"/>
        <v>1</v>
      </c>
      <c r="BE311" s="5"/>
    </row>
    <row r="312" spans="4:57" x14ac:dyDescent="0.3">
      <c r="D312">
        <f t="shared" ca="1" si="98"/>
        <v>1</v>
      </c>
      <c r="E312" t="str">
        <f t="shared" ca="1" si="99"/>
        <v>Male</v>
      </c>
      <c r="F312">
        <f t="shared" ca="1" si="100"/>
        <v>39</v>
      </c>
      <c r="G312">
        <f t="shared" ca="1" si="101"/>
        <v>1</v>
      </c>
      <c r="H312" t="str">
        <f t="shared" ca="1" si="102"/>
        <v>Health</v>
      </c>
      <c r="I312">
        <f t="shared" ca="1" si="103"/>
        <v>2</v>
      </c>
      <c r="J312" t="str">
        <f t="shared" ca="1" si="104"/>
        <v>College</v>
      </c>
      <c r="K312">
        <f t="shared" ca="1" si="105"/>
        <v>2</v>
      </c>
      <c r="L312">
        <f t="shared" ca="1" si="106"/>
        <v>1</v>
      </c>
      <c r="M312">
        <f t="shared" ca="1" si="107"/>
        <v>66614</v>
      </c>
      <c r="N312">
        <f t="shared" ca="1" si="108"/>
        <v>7</v>
      </c>
      <c r="O312" t="str">
        <f t="shared" ca="1" si="109"/>
        <v>Manitoba</v>
      </c>
      <c r="P312">
        <f t="shared" ca="1" si="115"/>
        <v>333070</v>
      </c>
      <c r="Q312">
        <f t="shared" ca="1" si="110"/>
        <v>48188.192935007253</v>
      </c>
      <c r="R312">
        <f t="shared" ca="1" si="97"/>
        <v>12932.384705773382</v>
      </c>
      <c r="S312">
        <f t="shared" ca="1" si="111"/>
        <v>3348</v>
      </c>
      <c r="T312">
        <f t="shared" ca="1" si="116"/>
        <v>70799.356951310867</v>
      </c>
      <c r="U312">
        <f t="shared" ca="1" si="117"/>
        <v>24342.438756911215</v>
      </c>
      <c r="V312">
        <f t="shared" ca="1" si="118"/>
        <v>370344.82346268458</v>
      </c>
      <c r="W312">
        <f t="shared" ca="1" si="119"/>
        <v>122335.54988631813</v>
      </c>
      <c r="Z312" s="4">
        <f t="shared" ca="1" si="112"/>
        <v>1</v>
      </c>
      <c r="AA312">
        <f t="shared" ca="1" si="113"/>
        <v>0</v>
      </c>
      <c r="AC312" s="5"/>
      <c r="AX312" s="10">
        <f ca="1">Table1[[#This Row],[Car Value]]/Table1[[#This Row],[No. of Vehicles]]</f>
        <v>12932.384705773382</v>
      </c>
      <c r="AZ312">
        <f ca="1">IF(Table1[[#This Row],[Debts]]&gt;$BA$3,1,0)</f>
        <v>1</v>
      </c>
      <c r="BC312" s="12">
        <f ca="1">Table1[[#This Row],[Mortage left]]/Table1[[#This Row],[Value of The House]]</f>
        <v>0.14467887511636368</v>
      </c>
      <c r="BD312" s="4">
        <f t="shared" ca="1" si="114"/>
        <v>1</v>
      </c>
      <c r="BE312" s="5"/>
    </row>
    <row r="313" spans="4:57" x14ac:dyDescent="0.3">
      <c r="D313">
        <f t="shared" ca="1" si="98"/>
        <v>2</v>
      </c>
      <c r="E313" t="str">
        <f t="shared" ca="1" si="99"/>
        <v>Female</v>
      </c>
      <c r="F313">
        <f t="shared" ca="1" si="100"/>
        <v>25</v>
      </c>
      <c r="G313">
        <f t="shared" ca="1" si="101"/>
        <v>1</v>
      </c>
      <c r="H313" t="str">
        <f t="shared" ca="1" si="102"/>
        <v>Health</v>
      </c>
      <c r="I313">
        <f t="shared" ca="1" si="103"/>
        <v>4</v>
      </c>
      <c r="J313" t="str">
        <f t="shared" ca="1" si="104"/>
        <v>Technical</v>
      </c>
      <c r="K313">
        <f t="shared" ca="1" si="105"/>
        <v>1</v>
      </c>
      <c r="L313">
        <f t="shared" ca="1" si="106"/>
        <v>1</v>
      </c>
      <c r="M313">
        <f t="shared" ca="1" si="107"/>
        <v>31446</v>
      </c>
      <c r="N313">
        <f t="shared" ca="1" si="108"/>
        <v>8</v>
      </c>
      <c r="O313" t="str">
        <f t="shared" ca="1" si="109"/>
        <v>Ontario</v>
      </c>
      <c r="P313">
        <f t="shared" ca="1" si="115"/>
        <v>125784</v>
      </c>
      <c r="Q313">
        <f t="shared" ca="1" si="110"/>
        <v>50644.553667637687</v>
      </c>
      <c r="R313">
        <f t="shared" ca="1" si="97"/>
        <v>22271.735329147563</v>
      </c>
      <c r="S313">
        <f t="shared" ca="1" si="111"/>
        <v>19841</v>
      </c>
      <c r="T313">
        <f t="shared" ca="1" si="116"/>
        <v>8037.0673950654837</v>
      </c>
      <c r="U313">
        <f t="shared" ca="1" si="117"/>
        <v>46650.395939543785</v>
      </c>
      <c r="V313">
        <f t="shared" ca="1" si="118"/>
        <v>194706.13126869136</v>
      </c>
      <c r="W313">
        <f t="shared" ca="1" si="119"/>
        <v>78522.621062703183</v>
      </c>
      <c r="Z313" s="4">
        <f t="shared" ca="1" si="112"/>
        <v>0</v>
      </c>
      <c r="AA313">
        <f t="shared" ca="1" si="113"/>
        <v>1</v>
      </c>
      <c r="AC313" s="5"/>
      <c r="AX313" s="10">
        <f ca="1">Table1[[#This Row],[Car Value]]/Table1[[#This Row],[No. of Vehicles]]</f>
        <v>22271.735329147563</v>
      </c>
      <c r="AZ313">
        <f ca="1">IF(Table1[[#This Row],[Debts]]&gt;$BA$3,1,0)</f>
        <v>0</v>
      </c>
      <c r="BC313" s="12">
        <f ca="1">Table1[[#This Row],[Mortage left]]/Table1[[#This Row],[Value of The House]]</f>
        <v>0.40263112691310249</v>
      </c>
      <c r="BD313" s="4">
        <f t="shared" ca="1" si="114"/>
        <v>0</v>
      </c>
      <c r="BE313" s="5"/>
    </row>
    <row r="314" spans="4:57" x14ac:dyDescent="0.3">
      <c r="D314">
        <f t="shared" ca="1" si="98"/>
        <v>1</v>
      </c>
      <c r="E314" t="str">
        <f t="shared" ca="1" si="99"/>
        <v>Male</v>
      </c>
      <c r="F314">
        <f t="shared" ca="1" si="100"/>
        <v>40</v>
      </c>
      <c r="G314">
        <f t="shared" ca="1" si="101"/>
        <v>4</v>
      </c>
      <c r="H314" t="str">
        <f t="shared" ca="1" si="102"/>
        <v>IT</v>
      </c>
      <c r="I314">
        <f t="shared" ca="1" si="103"/>
        <v>1</v>
      </c>
      <c r="J314" t="str">
        <f t="shared" ca="1" si="104"/>
        <v>High School</v>
      </c>
      <c r="K314">
        <f t="shared" ca="1" si="105"/>
        <v>1</v>
      </c>
      <c r="L314">
        <f t="shared" ca="1" si="106"/>
        <v>2</v>
      </c>
      <c r="M314">
        <f t="shared" ca="1" si="107"/>
        <v>31285</v>
      </c>
      <c r="N314">
        <f t="shared" ca="1" si="108"/>
        <v>13</v>
      </c>
      <c r="O314" t="str">
        <f t="shared" ca="1" si="109"/>
        <v>Prince Edward Islnd</v>
      </c>
      <c r="P314">
        <f t="shared" ca="1" si="115"/>
        <v>156425</v>
      </c>
      <c r="Q314">
        <f t="shared" ca="1" si="110"/>
        <v>12654.416452664644</v>
      </c>
      <c r="R314">
        <f t="shared" ca="1" si="97"/>
        <v>50913.01993082757</v>
      </c>
      <c r="S314">
        <f t="shared" ca="1" si="111"/>
        <v>44421</v>
      </c>
      <c r="T314">
        <f t="shared" ca="1" si="116"/>
        <v>56659.96315937295</v>
      </c>
      <c r="U314">
        <f t="shared" ca="1" si="117"/>
        <v>6312.610034288773</v>
      </c>
      <c r="V314">
        <f t="shared" ca="1" si="118"/>
        <v>213650.62996511636</v>
      </c>
      <c r="W314">
        <f t="shared" ca="1" si="119"/>
        <v>113735.37961203759</v>
      </c>
      <c r="Z314" s="4">
        <f t="shared" ca="1" si="112"/>
        <v>1</v>
      </c>
      <c r="AA314">
        <f t="shared" ca="1" si="113"/>
        <v>0</v>
      </c>
      <c r="AC314" s="5"/>
      <c r="AX314" s="10">
        <f ca="1">Table1[[#This Row],[Car Value]]/Table1[[#This Row],[No. of Vehicles]]</f>
        <v>25456.509965413785</v>
      </c>
      <c r="AZ314">
        <f ca="1">IF(Table1[[#This Row],[Debts]]&gt;$BA$3,1,0)</f>
        <v>1</v>
      </c>
      <c r="BC314" s="12">
        <f ca="1">Table1[[#This Row],[Mortage left]]/Table1[[#This Row],[Value of The House]]</f>
        <v>8.0897659917945619E-2</v>
      </c>
      <c r="BD314" s="4">
        <f t="shared" ca="1" si="114"/>
        <v>1</v>
      </c>
      <c r="BE314" s="5"/>
    </row>
    <row r="315" spans="4:57" x14ac:dyDescent="0.3">
      <c r="D315">
        <f t="shared" ca="1" si="98"/>
        <v>1</v>
      </c>
      <c r="E315" t="str">
        <f t="shared" ca="1" si="99"/>
        <v>Male</v>
      </c>
      <c r="F315">
        <f t="shared" ca="1" si="100"/>
        <v>40</v>
      </c>
      <c r="G315">
        <f t="shared" ca="1" si="101"/>
        <v>4</v>
      </c>
      <c r="H315" t="str">
        <f t="shared" ca="1" si="102"/>
        <v>IT</v>
      </c>
      <c r="I315">
        <f t="shared" ca="1" si="103"/>
        <v>4</v>
      </c>
      <c r="J315" t="str">
        <f t="shared" ca="1" si="104"/>
        <v>Technical</v>
      </c>
      <c r="K315">
        <f t="shared" ca="1" si="105"/>
        <v>3</v>
      </c>
      <c r="L315">
        <f t="shared" ca="1" si="106"/>
        <v>1</v>
      </c>
      <c r="M315">
        <f t="shared" ca="1" si="107"/>
        <v>75720</v>
      </c>
      <c r="N315">
        <f t="shared" ca="1" si="108"/>
        <v>4</v>
      </c>
      <c r="O315" t="str">
        <f t="shared" ca="1" si="109"/>
        <v>Alberta</v>
      </c>
      <c r="P315">
        <f t="shared" ca="1" si="115"/>
        <v>454320</v>
      </c>
      <c r="Q315">
        <f t="shared" ca="1" si="110"/>
        <v>207548.112580582</v>
      </c>
      <c r="R315">
        <f t="shared" ca="1" si="97"/>
        <v>40565.010331758916</v>
      </c>
      <c r="S315">
        <f t="shared" ca="1" si="111"/>
        <v>12562</v>
      </c>
      <c r="T315">
        <f t="shared" ca="1" si="116"/>
        <v>140847.5756829587</v>
      </c>
      <c r="U315">
        <f t="shared" ca="1" si="117"/>
        <v>59789.367745844371</v>
      </c>
      <c r="V315">
        <f t="shared" ca="1" si="118"/>
        <v>554674.37807760329</v>
      </c>
      <c r="W315">
        <f t="shared" ca="1" si="119"/>
        <v>360957.68826354074</v>
      </c>
      <c r="Z315" s="4">
        <f t="shared" ca="1" si="112"/>
        <v>1</v>
      </c>
      <c r="AA315">
        <f t="shared" ca="1" si="113"/>
        <v>0</v>
      </c>
      <c r="AC315" s="5"/>
      <c r="AX315" s="10">
        <f ca="1">Table1[[#This Row],[Car Value]]/Table1[[#This Row],[No. of Vehicles]]</f>
        <v>40565.010331758916</v>
      </c>
      <c r="AZ315">
        <f ca="1">IF(Table1[[#This Row],[Debts]]&gt;$BA$3,1,0)</f>
        <v>1</v>
      </c>
      <c r="BC315" s="12">
        <f ca="1">Table1[[#This Row],[Mortage left]]/Table1[[#This Row],[Value of The House]]</f>
        <v>0.45683243656581707</v>
      </c>
      <c r="BD315" s="4">
        <f t="shared" ca="1" si="114"/>
        <v>0</v>
      </c>
      <c r="BE315" s="5"/>
    </row>
    <row r="316" spans="4:57" x14ac:dyDescent="0.3">
      <c r="D316">
        <f t="shared" ca="1" si="98"/>
        <v>2</v>
      </c>
      <c r="E316" t="str">
        <f t="shared" ca="1" si="99"/>
        <v>Female</v>
      </c>
      <c r="F316">
        <f t="shared" ca="1" si="100"/>
        <v>45</v>
      </c>
      <c r="G316">
        <f t="shared" ca="1" si="101"/>
        <v>2</v>
      </c>
      <c r="H316" t="str">
        <f t="shared" ca="1" si="102"/>
        <v>Construction</v>
      </c>
      <c r="I316">
        <f t="shared" ca="1" si="103"/>
        <v>5</v>
      </c>
      <c r="J316" t="str">
        <f t="shared" ca="1" si="104"/>
        <v>Other</v>
      </c>
      <c r="K316">
        <f t="shared" ca="1" si="105"/>
        <v>3</v>
      </c>
      <c r="L316">
        <f t="shared" ca="1" si="106"/>
        <v>2</v>
      </c>
      <c r="M316">
        <f t="shared" ca="1" si="107"/>
        <v>46072</v>
      </c>
      <c r="N316">
        <f t="shared" ca="1" si="108"/>
        <v>6</v>
      </c>
      <c r="O316" t="str">
        <f t="shared" ca="1" si="109"/>
        <v>Saskatchewan</v>
      </c>
      <c r="P316">
        <f t="shared" ca="1" si="115"/>
        <v>184288</v>
      </c>
      <c r="Q316">
        <f t="shared" ca="1" si="110"/>
        <v>62612.784062585073</v>
      </c>
      <c r="R316">
        <f t="shared" ca="1" si="97"/>
        <v>59954.51080605216</v>
      </c>
      <c r="S316">
        <f t="shared" ca="1" si="111"/>
        <v>37198</v>
      </c>
      <c r="T316">
        <f t="shared" ca="1" si="116"/>
        <v>70927.746574713659</v>
      </c>
      <c r="U316">
        <f t="shared" ca="1" si="117"/>
        <v>31535.132675447698</v>
      </c>
      <c r="V316">
        <f t="shared" ca="1" si="118"/>
        <v>275777.64348149986</v>
      </c>
      <c r="W316">
        <f t="shared" ca="1" si="119"/>
        <v>170738.53063729871</v>
      </c>
      <c r="Z316" s="4">
        <f t="shared" ca="1" si="112"/>
        <v>0</v>
      </c>
      <c r="AA316">
        <f t="shared" ca="1" si="113"/>
        <v>1</v>
      </c>
      <c r="AC316" s="5"/>
      <c r="AX316" s="10">
        <f ca="1">Table1[[#This Row],[Car Value]]/Table1[[#This Row],[No. of Vehicles]]</f>
        <v>29977.25540302608</v>
      </c>
      <c r="AZ316">
        <f ca="1">IF(Table1[[#This Row],[Debts]]&gt;$BA$3,1,0)</f>
        <v>1</v>
      </c>
      <c r="BC316" s="12">
        <f ca="1">Table1[[#This Row],[Mortage left]]/Table1[[#This Row],[Value of The House]]</f>
        <v>0.33975507934637672</v>
      </c>
      <c r="BD316" s="4">
        <f t="shared" ca="1" si="114"/>
        <v>0</v>
      </c>
      <c r="BE316" s="5"/>
    </row>
    <row r="317" spans="4:57" x14ac:dyDescent="0.3">
      <c r="D317">
        <f t="shared" ca="1" si="98"/>
        <v>1</v>
      </c>
      <c r="E317" t="str">
        <f t="shared" ca="1" si="99"/>
        <v>Male</v>
      </c>
      <c r="F317">
        <f t="shared" ca="1" si="100"/>
        <v>33</v>
      </c>
      <c r="G317">
        <f t="shared" ca="1" si="101"/>
        <v>1</v>
      </c>
      <c r="H317" t="str">
        <f t="shared" ca="1" si="102"/>
        <v>Health</v>
      </c>
      <c r="I317">
        <f t="shared" ca="1" si="103"/>
        <v>4</v>
      </c>
      <c r="J317" t="str">
        <f t="shared" ca="1" si="104"/>
        <v>Technical</v>
      </c>
      <c r="K317">
        <f t="shared" ca="1" si="105"/>
        <v>2</v>
      </c>
      <c r="L317">
        <f t="shared" ca="1" si="106"/>
        <v>1</v>
      </c>
      <c r="M317">
        <f t="shared" ca="1" si="107"/>
        <v>74994</v>
      </c>
      <c r="N317">
        <f t="shared" ca="1" si="108"/>
        <v>1</v>
      </c>
      <c r="O317" t="str">
        <f t="shared" ca="1" si="109"/>
        <v>Yukon</v>
      </c>
      <c r="P317">
        <f t="shared" ca="1" si="115"/>
        <v>374970</v>
      </c>
      <c r="Q317">
        <f t="shared" ca="1" si="110"/>
        <v>229124.06160189357</v>
      </c>
      <c r="R317">
        <f t="shared" ca="1" si="97"/>
        <v>51971.406643258902</v>
      </c>
      <c r="S317">
        <f t="shared" ca="1" si="111"/>
        <v>12621</v>
      </c>
      <c r="T317">
        <f t="shared" ca="1" si="116"/>
        <v>131855.77928568132</v>
      </c>
      <c r="U317">
        <f t="shared" ca="1" si="117"/>
        <v>3223.7866069820961</v>
      </c>
      <c r="V317">
        <f t="shared" ca="1" si="118"/>
        <v>430165.19325024099</v>
      </c>
      <c r="W317">
        <f t="shared" ca="1" si="119"/>
        <v>373600.84088757489</v>
      </c>
      <c r="Z317" s="4">
        <f t="shared" ca="1" si="112"/>
        <v>1</v>
      </c>
      <c r="AA317">
        <f t="shared" ca="1" si="113"/>
        <v>0</v>
      </c>
      <c r="AC317" s="5"/>
      <c r="AX317" s="10">
        <f ca="1">Table1[[#This Row],[Car Value]]/Table1[[#This Row],[No. of Vehicles]]</f>
        <v>51971.406643258902</v>
      </c>
      <c r="AZ317">
        <f ca="1">IF(Table1[[#This Row],[Debts]]&gt;$BA$3,1,0)</f>
        <v>1</v>
      </c>
      <c r="BC317" s="12">
        <f ca="1">Table1[[#This Row],[Mortage left]]/Table1[[#This Row],[Value of The House]]</f>
        <v>0.61104638131555478</v>
      </c>
      <c r="BD317" s="4">
        <f t="shared" ca="1" si="114"/>
        <v>0</v>
      </c>
      <c r="BE317" s="5"/>
    </row>
    <row r="318" spans="4:57" x14ac:dyDescent="0.3">
      <c r="D318">
        <f t="shared" ca="1" si="98"/>
        <v>1</v>
      </c>
      <c r="E318" t="str">
        <f t="shared" ca="1" si="99"/>
        <v>Male</v>
      </c>
      <c r="F318">
        <f t="shared" ca="1" si="100"/>
        <v>45</v>
      </c>
      <c r="G318">
        <f t="shared" ca="1" si="101"/>
        <v>1</v>
      </c>
      <c r="H318" t="str">
        <f t="shared" ca="1" si="102"/>
        <v>Health</v>
      </c>
      <c r="I318">
        <f t="shared" ca="1" si="103"/>
        <v>3</v>
      </c>
      <c r="J318" t="str">
        <f t="shared" ca="1" si="104"/>
        <v>University</v>
      </c>
      <c r="K318">
        <f t="shared" ca="1" si="105"/>
        <v>1</v>
      </c>
      <c r="L318">
        <f t="shared" ca="1" si="106"/>
        <v>2</v>
      </c>
      <c r="M318">
        <f t="shared" ca="1" si="107"/>
        <v>61771</v>
      </c>
      <c r="N318">
        <f t="shared" ca="1" si="108"/>
        <v>3</v>
      </c>
      <c r="O318" t="str">
        <f t="shared" ca="1" si="109"/>
        <v>Northwest Ter</v>
      </c>
      <c r="P318">
        <f t="shared" ca="1" si="115"/>
        <v>247084</v>
      </c>
      <c r="Q318">
        <f t="shared" ca="1" si="110"/>
        <v>229307.44797017079</v>
      </c>
      <c r="R318">
        <f t="shared" ca="1" si="97"/>
        <v>37549.281575066707</v>
      </c>
      <c r="S318">
        <f t="shared" ca="1" si="111"/>
        <v>36307</v>
      </c>
      <c r="T318">
        <f t="shared" ca="1" si="116"/>
        <v>98472.814606394168</v>
      </c>
      <c r="U318">
        <f t="shared" ca="1" si="117"/>
        <v>35754.703578009154</v>
      </c>
      <c r="V318">
        <f t="shared" ca="1" si="118"/>
        <v>320387.98515307589</v>
      </c>
      <c r="W318">
        <f t="shared" ca="1" si="119"/>
        <v>364087.26257656491</v>
      </c>
      <c r="Z318" s="4">
        <f t="shared" ca="1" si="112"/>
        <v>1</v>
      </c>
      <c r="AA318">
        <f t="shared" ca="1" si="113"/>
        <v>0</v>
      </c>
      <c r="AC318" s="5"/>
      <c r="AX318" s="10">
        <f ca="1">Table1[[#This Row],[Car Value]]/Table1[[#This Row],[No. of Vehicles]]</f>
        <v>18774.640787533353</v>
      </c>
      <c r="AZ318">
        <f ca="1">IF(Table1[[#This Row],[Debts]]&gt;$BA$3,1,0)</f>
        <v>1</v>
      </c>
      <c r="BC318" s="12">
        <f ca="1">Table1[[#This Row],[Mortage left]]/Table1[[#This Row],[Value of The House]]</f>
        <v>0.92805462097979141</v>
      </c>
      <c r="BD318" s="4">
        <f t="shared" ca="1" si="114"/>
        <v>0</v>
      </c>
      <c r="BE318" s="5"/>
    </row>
    <row r="319" spans="4:57" x14ac:dyDescent="0.3">
      <c r="D319">
        <f t="shared" ca="1" si="98"/>
        <v>2</v>
      </c>
      <c r="E319" t="str">
        <f t="shared" ca="1" si="99"/>
        <v>Female</v>
      </c>
      <c r="F319">
        <f t="shared" ca="1" si="100"/>
        <v>35</v>
      </c>
      <c r="G319">
        <f t="shared" ca="1" si="101"/>
        <v>3</v>
      </c>
      <c r="H319" t="str">
        <f t="shared" ca="1" si="102"/>
        <v>Teaching</v>
      </c>
      <c r="I319">
        <f t="shared" ca="1" si="103"/>
        <v>3</v>
      </c>
      <c r="J319" t="str">
        <f t="shared" ca="1" si="104"/>
        <v>University</v>
      </c>
      <c r="K319">
        <f t="shared" ca="1" si="105"/>
        <v>3</v>
      </c>
      <c r="L319">
        <f t="shared" ca="1" si="106"/>
        <v>2</v>
      </c>
      <c r="M319">
        <f t="shared" ca="1" si="107"/>
        <v>83073</v>
      </c>
      <c r="N319">
        <f t="shared" ca="1" si="108"/>
        <v>11</v>
      </c>
      <c r="O319" t="str">
        <f t="shared" ca="1" si="109"/>
        <v>New bruncwick</v>
      </c>
      <c r="P319">
        <f t="shared" ca="1" si="115"/>
        <v>415365</v>
      </c>
      <c r="Q319">
        <f t="shared" ca="1" si="110"/>
        <v>52451.298460405589</v>
      </c>
      <c r="R319">
        <f t="shared" ca="1" si="97"/>
        <v>165531.23413064159</v>
      </c>
      <c r="S319">
        <f t="shared" ca="1" si="111"/>
        <v>75458</v>
      </c>
      <c r="T319">
        <f t="shared" ca="1" si="116"/>
        <v>128651.5252634839</v>
      </c>
      <c r="U319">
        <f t="shared" ca="1" si="117"/>
        <v>88352.172884730011</v>
      </c>
      <c r="V319">
        <f t="shared" ca="1" si="118"/>
        <v>669248.4070153716</v>
      </c>
      <c r="W319">
        <f t="shared" ca="1" si="119"/>
        <v>256560.82372388948</v>
      </c>
      <c r="Z319" s="4">
        <f t="shared" ca="1" si="112"/>
        <v>0</v>
      </c>
      <c r="AA319">
        <f t="shared" ca="1" si="113"/>
        <v>1</v>
      </c>
      <c r="AC319" s="5"/>
      <c r="AX319" s="10">
        <f ca="1">Table1[[#This Row],[Car Value]]/Table1[[#This Row],[No. of Vehicles]]</f>
        <v>82765.617065320796</v>
      </c>
      <c r="AZ319">
        <f ca="1">IF(Table1[[#This Row],[Debts]]&gt;$BA$3,1,0)</f>
        <v>1</v>
      </c>
      <c r="BC319" s="12">
        <f ca="1">Table1[[#This Row],[Mortage left]]/Table1[[#This Row],[Value of The House]]</f>
        <v>0.12627760755096262</v>
      </c>
      <c r="BD319" s="4">
        <f t="shared" ca="1" si="114"/>
        <v>1</v>
      </c>
      <c r="BE319" s="5"/>
    </row>
    <row r="320" spans="4:57" x14ac:dyDescent="0.3">
      <c r="D320">
        <f t="shared" ca="1" si="98"/>
        <v>2</v>
      </c>
      <c r="E320" t="str">
        <f t="shared" ca="1" si="99"/>
        <v>Female</v>
      </c>
      <c r="F320">
        <f t="shared" ca="1" si="100"/>
        <v>45</v>
      </c>
      <c r="G320">
        <f t="shared" ca="1" si="101"/>
        <v>2</v>
      </c>
      <c r="H320" t="str">
        <f t="shared" ca="1" si="102"/>
        <v>Construction</v>
      </c>
      <c r="I320">
        <f t="shared" ca="1" si="103"/>
        <v>5</v>
      </c>
      <c r="J320" t="str">
        <f t="shared" ca="1" si="104"/>
        <v>Other</v>
      </c>
      <c r="K320">
        <f t="shared" ca="1" si="105"/>
        <v>4</v>
      </c>
      <c r="L320">
        <f t="shared" ca="1" si="106"/>
        <v>1</v>
      </c>
      <c r="M320">
        <f t="shared" ca="1" si="107"/>
        <v>70851</v>
      </c>
      <c r="N320">
        <f t="shared" ca="1" si="108"/>
        <v>2</v>
      </c>
      <c r="O320" t="str">
        <f t="shared" ca="1" si="109"/>
        <v>BC</v>
      </c>
      <c r="P320">
        <f t="shared" ca="1" si="115"/>
        <v>283404</v>
      </c>
      <c r="Q320">
        <f t="shared" ca="1" si="110"/>
        <v>4382.697625171345</v>
      </c>
      <c r="R320">
        <f t="shared" ca="1" si="97"/>
        <v>16321.625950463264</v>
      </c>
      <c r="S320">
        <f t="shared" ca="1" si="111"/>
        <v>7086</v>
      </c>
      <c r="T320">
        <f t="shared" ca="1" si="116"/>
        <v>29125.771663609084</v>
      </c>
      <c r="U320">
        <f t="shared" ca="1" si="117"/>
        <v>58433.220394586635</v>
      </c>
      <c r="V320">
        <f t="shared" ca="1" si="118"/>
        <v>358158.84634504991</v>
      </c>
      <c r="W320">
        <f t="shared" ca="1" si="119"/>
        <v>40594.469288780427</v>
      </c>
      <c r="Z320" s="4">
        <f t="shared" ca="1" si="112"/>
        <v>0</v>
      </c>
      <c r="AA320">
        <f t="shared" ca="1" si="113"/>
        <v>1</v>
      </c>
      <c r="AC320" s="5"/>
      <c r="AX320" s="10">
        <f ca="1">Table1[[#This Row],[Car Value]]/Table1[[#This Row],[No. of Vehicles]]</f>
        <v>16321.625950463264</v>
      </c>
      <c r="AZ320">
        <f ca="1">IF(Table1[[#This Row],[Debts]]&gt;$BA$3,1,0)</f>
        <v>1</v>
      </c>
      <c r="BC320" s="12">
        <f ca="1">Table1[[#This Row],[Mortage left]]/Table1[[#This Row],[Value of The House]]</f>
        <v>1.5464487534302074E-2</v>
      </c>
      <c r="BD320" s="4">
        <f t="shared" ca="1" si="114"/>
        <v>1</v>
      </c>
      <c r="BE320" s="5"/>
    </row>
    <row r="321" spans="4:57" x14ac:dyDescent="0.3">
      <c r="D321">
        <f t="shared" ca="1" si="98"/>
        <v>1</v>
      </c>
      <c r="E321" t="str">
        <f t="shared" ca="1" si="99"/>
        <v>Male</v>
      </c>
      <c r="F321">
        <f t="shared" ca="1" si="100"/>
        <v>29</v>
      </c>
      <c r="G321">
        <f t="shared" ca="1" si="101"/>
        <v>5</v>
      </c>
      <c r="H321" t="str">
        <f t="shared" ca="1" si="102"/>
        <v>Agriculture</v>
      </c>
      <c r="I321">
        <f t="shared" ca="1" si="103"/>
        <v>1</v>
      </c>
      <c r="J321" t="str">
        <f t="shared" ca="1" si="104"/>
        <v>High School</v>
      </c>
      <c r="K321">
        <f t="shared" ca="1" si="105"/>
        <v>4</v>
      </c>
      <c r="L321">
        <f t="shared" ca="1" si="106"/>
        <v>2</v>
      </c>
      <c r="M321">
        <f t="shared" ca="1" si="107"/>
        <v>77124</v>
      </c>
      <c r="N321">
        <f t="shared" ca="1" si="108"/>
        <v>13</v>
      </c>
      <c r="O321" t="str">
        <f t="shared" ca="1" si="109"/>
        <v>Prince Edward Islnd</v>
      </c>
      <c r="P321">
        <f t="shared" ca="1" si="115"/>
        <v>385620</v>
      </c>
      <c r="Q321">
        <f t="shared" ca="1" si="110"/>
        <v>811.15293488338091</v>
      </c>
      <c r="R321">
        <f t="shared" ca="1" si="97"/>
        <v>60199.296991014366</v>
      </c>
      <c r="S321">
        <f t="shared" ca="1" si="111"/>
        <v>44227</v>
      </c>
      <c r="T321">
        <f t="shared" ca="1" si="116"/>
        <v>41837.821282593504</v>
      </c>
      <c r="U321">
        <f t="shared" ca="1" si="117"/>
        <v>60277.975978769973</v>
      </c>
      <c r="V321">
        <f t="shared" ca="1" si="118"/>
        <v>506097.27296978433</v>
      </c>
      <c r="W321">
        <f t="shared" ca="1" si="119"/>
        <v>86875.974217476876</v>
      </c>
      <c r="Z321" s="4">
        <f t="shared" ca="1" si="112"/>
        <v>1</v>
      </c>
      <c r="AA321">
        <f t="shared" ca="1" si="113"/>
        <v>0</v>
      </c>
      <c r="AC321" s="5"/>
      <c r="AX321" s="10">
        <f ca="1">Table1[[#This Row],[Car Value]]/Table1[[#This Row],[No. of Vehicles]]</f>
        <v>30099.648495507183</v>
      </c>
      <c r="AZ321">
        <f ca="1">IF(Table1[[#This Row],[Debts]]&gt;$BA$3,1,0)</f>
        <v>1</v>
      </c>
      <c r="BC321" s="12">
        <f ca="1">Table1[[#This Row],[Mortage left]]/Table1[[#This Row],[Value of The House]]</f>
        <v>2.1035032801290932E-3</v>
      </c>
      <c r="BD321" s="4">
        <f t="shared" ca="1" si="114"/>
        <v>1</v>
      </c>
      <c r="BE321" s="5"/>
    </row>
    <row r="322" spans="4:57" x14ac:dyDescent="0.3">
      <c r="D322">
        <f t="shared" ca="1" si="98"/>
        <v>1</v>
      </c>
      <c r="E322" t="str">
        <f t="shared" ca="1" si="99"/>
        <v>Male</v>
      </c>
      <c r="F322">
        <f t="shared" ca="1" si="100"/>
        <v>43</v>
      </c>
      <c r="G322">
        <f t="shared" ca="1" si="101"/>
        <v>1</v>
      </c>
      <c r="H322" t="str">
        <f t="shared" ca="1" si="102"/>
        <v>Health</v>
      </c>
      <c r="I322">
        <f t="shared" ca="1" si="103"/>
        <v>4</v>
      </c>
      <c r="J322" t="str">
        <f t="shared" ca="1" si="104"/>
        <v>Technical</v>
      </c>
      <c r="K322">
        <f t="shared" ca="1" si="105"/>
        <v>3</v>
      </c>
      <c r="L322">
        <f t="shared" ca="1" si="106"/>
        <v>1</v>
      </c>
      <c r="M322">
        <f t="shared" ca="1" si="107"/>
        <v>71745</v>
      </c>
      <c r="N322">
        <f t="shared" ca="1" si="108"/>
        <v>1</v>
      </c>
      <c r="O322" t="str">
        <f t="shared" ca="1" si="109"/>
        <v>Yukon</v>
      </c>
      <c r="P322">
        <f t="shared" ca="1" si="115"/>
        <v>358725</v>
      </c>
      <c r="Q322">
        <f t="shared" ca="1" si="110"/>
        <v>70528.510194333809</v>
      </c>
      <c r="R322">
        <f t="shared" ca="1" si="97"/>
        <v>28131.593656600933</v>
      </c>
      <c r="S322">
        <f t="shared" ca="1" si="111"/>
        <v>24004</v>
      </c>
      <c r="T322">
        <f t="shared" ca="1" si="116"/>
        <v>13415.708391682125</v>
      </c>
      <c r="U322">
        <f t="shared" ca="1" si="117"/>
        <v>54855.170201969377</v>
      </c>
      <c r="V322">
        <f t="shared" ca="1" si="118"/>
        <v>441711.76385857031</v>
      </c>
      <c r="W322">
        <f t="shared" ca="1" si="119"/>
        <v>107948.21858601594</v>
      </c>
      <c r="Z322" s="4">
        <f t="shared" ca="1" si="112"/>
        <v>1</v>
      </c>
      <c r="AA322">
        <f t="shared" ca="1" si="113"/>
        <v>0</v>
      </c>
      <c r="AC322" s="5"/>
      <c r="AX322" s="10">
        <f ca="1">Table1[[#This Row],[Car Value]]/Table1[[#This Row],[No. of Vehicles]]</f>
        <v>28131.593656600933</v>
      </c>
      <c r="AZ322">
        <f ca="1">IF(Table1[[#This Row],[Debts]]&gt;$BA$3,1,0)</f>
        <v>0</v>
      </c>
      <c r="BC322" s="12">
        <f ca="1">Table1[[#This Row],[Mortage left]]/Table1[[#This Row],[Value of The House]]</f>
        <v>0.19660885133273068</v>
      </c>
      <c r="BD322" s="4">
        <f t="shared" ca="1" si="114"/>
        <v>1</v>
      </c>
      <c r="BE322" s="5"/>
    </row>
    <row r="323" spans="4:57" x14ac:dyDescent="0.3">
      <c r="D323">
        <f t="shared" ca="1" si="98"/>
        <v>2</v>
      </c>
      <c r="E323" t="str">
        <f t="shared" ca="1" si="99"/>
        <v>Female</v>
      </c>
      <c r="F323">
        <f t="shared" ca="1" si="100"/>
        <v>36</v>
      </c>
      <c r="G323">
        <f t="shared" ca="1" si="101"/>
        <v>1</v>
      </c>
      <c r="H323" t="str">
        <f t="shared" ca="1" si="102"/>
        <v>Health</v>
      </c>
      <c r="I323">
        <f t="shared" ca="1" si="103"/>
        <v>3</v>
      </c>
      <c r="J323" t="str">
        <f t="shared" ca="1" si="104"/>
        <v>University</v>
      </c>
      <c r="K323">
        <f t="shared" ca="1" si="105"/>
        <v>0</v>
      </c>
      <c r="L323">
        <f t="shared" ca="1" si="106"/>
        <v>2</v>
      </c>
      <c r="M323">
        <f t="shared" ca="1" si="107"/>
        <v>78560</v>
      </c>
      <c r="N323">
        <f t="shared" ca="1" si="108"/>
        <v>13</v>
      </c>
      <c r="O323" t="str">
        <f t="shared" ca="1" si="109"/>
        <v>Prince Edward Islnd</v>
      </c>
      <c r="P323">
        <f t="shared" ca="1" si="115"/>
        <v>314240</v>
      </c>
      <c r="Q323">
        <f t="shared" ca="1" si="110"/>
        <v>277632.92290097871</v>
      </c>
      <c r="R323">
        <f t="shared" ref="R323:R386" ca="1" si="120">L323*RAND()*M323</f>
        <v>13343.964355554479</v>
      </c>
      <c r="S323">
        <f t="shared" ca="1" si="111"/>
        <v>11510</v>
      </c>
      <c r="T323">
        <f t="shared" ca="1" si="116"/>
        <v>22415.746754866883</v>
      </c>
      <c r="U323">
        <f t="shared" ca="1" si="117"/>
        <v>115606.25637124116</v>
      </c>
      <c r="V323">
        <f t="shared" ca="1" si="118"/>
        <v>443190.22072679567</v>
      </c>
      <c r="W323">
        <f t="shared" ca="1" si="119"/>
        <v>311558.66965584562</v>
      </c>
      <c r="Z323" s="4">
        <f t="shared" ca="1" si="112"/>
        <v>0</v>
      </c>
      <c r="AA323">
        <f t="shared" ca="1" si="113"/>
        <v>1</v>
      </c>
      <c r="AC323" s="5"/>
      <c r="AX323" s="10">
        <f ca="1">Table1[[#This Row],[Car Value]]/Table1[[#This Row],[No. of Vehicles]]</f>
        <v>6671.9821777772395</v>
      </c>
      <c r="AZ323">
        <f ca="1">IF(Table1[[#This Row],[Debts]]&gt;$BA$3,1,0)</f>
        <v>1</v>
      </c>
      <c r="BC323" s="12">
        <f ca="1">Table1[[#This Row],[Mortage left]]/Table1[[#This Row],[Value of The House]]</f>
        <v>0.88350599192012058</v>
      </c>
      <c r="BD323" s="4">
        <f t="shared" ca="1" si="114"/>
        <v>0</v>
      </c>
      <c r="BE323" s="5"/>
    </row>
    <row r="324" spans="4:57" x14ac:dyDescent="0.3">
      <c r="D324">
        <f t="shared" ref="D324:D387" ca="1" si="121">RANDBETWEEN(1,2)</f>
        <v>1</v>
      </c>
      <c r="E324" t="str">
        <f t="shared" ref="E324:E387" ca="1" si="122">IF(D324=1,"Male","Female")</f>
        <v>Male</v>
      </c>
      <c r="F324">
        <f t="shared" ref="F324:F387" ca="1" si="123">RANDBETWEEN(25,45)</f>
        <v>31</v>
      </c>
      <c r="G324">
        <f t="shared" ref="G324:G387" ca="1" si="124">RANDBETWEEN(1,6)</f>
        <v>2</v>
      </c>
      <c r="H324" t="str">
        <f t="shared" ref="H324:H387" ca="1" si="125">VLOOKUP(G324,$AI$3:$AJ$8,2)</f>
        <v>Construction</v>
      </c>
      <c r="I324">
        <f t="shared" ref="I324:I387" ca="1" si="126">RANDBETWEEN(1,5)</f>
        <v>3</v>
      </c>
      <c r="J324" t="str">
        <f t="shared" ref="J324:J387" ca="1" si="127">+VLOOKUP(I324,$AK$3:$AL$7,2)</f>
        <v>University</v>
      </c>
      <c r="K324">
        <f t="shared" ref="K324:K387" ca="1" si="128">RANDBETWEEN(0,4)</f>
        <v>0</v>
      </c>
      <c r="L324">
        <f t="shared" ref="L324:L387" ca="1" si="129">RANDBETWEEN(1,2)</f>
        <v>2</v>
      </c>
      <c r="M324">
        <f t="shared" ref="M324:M387" ca="1" si="130">RANDBETWEEN(25000,90000)</f>
        <v>64287</v>
      </c>
      <c r="N324">
        <f t="shared" ref="N324:N387" ca="1" si="131">RANDBETWEEN(1,13)</f>
        <v>8</v>
      </c>
      <c r="O324" t="str">
        <f t="shared" ref="O324:O387" ca="1" si="132">VLOOKUP(N324,$AN$3:$AP$15,2)</f>
        <v>Ontario</v>
      </c>
      <c r="P324">
        <f t="shared" ca="1" si="115"/>
        <v>257148</v>
      </c>
      <c r="Q324">
        <f t="shared" ref="Q324:Q387" ca="1" si="133">RAND()*P324</f>
        <v>197400.4107176018</v>
      </c>
      <c r="R324">
        <f t="shared" ca="1" si="120"/>
        <v>59017.274884940802</v>
      </c>
      <c r="S324">
        <f t="shared" ref="S324:S387" ca="1" si="134">RANDBETWEEN(0,R324)</f>
        <v>32074</v>
      </c>
      <c r="T324">
        <f t="shared" ca="1" si="116"/>
        <v>57399.652179395191</v>
      </c>
      <c r="U324">
        <f t="shared" ca="1" si="117"/>
        <v>26855.824976175823</v>
      </c>
      <c r="V324">
        <f t="shared" ca="1" si="118"/>
        <v>343021.09986111667</v>
      </c>
      <c r="W324">
        <f t="shared" ca="1" si="119"/>
        <v>286874.06289699697</v>
      </c>
      <c r="Z324" s="4">
        <f t="shared" ref="Z324:Z387" ca="1" si="135">IF(E324="male",1,0)</f>
        <v>1</v>
      </c>
      <c r="AA324">
        <f t="shared" ref="AA324:AA387" ca="1" si="136">IF(E324="male",0,1)</f>
        <v>0</v>
      </c>
      <c r="AC324" s="5"/>
      <c r="AX324" s="10">
        <f ca="1">Table1[[#This Row],[Car Value]]/Table1[[#This Row],[No. of Vehicles]]</f>
        <v>29508.637442470401</v>
      </c>
      <c r="AZ324">
        <f ca="1">IF(Table1[[#This Row],[Debts]]&gt;$BA$3,1,0)</f>
        <v>1</v>
      </c>
      <c r="BC324" s="12">
        <f ca="1">Table1[[#This Row],[Mortage left]]/Table1[[#This Row],[Value of The House]]</f>
        <v>0.7676529108435679</v>
      </c>
      <c r="BD324" s="4">
        <f t="shared" ref="BD324:BD387" ca="1" si="137">IF(BC324&lt;$BE$2,1,0)</f>
        <v>0</v>
      </c>
      <c r="BE324" s="5"/>
    </row>
    <row r="325" spans="4:57" x14ac:dyDescent="0.3">
      <c r="D325">
        <f t="shared" ca="1" si="121"/>
        <v>2</v>
      </c>
      <c r="E325" t="str">
        <f t="shared" ca="1" si="122"/>
        <v>Female</v>
      </c>
      <c r="F325">
        <f t="shared" ca="1" si="123"/>
        <v>28</v>
      </c>
      <c r="G325">
        <f t="shared" ca="1" si="124"/>
        <v>3</v>
      </c>
      <c r="H325" t="str">
        <f t="shared" ca="1" si="125"/>
        <v>Teaching</v>
      </c>
      <c r="I325">
        <f t="shared" ca="1" si="126"/>
        <v>1</v>
      </c>
      <c r="J325" t="str">
        <f t="shared" ca="1" si="127"/>
        <v>High School</v>
      </c>
      <c r="K325">
        <f t="shared" ca="1" si="128"/>
        <v>4</v>
      </c>
      <c r="L325">
        <f t="shared" ca="1" si="129"/>
        <v>1</v>
      </c>
      <c r="M325">
        <f t="shared" ca="1" si="130"/>
        <v>65263</v>
      </c>
      <c r="N325">
        <f t="shared" ca="1" si="131"/>
        <v>5</v>
      </c>
      <c r="O325" t="str">
        <f t="shared" ca="1" si="132"/>
        <v>Nunavut</v>
      </c>
      <c r="P325">
        <f t="shared" ca="1" si="115"/>
        <v>326315</v>
      </c>
      <c r="Q325">
        <f t="shared" ca="1" si="133"/>
        <v>251271.8068978673</v>
      </c>
      <c r="R325">
        <f t="shared" ca="1" si="120"/>
        <v>9958.7526145616466</v>
      </c>
      <c r="S325">
        <f t="shared" ca="1" si="134"/>
        <v>1258</v>
      </c>
      <c r="T325">
        <f t="shared" ca="1" si="116"/>
        <v>100742.02993251049</v>
      </c>
      <c r="U325">
        <f t="shared" ca="1" si="117"/>
        <v>75250.750821838068</v>
      </c>
      <c r="V325">
        <f t="shared" ca="1" si="118"/>
        <v>411524.50343639974</v>
      </c>
      <c r="W325">
        <f t="shared" ca="1" si="119"/>
        <v>353271.83683037781</v>
      </c>
      <c r="Z325" s="4">
        <f t="shared" ca="1" si="135"/>
        <v>0</v>
      </c>
      <c r="AA325">
        <f t="shared" ca="1" si="136"/>
        <v>1</v>
      </c>
      <c r="AC325" s="5"/>
      <c r="AX325" s="10">
        <f ca="1">Table1[[#This Row],[Car Value]]/Table1[[#This Row],[No. of Vehicles]]</f>
        <v>9958.7526145616466</v>
      </c>
      <c r="AZ325">
        <f ca="1">IF(Table1[[#This Row],[Debts]]&gt;$BA$3,1,0)</f>
        <v>1</v>
      </c>
      <c r="BC325" s="12">
        <f ca="1">Table1[[#This Row],[Mortage left]]/Table1[[#This Row],[Value of The House]]</f>
        <v>0.77002836798145136</v>
      </c>
      <c r="BD325" s="4">
        <f t="shared" ca="1" si="137"/>
        <v>0</v>
      </c>
      <c r="BE325" s="5"/>
    </row>
    <row r="326" spans="4:57" x14ac:dyDescent="0.3">
      <c r="D326">
        <f t="shared" ca="1" si="121"/>
        <v>1</v>
      </c>
      <c r="E326" t="str">
        <f t="shared" ca="1" si="122"/>
        <v>Male</v>
      </c>
      <c r="F326">
        <f t="shared" ca="1" si="123"/>
        <v>39</v>
      </c>
      <c r="G326">
        <f t="shared" ca="1" si="124"/>
        <v>4</v>
      </c>
      <c r="H326" t="str">
        <f t="shared" ca="1" si="125"/>
        <v>IT</v>
      </c>
      <c r="I326">
        <f t="shared" ca="1" si="126"/>
        <v>3</v>
      </c>
      <c r="J326" t="str">
        <f t="shared" ca="1" si="127"/>
        <v>University</v>
      </c>
      <c r="K326">
        <f t="shared" ca="1" si="128"/>
        <v>3</v>
      </c>
      <c r="L326">
        <f t="shared" ca="1" si="129"/>
        <v>2</v>
      </c>
      <c r="M326">
        <f t="shared" ca="1" si="130"/>
        <v>50635</v>
      </c>
      <c r="N326">
        <f t="shared" ca="1" si="131"/>
        <v>1</v>
      </c>
      <c r="O326" t="str">
        <f t="shared" ca="1" si="132"/>
        <v>Yukon</v>
      </c>
      <c r="P326">
        <f t="shared" ca="1" si="115"/>
        <v>202540</v>
      </c>
      <c r="Q326">
        <f t="shared" ca="1" si="133"/>
        <v>43484.708382312027</v>
      </c>
      <c r="R326">
        <f t="shared" ca="1" si="120"/>
        <v>52653.795712314168</v>
      </c>
      <c r="S326">
        <f t="shared" ca="1" si="134"/>
        <v>42167</v>
      </c>
      <c r="T326">
        <f t="shared" ca="1" si="116"/>
        <v>52263.197583065354</v>
      </c>
      <c r="U326">
        <f t="shared" ca="1" si="117"/>
        <v>34361.30575395171</v>
      </c>
      <c r="V326">
        <f t="shared" ca="1" si="118"/>
        <v>289555.10146626586</v>
      </c>
      <c r="W326">
        <f t="shared" ca="1" si="119"/>
        <v>137914.9059653774</v>
      </c>
      <c r="Z326" s="4">
        <f t="shared" ca="1" si="135"/>
        <v>1</v>
      </c>
      <c r="AA326">
        <f t="shared" ca="1" si="136"/>
        <v>0</v>
      </c>
      <c r="AC326" s="5"/>
      <c r="AX326" s="10">
        <f ca="1">Table1[[#This Row],[Car Value]]/Table1[[#This Row],[No. of Vehicles]]</f>
        <v>26326.897856157084</v>
      </c>
      <c r="AZ326">
        <f ca="1">IF(Table1[[#This Row],[Debts]]&gt;$BA$3,1,0)</f>
        <v>1</v>
      </c>
      <c r="BC326" s="12">
        <f ca="1">Table1[[#This Row],[Mortage left]]/Table1[[#This Row],[Value of The House]]</f>
        <v>0.21469689139089576</v>
      </c>
      <c r="BD326" s="4">
        <f t="shared" ca="1" si="137"/>
        <v>0</v>
      </c>
      <c r="BE326" s="5"/>
    </row>
    <row r="327" spans="4:57" x14ac:dyDescent="0.3">
      <c r="D327">
        <f t="shared" ca="1" si="121"/>
        <v>2</v>
      </c>
      <c r="E327" t="str">
        <f t="shared" ca="1" si="122"/>
        <v>Female</v>
      </c>
      <c r="F327">
        <f t="shared" ca="1" si="123"/>
        <v>25</v>
      </c>
      <c r="G327">
        <f t="shared" ca="1" si="124"/>
        <v>6</v>
      </c>
      <c r="H327" t="str">
        <f t="shared" ca="1" si="125"/>
        <v>General Work</v>
      </c>
      <c r="I327">
        <f t="shared" ca="1" si="126"/>
        <v>3</v>
      </c>
      <c r="J327" t="str">
        <f t="shared" ca="1" si="127"/>
        <v>University</v>
      </c>
      <c r="K327">
        <f t="shared" ca="1" si="128"/>
        <v>1</v>
      </c>
      <c r="L327">
        <f t="shared" ca="1" si="129"/>
        <v>1</v>
      </c>
      <c r="M327">
        <f t="shared" ca="1" si="130"/>
        <v>70937</v>
      </c>
      <c r="N327">
        <f t="shared" ca="1" si="131"/>
        <v>12</v>
      </c>
      <c r="O327" t="str">
        <f t="shared" ca="1" si="132"/>
        <v>Nova scotia</v>
      </c>
      <c r="P327">
        <f t="shared" ca="1" si="115"/>
        <v>283748</v>
      </c>
      <c r="Q327">
        <f t="shared" ca="1" si="133"/>
        <v>143253.9686313296</v>
      </c>
      <c r="R327">
        <f t="shared" ca="1" si="120"/>
        <v>45714.707280875606</v>
      </c>
      <c r="S327">
        <f t="shared" ca="1" si="134"/>
        <v>15283</v>
      </c>
      <c r="T327">
        <f t="shared" ca="1" si="116"/>
        <v>53071.547777914486</v>
      </c>
      <c r="U327">
        <f t="shared" ca="1" si="117"/>
        <v>54729.574460450836</v>
      </c>
      <c r="V327">
        <f t="shared" ca="1" si="118"/>
        <v>384192.28174132644</v>
      </c>
      <c r="W327">
        <f t="shared" ca="1" si="119"/>
        <v>211608.5164092441</v>
      </c>
      <c r="Z327" s="4">
        <f t="shared" ca="1" si="135"/>
        <v>0</v>
      </c>
      <c r="AA327">
        <f t="shared" ca="1" si="136"/>
        <v>1</v>
      </c>
      <c r="AC327" s="5"/>
      <c r="AX327" s="10">
        <f ca="1">Table1[[#This Row],[Car Value]]/Table1[[#This Row],[No. of Vehicles]]</f>
        <v>45714.707280875606</v>
      </c>
      <c r="AZ327">
        <f ca="1">IF(Table1[[#This Row],[Debts]]&gt;$BA$3,1,0)</f>
        <v>1</v>
      </c>
      <c r="BC327" s="12">
        <f ca="1">Table1[[#This Row],[Mortage left]]/Table1[[#This Row],[Value of The House]]</f>
        <v>0.50486335985215613</v>
      </c>
      <c r="BD327" s="4">
        <f t="shared" ca="1" si="137"/>
        <v>0</v>
      </c>
      <c r="BE327" s="5"/>
    </row>
    <row r="328" spans="4:57" x14ac:dyDescent="0.3">
      <c r="D328">
        <f t="shared" ca="1" si="121"/>
        <v>1</v>
      </c>
      <c r="E328" t="str">
        <f t="shared" ca="1" si="122"/>
        <v>Male</v>
      </c>
      <c r="F328">
        <f t="shared" ca="1" si="123"/>
        <v>35</v>
      </c>
      <c r="G328">
        <f t="shared" ca="1" si="124"/>
        <v>3</v>
      </c>
      <c r="H328" t="str">
        <f t="shared" ca="1" si="125"/>
        <v>Teaching</v>
      </c>
      <c r="I328">
        <f t="shared" ca="1" si="126"/>
        <v>2</v>
      </c>
      <c r="J328" t="str">
        <f t="shared" ca="1" si="127"/>
        <v>College</v>
      </c>
      <c r="K328">
        <f t="shared" ca="1" si="128"/>
        <v>3</v>
      </c>
      <c r="L328">
        <f t="shared" ca="1" si="129"/>
        <v>1</v>
      </c>
      <c r="M328">
        <f t="shared" ca="1" si="130"/>
        <v>76607</v>
      </c>
      <c r="N328">
        <f t="shared" ca="1" si="131"/>
        <v>4</v>
      </c>
      <c r="O328" t="str">
        <f t="shared" ca="1" si="132"/>
        <v>Alberta</v>
      </c>
      <c r="P328">
        <f t="shared" ca="1" si="115"/>
        <v>306428</v>
      </c>
      <c r="Q328">
        <f t="shared" ca="1" si="133"/>
        <v>63082.633661706153</v>
      </c>
      <c r="R328">
        <f t="shared" ca="1" si="120"/>
        <v>9599.5351580179558</v>
      </c>
      <c r="S328">
        <f t="shared" ca="1" si="134"/>
        <v>2922</v>
      </c>
      <c r="T328">
        <f t="shared" ca="1" si="116"/>
        <v>134472.8499869603</v>
      </c>
      <c r="U328">
        <f t="shared" ca="1" si="117"/>
        <v>46361.512868846519</v>
      </c>
      <c r="V328">
        <f t="shared" ca="1" si="118"/>
        <v>362389.04802686448</v>
      </c>
      <c r="W328">
        <f t="shared" ca="1" si="119"/>
        <v>200477.48364866644</v>
      </c>
      <c r="Z328" s="4">
        <f t="shared" ca="1" si="135"/>
        <v>1</v>
      </c>
      <c r="AA328">
        <f t="shared" ca="1" si="136"/>
        <v>0</v>
      </c>
      <c r="AC328" s="5"/>
      <c r="AX328" s="10">
        <f ca="1">Table1[[#This Row],[Car Value]]/Table1[[#This Row],[No. of Vehicles]]</f>
        <v>9599.5351580179558</v>
      </c>
      <c r="AZ328">
        <f ca="1">IF(Table1[[#This Row],[Debts]]&gt;$BA$3,1,0)</f>
        <v>1</v>
      </c>
      <c r="BC328" s="12">
        <f ca="1">Table1[[#This Row],[Mortage left]]/Table1[[#This Row],[Value of The House]]</f>
        <v>0.20586445645210671</v>
      </c>
      <c r="BD328" s="4">
        <f t="shared" ca="1" si="137"/>
        <v>0</v>
      </c>
      <c r="BE328" s="5"/>
    </row>
    <row r="329" spans="4:57" x14ac:dyDescent="0.3">
      <c r="D329">
        <f t="shared" ca="1" si="121"/>
        <v>1</v>
      </c>
      <c r="E329" t="str">
        <f t="shared" ca="1" si="122"/>
        <v>Male</v>
      </c>
      <c r="F329">
        <f t="shared" ca="1" si="123"/>
        <v>36</v>
      </c>
      <c r="G329">
        <f t="shared" ca="1" si="124"/>
        <v>3</v>
      </c>
      <c r="H329" t="str">
        <f t="shared" ca="1" si="125"/>
        <v>Teaching</v>
      </c>
      <c r="I329">
        <f t="shared" ca="1" si="126"/>
        <v>5</v>
      </c>
      <c r="J329" t="str">
        <f t="shared" ca="1" si="127"/>
        <v>Other</v>
      </c>
      <c r="K329">
        <f t="shared" ca="1" si="128"/>
        <v>3</v>
      </c>
      <c r="L329">
        <f t="shared" ca="1" si="129"/>
        <v>2</v>
      </c>
      <c r="M329">
        <f t="shared" ca="1" si="130"/>
        <v>82898</v>
      </c>
      <c r="N329">
        <f t="shared" ca="1" si="131"/>
        <v>12</v>
      </c>
      <c r="O329" t="str">
        <f t="shared" ca="1" si="132"/>
        <v>Nova scotia</v>
      </c>
      <c r="P329">
        <f t="shared" ca="1" si="115"/>
        <v>414490</v>
      </c>
      <c r="Q329">
        <f t="shared" ca="1" si="133"/>
        <v>372302.61597915104</v>
      </c>
      <c r="R329">
        <f t="shared" ca="1" si="120"/>
        <v>126214.90731166111</v>
      </c>
      <c r="S329">
        <f t="shared" ca="1" si="134"/>
        <v>34986</v>
      </c>
      <c r="T329">
        <f t="shared" ca="1" si="116"/>
        <v>16797.207348643165</v>
      </c>
      <c r="U329">
        <f t="shared" ca="1" si="117"/>
        <v>51036.506244811768</v>
      </c>
      <c r="V329">
        <f t="shared" ca="1" si="118"/>
        <v>591741.41355647298</v>
      </c>
      <c r="W329">
        <f t="shared" ca="1" si="119"/>
        <v>424085.82332779421</v>
      </c>
      <c r="Z329" s="4">
        <f t="shared" ca="1" si="135"/>
        <v>1</v>
      </c>
      <c r="AA329">
        <f t="shared" ca="1" si="136"/>
        <v>0</v>
      </c>
      <c r="AC329" s="5"/>
      <c r="AX329" s="10">
        <f ca="1">Table1[[#This Row],[Car Value]]/Table1[[#This Row],[No. of Vehicles]]</f>
        <v>63107.453655830555</v>
      </c>
      <c r="AZ329">
        <f ca="1">IF(Table1[[#This Row],[Debts]]&gt;$BA$3,1,0)</f>
        <v>0</v>
      </c>
      <c r="BC329" s="12">
        <f ca="1">Table1[[#This Row],[Mortage left]]/Table1[[#This Row],[Value of The House]]</f>
        <v>0.89821857217098378</v>
      </c>
      <c r="BD329" s="4">
        <f t="shared" ca="1" si="137"/>
        <v>0</v>
      </c>
      <c r="BE329" s="5"/>
    </row>
    <row r="330" spans="4:57" x14ac:dyDescent="0.3">
      <c r="D330">
        <f t="shared" ca="1" si="121"/>
        <v>1</v>
      </c>
      <c r="E330" t="str">
        <f t="shared" ca="1" si="122"/>
        <v>Male</v>
      </c>
      <c r="F330">
        <f t="shared" ca="1" si="123"/>
        <v>44</v>
      </c>
      <c r="G330">
        <f t="shared" ca="1" si="124"/>
        <v>1</v>
      </c>
      <c r="H330" t="str">
        <f t="shared" ca="1" si="125"/>
        <v>Health</v>
      </c>
      <c r="I330">
        <f t="shared" ca="1" si="126"/>
        <v>1</v>
      </c>
      <c r="J330" t="str">
        <f t="shared" ca="1" si="127"/>
        <v>High School</v>
      </c>
      <c r="K330">
        <f t="shared" ca="1" si="128"/>
        <v>0</v>
      </c>
      <c r="L330">
        <f t="shared" ca="1" si="129"/>
        <v>1</v>
      </c>
      <c r="M330">
        <f t="shared" ca="1" si="130"/>
        <v>36393</v>
      </c>
      <c r="N330">
        <f t="shared" ca="1" si="131"/>
        <v>4</v>
      </c>
      <c r="O330" t="str">
        <f t="shared" ca="1" si="132"/>
        <v>Alberta</v>
      </c>
      <c r="P330">
        <f t="shared" ca="1" si="115"/>
        <v>145572</v>
      </c>
      <c r="Q330">
        <f t="shared" ca="1" si="133"/>
        <v>118826.47416780036</v>
      </c>
      <c r="R330">
        <f t="shared" ca="1" si="120"/>
        <v>21082.962056876688</v>
      </c>
      <c r="S330">
        <f t="shared" ca="1" si="134"/>
        <v>1057</v>
      </c>
      <c r="T330">
        <f t="shared" ca="1" si="116"/>
        <v>60570.568940551821</v>
      </c>
      <c r="U330">
        <f t="shared" ca="1" si="117"/>
        <v>38352.863648010331</v>
      </c>
      <c r="V330">
        <f t="shared" ca="1" si="118"/>
        <v>205007.82570488701</v>
      </c>
      <c r="W330">
        <f t="shared" ca="1" si="119"/>
        <v>180454.04310835217</v>
      </c>
      <c r="Z330" s="4">
        <f t="shared" ca="1" si="135"/>
        <v>1</v>
      </c>
      <c r="AA330">
        <f t="shared" ca="1" si="136"/>
        <v>0</v>
      </c>
      <c r="AC330" s="5"/>
      <c r="AX330" s="10">
        <f ca="1">Table1[[#This Row],[Car Value]]/Table1[[#This Row],[No. of Vehicles]]</f>
        <v>21082.962056876688</v>
      </c>
      <c r="AZ330">
        <f ca="1">IF(Table1[[#This Row],[Debts]]&gt;$BA$3,1,0)</f>
        <v>1</v>
      </c>
      <c r="BC330" s="12">
        <f ca="1">Table1[[#This Row],[Mortage left]]/Table1[[#This Row],[Value of The House]]</f>
        <v>0.81627286956145662</v>
      </c>
      <c r="BD330" s="4">
        <f t="shared" ca="1" si="137"/>
        <v>0</v>
      </c>
      <c r="BE330" s="5"/>
    </row>
    <row r="331" spans="4:57" x14ac:dyDescent="0.3">
      <c r="D331">
        <f t="shared" ca="1" si="121"/>
        <v>1</v>
      </c>
      <c r="E331" t="str">
        <f t="shared" ca="1" si="122"/>
        <v>Male</v>
      </c>
      <c r="F331">
        <f t="shared" ca="1" si="123"/>
        <v>25</v>
      </c>
      <c r="G331">
        <f t="shared" ca="1" si="124"/>
        <v>2</v>
      </c>
      <c r="H331" t="str">
        <f t="shared" ca="1" si="125"/>
        <v>Construction</v>
      </c>
      <c r="I331">
        <f t="shared" ca="1" si="126"/>
        <v>1</v>
      </c>
      <c r="J331" t="str">
        <f t="shared" ca="1" si="127"/>
        <v>High School</v>
      </c>
      <c r="K331">
        <f t="shared" ca="1" si="128"/>
        <v>3</v>
      </c>
      <c r="L331">
        <f t="shared" ca="1" si="129"/>
        <v>1</v>
      </c>
      <c r="M331">
        <f t="shared" ca="1" si="130"/>
        <v>44003</v>
      </c>
      <c r="N331">
        <f t="shared" ca="1" si="131"/>
        <v>13</v>
      </c>
      <c r="O331" t="str">
        <f t="shared" ca="1" si="132"/>
        <v>Prince Edward Islnd</v>
      </c>
      <c r="P331">
        <f t="shared" ca="1" si="115"/>
        <v>264018</v>
      </c>
      <c r="Q331">
        <f t="shared" ca="1" si="133"/>
        <v>230770.91988372346</v>
      </c>
      <c r="R331">
        <f t="shared" ca="1" si="120"/>
        <v>11847.771765986085</v>
      </c>
      <c r="S331">
        <f t="shared" ca="1" si="134"/>
        <v>7189</v>
      </c>
      <c r="T331">
        <f t="shared" ca="1" si="116"/>
        <v>13780.881932927326</v>
      </c>
      <c r="U331">
        <f t="shared" ca="1" si="117"/>
        <v>33566.267924679429</v>
      </c>
      <c r="V331">
        <f t="shared" ca="1" si="118"/>
        <v>309432.03969066555</v>
      </c>
      <c r="W331">
        <f t="shared" ca="1" si="119"/>
        <v>251740.80181665078</v>
      </c>
      <c r="Z331" s="4">
        <f t="shared" ca="1" si="135"/>
        <v>1</v>
      </c>
      <c r="AA331">
        <f t="shared" ca="1" si="136"/>
        <v>0</v>
      </c>
      <c r="AC331" s="5"/>
      <c r="AX331" s="10">
        <f ca="1">Table1[[#This Row],[Car Value]]/Table1[[#This Row],[No. of Vehicles]]</f>
        <v>11847.771765986085</v>
      </c>
      <c r="AZ331">
        <f ca="1">IF(Table1[[#This Row],[Debts]]&gt;$BA$3,1,0)</f>
        <v>0</v>
      </c>
      <c r="BC331" s="12">
        <f ca="1">Table1[[#This Row],[Mortage left]]/Table1[[#This Row],[Value of The House]]</f>
        <v>0.87407267642252973</v>
      </c>
      <c r="BD331" s="4">
        <f t="shared" ca="1" si="137"/>
        <v>0</v>
      </c>
      <c r="BE331" s="5"/>
    </row>
    <row r="332" spans="4:57" x14ac:dyDescent="0.3">
      <c r="D332">
        <f t="shared" ca="1" si="121"/>
        <v>2</v>
      </c>
      <c r="E332" t="str">
        <f t="shared" ca="1" si="122"/>
        <v>Female</v>
      </c>
      <c r="F332">
        <f t="shared" ca="1" si="123"/>
        <v>37</v>
      </c>
      <c r="G332">
        <f t="shared" ca="1" si="124"/>
        <v>2</v>
      </c>
      <c r="H332" t="str">
        <f t="shared" ca="1" si="125"/>
        <v>Construction</v>
      </c>
      <c r="I332">
        <f t="shared" ca="1" si="126"/>
        <v>5</v>
      </c>
      <c r="J332" t="str">
        <f t="shared" ca="1" si="127"/>
        <v>Other</v>
      </c>
      <c r="K332">
        <f t="shared" ca="1" si="128"/>
        <v>4</v>
      </c>
      <c r="L332">
        <f t="shared" ca="1" si="129"/>
        <v>1</v>
      </c>
      <c r="M332">
        <f t="shared" ca="1" si="130"/>
        <v>56497</v>
      </c>
      <c r="N332">
        <f t="shared" ca="1" si="131"/>
        <v>2</v>
      </c>
      <c r="O332" t="str">
        <f t="shared" ca="1" si="132"/>
        <v>BC</v>
      </c>
      <c r="P332">
        <f t="shared" ca="1" si="115"/>
        <v>225988</v>
      </c>
      <c r="Q332">
        <f t="shared" ca="1" si="133"/>
        <v>73806.190941722569</v>
      </c>
      <c r="R332">
        <f t="shared" ca="1" si="120"/>
        <v>35250.692286560166</v>
      </c>
      <c r="S332">
        <f t="shared" ca="1" si="134"/>
        <v>26471</v>
      </c>
      <c r="T332">
        <f t="shared" ca="1" si="116"/>
        <v>38618.976789998407</v>
      </c>
      <c r="U332">
        <f t="shared" ca="1" si="117"/>
        <v>16207.042065186361</v>
      </c>
      <c r="V332">
        <f t="shared" ca="1" si="118"/>
        <v>277445.73435174651</v>
      </c>
      <c r="W332">
        <f t="shared" ca="1" si="119"/>
        <v>138896.16773172098</v>
      </c>
      <c r="Z332" s="4">
        <f t="shared" ca="1" si="135"/>
        <v>0</v>
      </c>
      <c r="AA332">
        <f t="shared" ca="1" si="136"/>
        <v>1</v>
      </c>
      <c r="AC332" s="5"/>
      <c r="AX332" s="10">
        <f ca="1">Table1[[#This Row],[Car Value]]/Table1[[#This Row],[No. of Vehicles]]</f>
        <v>35250.692286560166</v>
      </c>
      <c r="AZ332">
        <f ca="1">IF(Table1[[#This Row],[Debts]]&gt;$BA$3,1,0)</f>
        <v>1</v>
      </c>
      <c r="BC332" s="12">
        <f ca="1">Table1[[#This Row],[Mortage left]]/Table1[[#This Row],[Value of The House]]</f>
        <v>0.32659340735668518</v>
      </c>
      <c r="BD332" s="4">
        <f t="shared" ca="1" si="137"/>
        <v>0</v>
      </c>
      <c r="BE332" s="5"/>
    </row>
    <row r="333" spans="4:57" x14ac:dyDescent="0.3">
      <c r="D333">
        <f t="shared" ca="1" si="121"/>
        <v>2</v>
      </c>
      <c r="E333" t="str">
        <f t="shared" ca="1" si="122"/>
        <v>Female</v>
      </c>
      <c r="F333">
        <f t="shared" ca="1" si="123"/>
        <v>37</v>
      </c>
      <c r="G333">
        <f t="shared" ca="1" si="124"/>
        <v>4</v>
      </c>
      <c r="H333" t="str">
        <f t="shared" ca="1" si="125"/>
        <v>IT</v>
      </c>
      <c r="I333">
        <f t="shared" ca="1" si="126"/>
        <v>2</v>
      </c>
      <c r="J333" t="str">
        <f t="shared" ca="1" si="127"/>
        <v>College</v>
      </c>
      <c r="K333">
        <f t="shared" ca="1" si="128"/>
        <v>1</v>
      </c>
      <c r="L333">
        <f t="shared" ca="1" si="129"/>
        <v>1</v>
      </c>
      <c r="M333">
        <f t="shared" ca="1" si="130"/>
        <v>52107</v>
      </c>
      <c r="N333">
        <f t="shared" ca="1" si="131"/>
        <v>10</v>
      </c>
      <c r="O333" t="str">
        <f t="shared" ca="1" si="132"/>
        <v>Newfouland</v>
      </c>
      <c r="P333">
        <f t="shared" ca="1" si="115"/>
        <v>312642</v>
      </c>
      <c r="Q333">
        <f t="shared" ca="1" si="133"/>
        <v>244821.59995847996</v>
      </c>
      <c r="R333">
        <f t="shared" ca="1" si="120"/>
        <v>3289.3773683659124</v>
      </c>
      <c r="S333">
        <f t="shared" ca="1" si="134"/>
        <v>1353</v>
      </c>
      <c r="T333">
        <f t="shared" ca="1" si="116"/>
        <v>15970.723310188308</v>
      </c>
      <c r="U333">
        <f t="shared" ca="1" si="117"/>
        <v>41889.834229721928</v>
      </c>
      <c r="V333">
        <f t="shared" ca="1" si="118"/>
        <v>357821.21159808786</v>
      </c>
      <c r="W333">
        <f t="shared" ca="1" si="119"/>
        <v>262145.32326866826</v>
      </c>
      <c r="Z333" s="4">
        <f t="shared" ca="1" si="135"/>
        <v>0</v>
      </c>
      <c r="AA333">
        <f t="shared" ca="1" si="136"/>
        <v>1</v>
      </c>
      <c r="AC333" s="5"/>
      <c r="AX333" s="10">
        <f ca="1">Table1[[#This Row],[Car Value]]/Table1[[#This Row],[No. of Vehicles]]</f>
        <v>3289.3773683659124</v>
      </c>
      <c r="AZ333">
        <f ca="1">IF(Table1[[#This Row],[Debts]]&gt;$BA$3,1,0)</f>
        <v>0</v>
      </c>
      <c r="BC333" s="12">
        <f ca="1">Table1[[#This Row],[Mortage left]]/Table1[[#This Row],[Value of The House]]</f>
        <v>0.78307329136354031</v>
      </c>
      <c r="BD333" s="4">
        <f t="shared" ca="1" si="137"/>
        <v>0</v>
      </c>
      <c r="BE333" s="5"/>
    </row>
    <row r="334" spans="4:57" x14ac:dyDescent="0.3">
      <c r="D334">
        <f t="shared" ca="1" si="121"/>
        <v>2</v>
      </c>
      <c r="E334" t="str">
        <f t="shared" ca="1" si="122"/>
        <v>Female</v>
      </c>
      <c r="F334">
        <f t="shared" ca="1" si="123"/>
        <v>33</v>
      </c>
      <c r="G334">
        <f t="shared" ca="1" si="124"/>
        <v>3</v>
      </c>
      <c r="H334" t="str">
        <f t="shared" ca="1" si="125"/>
        <v>Teaching</v>
      </c>
      <c r="I334">
        <f t="shared" ca="1" si="126"/>
        <v>5</v>
      </c>
      <c r="J334" t="str">
        <f t="shared" ca="1" si="127"/>
        <v>Other</v>
      </c>
      <c r="K334">
        <f t="shared" ca="1" si="128"/>
        <v>4</v>
      </c>
      <c r="L334">
        <f t="shared" ca="1" si="129"/>
        <v>2</v>
      </c>
      <c r="M334">
        <f t="shared" ca="1" si="130"/>
        <v>77225</v>
      </c>
      <c r="N334">
        <f t="shared" ca="1" si="131"/>
        <v>2</v>
      </c>
      <c r="O334" t="str">
        <f t="shared" ca="1" si="132"/>
        <v>BC</v>
      </c>
      <c r="P334">
        <f t="shared" ca="1" si="115"/>
        <v>463350</v>
      </c>
      <c r="Q334">
        <f t="shared" ca="1" si="133"/>
        <v>352107.4794534276</v>
      </c>
      <c r="R334">
        <f t="shared" ca="1" si="120"/>
        <v>121529.41968290001</v>
      </c>
      <c r="S334">
        <f t="shared" ca="1" si="134"/>
        <v>46454</v>
      </c>
      <c r="T334">
        <f t="shared" ca="1" si="116"/>
        <v>4232.9879168384396</v>
      </c>
      <c r="U334">
        <f t="shared" ca="1" si="117"/>
        <v>6032.4490259094291</v>
      </c>
      <c r="V334">
        <f t="shared" ca="1" si="118"/>
        <v>590911.86870880937</v>
      </c>
      <c r="W334">
        <f t="shared" ca="1" si="119"/>
        <v>402794.46737026604</v>
      </c>
      <c r="Z334" s="4">
        <f t="shared" ca="1" si="135"/>
        <v>0</v>
      </c>
      <c r="AA334">
        <f t="shared" ca="1" si="136"/>
        <v>1</v>
      </c>
      <c r="AC334" s="5"/>
      <c r="AX334" s="10">
        <f ca="1">Table1[[#This Row],[Car Value]]/Table1[[#This Row],[No. of Vehicles]]</f>
        <v>60764.709841450007</v>
      </c>
      <c r="AZ334">
        <f ca="1">IF(Table1[[#This Row],[Debts]]&gt;$BA$3,1,0)</f>
        <v>0</v>
      </c>
      <c r="BC334" s="12">
        <f ca="1">Table1[[#This Row],[Mortage left]]/Table1[[#This Row],[Value of The House]]</f>
        <v>0.75991686512016321</v>
      </c>
      <c r="BD334" s="4">
        <f t="shared" ca="1" si="137"/>
        <v>0</v>
      </c>
      <c r="BE334" s="5"/>
    </row>
    <row r="335" spans="4:57" x14ac:dyDescent="0.3">
      <c r="D335">
        <f t="shared" ca="1" si="121"/>
        <v>2</v>
      </c>
      <c r="E335" t="str">
        <f t="shared" ca="1" si="122"/>
        <v>Female</v>
      </c>
      <c r="F335">
        <f t="shared" ca="1" si="123"/>
        <v>30</v>
      </c>
      <c r="G335">
        <f t="shared" ca="1" si="124"/>
        <v>4</v>
      </c>
      <c r="H335" t="str">
        <f t="shared" ca="1" si="125"/>
        <v>IT</v>
      </c>
      <c r="I335">
        <f t="shared" ca="1" si="126"/>
        <v>5</v>
      </c>
      <c r="J335" t="str">
        <f t="shared" ca="1" si="127"/>
        <v>Other</v>
      </c>
      <c r="K335">
        <f t="shared" ca="1" si="128"/>
        <v>1</v>
      </c>
      <c r="L335">
        <f t="shared" ca="1" si="129"/>
        <v>1</v>
      </c>
      <c r="M335">
        <f t="shared" ca="1" si="130"/>
        <v>70037</v>
      </c>
      <c r="N335">
        <f t="shared" ca="1" si="131"/>
        <v>3</v>
      </c>
      <c r="O335" t="str">
        <f t="shared" ca="1" si="132"/>
        <v>Northwest Ter</v>
      </c>
      <c r="P335">
        <f t="shared" ca="1" si="115"/>
        <v>420222</v>
      </c>
      <c r="Q335">
        <f t="shared" ca="1" si="133"/>
        <v>259898.44695329346</v>
      </c>
      <c r="R335">
        <f t="shared" ca="1" si="120"/>
        <v>62688.319958667402</v>
      </c>
      <c r="S335">
        <f t="shared" ca="1" si="134"/>
        <v>16982</v>
      </c>
      <c r="T335">
        <f t="shared" ca="1" si="116"/>
        <v>36569.84938769626</v>
      </c>
      <c r="U335">
        <f t="shared" ca="1" si="117"/>
        <v>55789.569577871836</v>
      </c>
      <c r="V335">
        <f t="shared" ca="1" si="118"/>
        <v>538699.88953653921</v>
      </c>
      <c r="W335">
        <f t="shared" ca="1" si="119"/>
        <v>313450.29634098971</v>
      </c>
      <c r="Z335" s="4">
        <f t="shared" ca="1" si="135"/>
        <v>0</v>
      </c>
      <c r="AA335">
        <f t="shared" ca="1" si="136"/>
        <v>1</v>
      </c>
      <c r="AC335" s="5"/>
      <c r="AX335" s="10">
        <f ca="1">Table1[[#This Row],[Car Value]]/Table1[[#This Row],[No. of Vehicles]]</f>
        <v>62688.319958667402</v>
      </c>
      <c r="AZ335">
        <f ca="1">IF(Table1[[#This Row],[Debts]]&gt;$BA$3,1,0)</f>
        <v>1</v>
      </c>
      <c r="BC335" s="12">
        <f ca="1">Table1[[#This Row],[Mortage left]]/Table1[[#This Row],[Value of The House]]</f>
        <v>0.61847891579520697</v>
      </c>
      <c r="BD335" s="4">
        <f t="shared" ca="1" si="137"/>
        <v>0</v>
      </c>
      <c r="BE335" s="5"/>
    </row>
    <row r="336" spans="4:57" x14ac:dyDescent="0.3">
      <c r="D336">
        <f t="shared" ca="1" si="121"/>
        <v>2</v>
      </c>
      <c r="E336" t="str">
        <f t="shared" ca="1" si="122"/>
        <v>Female</v>
      </c>
      <c r="F336">
        <f t="shared" ca="1" si="123"/>
        <v>30</v>
      </c>
      <c r="G336">
        <f t="shared" ca="1" si="124"/>
        <v>5</v>
      </c>
      <c r="H336" t="str">
        <f t="shared" ca="1" si="125"/>
        <v>Agriculture</v>
      </c>
      <c r="I336">
        <f t="shared" ca="1" si="126"/>
        <v>4</v>
      </c>
      <c r="J336" t="str">
        <f t="shared" ca="1" si="127"/>
        <v>Technical</v>
      </c>
      <c r="K336">
        <f t="shared" ca="1" si="128"/>
        <v>3</v>
      </c>
      <c r="L336">
        <f t="shared" ca="1" si="129"/>
        <v>2</v>
      </c>
      <c r="M336">
        <f t="shared" ca="1" si="130"/>
        <v>36347</v>
      </c>
      <c r="N336">
        <f t="shared" ca="1" si="131"/>
        <v>1</v>
      </c>
      <c r="O336" t="str">
        <f t="shared" ca="1" si="132"/>
        <v>Yukon</v>
      </c>
      <c r="P336">
        <f t="shared" ca="1" si="115"/>
        <v>145388</v>
      </c>
      <c r="Q336">
        <f t="shared" ca="1" si="133"/>
        <v>48111.903564549415</v>
      </c>
      <c r="R336">
        <f t="shared" ca="1" si="120"/>
        <v>67857.219937644244</v>
      </c>
      <c r="S336">
        <f t="shared" ca="1" si="134"/>
        <v>52871</v>
      </c>
      <c r="T336">
        <f t="shared" ca="1" si="116"/>
        <v>24197.536982401292</v>
      </c>
      <c r="U336">
        <f t="shared" ca="1" si="117"/>
        <v>31663.058032651625</v>
      </c>
      <c r="V336">
        <f t="shared" ca="1" si="118"/>
        <v>244908.27797029589</v>
      </c>
      <c r="W336">
        <f t="shared" ca="1" si="119"/>
        <v>125180.4405469507</v>
      </c>
      <c r="Z336" s="4">
        <f t="shared" ca="1" si="135"/>
        <v>0</v>
      </c>
      <c r="AA336">
        <f t="shared" ca="1" si="136"/>
        <v>1</v>
      </c>
      <c r="AC336" s="5"/>
      <c r="AX336" s="10">
        <f ca="1">Table1[[#This Row],[Car Value]]/Table1[[#This Row],[No. of Vehicles]]</f>
        <v>33928.609968822122</v>
      </c>
      <c r="AZ336">
        <f ca="1">IF(Table1[[#This Row],[Debts]]&gt;$BA$3,1,0)</f>
        <v>1</v>
      </c>
      <c r="BC336" s="12">
        <f ca="1">Table1[[#This Row],[Mortage left]]/Table1[[#This Row],[Value of The House]]</f>
        <v>0.33092073324173532</v>
      </c>
      <c r="BD336" s="4">
        <f t="shared" ca="1" si="137"/>
        <v>0</v>
      </c>
      <c r="BE336" s="5"/>
    </row>
    <row r="337" spans="4:57" x14ac:dyDescent="0.3">
      <c r="D337">
        <f t="shared" ca="1" si="121"/>
        <v>1</v>
      </c>
      <c r="E337" t="str">
        <f t="shared" ca="1" si="122"/>
        <v>Male</v>
      </c>
      <c r="F337">
        <f t="shared" ca="1" si="123"/>
        <v>38</v>
      </c>
      <c r="G337">
        <f t="shared" ca="1" si="124"/>
        <v>2</v>
      </c>
      <c r="H337" t="str">
        <f t="shared" ca="1" si="125"/>
        <v>Construction</v>
      </c>
      <c r="I337">
        <f t="shared" ca="1" si="126"/>
        <v>4</v>
      </c>
      <c r="J337" t="str">
        <f t="shared" ca="1" si="127"/>
        <v>Technical</v>
      </c>
      <c r="K337">
        <f t="shared" ca="1" si="128"/>
        <v>3</v>
      </c>
      <c r="L337">
        <f t="shared" ca="1" si="129"/>
        <v>1</v>
      </c>
      <c r="M337">
        <f t="shared" ca="1" si="130"/>
        <v>52395</v>
      </c>
      <c r="N337">
        <f t="shared" ca="1" si="131"/>
        <v>6</v>
      </c>
      <c r="O337" t="str">
        <f t="shared" ca="1" si="132"/>
        <v>Saskatchewan</v>
      </c>
      <c r="P337">
        <f t="shared" ca="1" si="115"/>
        <v>261975</v>
      </c>
      <c r="Q337">
        <f t="shared" ca="1" si="133"/>
        <v>65586.172355898118</v>
      </c>
      <c r="R337">
        <f t="shared" ca="1" si="120"/>
        <v>27781.710257948802</v>
      </c>
      <c r="S337">
        <f t="shared" ca="1" si="134"/>
        <v>3226</v>
      </c>
      <c r="T337">
        <f t="shared" ca="1" si="116"/>
        <v>9489.3123212729915</v>
      </c>
      <c r="U337">
        <f t="shared" ca="1" si="117"/>
        <v>26507.736224229469</v>
      </c>
      <c r="V337">
        <f t="shared" ca="1" si="118"/>
        <v>316264.44648217823</v>
      </c>
      <c r="W337">
        <f t="shared" ca="1" si="119"/>
        <v>78301.484677171102</v>
      </c>
      <c r="Z337" s="4">
        <f t="shared" ca="1" si="135"/>
        <v>1</v>
      </c>
      <c r="AA337">
        <f t="shared" ca="1" si="136"/>
        <v>0</v>
      </c>
      <c r="AC337" s="5"/>
      <c r="AX337" s="10">
        <f ca="1">Table1[[#This Row],[Car Value]]/Table1[[#This Row],[No. of Vehicles]]</f>
        <v>27781.710257948802</v>
      </c>
      <c r="AZ337">
        <f ca="1">IF(Table1[[#This Row],[Debts]]&gt;$BA$3,1,0)</f>
        <v>0</v>
      </c>
      <c r="BC337" s="12">
        <f ca="1">Table1[[#This Row],[Mortage left]]/Table1[[#This Row],[Value of The House]]</f>
        <v>0.25035279074681982</v>
      </c>
      <c r="BD337" s="4">
        <f t="shared" ca="1" si="137"/>
        <v>0</v>
      </c>
      <c r="BE337" s="5"/>
    </row>
    <row r="338" spans="4:57" x14ac:dyDescent="0.3">
      <c r="D338">
        <f t="shared" ca="1" si="121"/>
        <v>1</v>
      </c>
      <c r="E338" t="str">
        <f t="shared" ca="1" si="122"/>
        <v>Male</v>
      </c>
      <c r="F338">
        <f t="shared" ca="1" si="123"/>
        <v>30</v>
      </c>
      <c r="G338">
        <f t="shared" ca="1" si="124"/>
        <v>6</v>
      </c>
      <c r="H338" t="str">
        <f t="shared" ca="1" si="125"/>
        <v>General Work</v>
      </c>
      <c r="I338">
        <f t="shared" ca="1" si="126"/>
        <v>3</v>
      </c>
      <c r="J338" t="str">
        <f t="shared" ca="1" si="127"/>
        <v>University</v>
      </c>
      <c r="K338">
        <f t="shared" ca="1" si="128"/>
        <v>4</v>
      </c>
      <c r="L338">
        <f t="shared" ca="1" si="129"/>
        <v>1</v>
      </c>
      <c r="M338">
        <f t="shared" ca="1" si="130"/>
        <v>42895</v>
      </c>
      <c r="N338">
        <f t="shared" ca="1" si="131"/>
        <v>10</v>
      </c>
      <c r="O338" t="str">
        <f t="shared" ca="1" si="132"/>
        <v>Newfouland</v>
      </c>
      <c r="P338">
        <f t="shared" ca="1" si="115"/>
        <v>257370</v>
      </c>
      <c r="Q338">
        <f t="shared" ca="1" si="133"/>
        <v>49861.002052554737</v>
      </c>
      <c r="R338">
        <f t="shared" ca="1" si="120"/>
        <v>4370.2937018254725</v>
      </c>
      <c r="S338">
        <f t="shared" ca="1" si="134"/>
        <v>3401</v>
      </c>
      <c r="T338">
        <f t="shared" ca="1" si="116"/>
        <v>17673.615213415756</v>
      </c>
      <c r="U338">
        <f t="shared" ca="1" si="117"/>
        <v>51910.696647676552</v>
      </c>
      <c r="V338">
        <f t="shared" ca="1" si="118"/>
        <v>313650.99034950201</v>
      </c>
      <c r="W338">
        <f t="shared" ca="1" si="119"/>
        <v>70935.61726597049</v>
      </c>
      <c r="Z338" s="4">
        <f t="shared" ca="1" si="135"/>
        <v>1</v>
      </c>
      <c r="AA338">
        <f t="shared" ca="1" si="136"/>
        <v>0</v>
      </c>
      <c r="AC338" s="5"/>
      <c r="AX338" s="10">
        <f ca="1">Table1[[#This Row],[Car Value]]/Table1[[#This Row],[No. of Vehicles]]</f>
        <v>4370.2937018254725</v>
      </c>
      <c r="AZ338">
        <f ca="1">IF(Table1[[#This Row],[Debts]]&gt;$BA$3,1,0)</f>
        <v>0</v>
      </c>
      <c r="BC338" s="12">
        <f ca="1">Table1[[#This Row],[Mortage left]]/Table1[[#This Row],[Value of The House]]</f>
        <v>0.19373276626084912</v>
      </c>
      <c r="BD338" s="4">
        <f t="shared" ca="1" si="137"/>
        <v>1</v>
      </c>
      <c r="BE338" s="5"/>
    </row>
    <row r="339" spans="4:57" x14ac:dyDescent="0.3">
      <c r="D339">
        <f t="shared" ca="1" si="121"/>
        <v>1</v>
      </c>
      <c r="E339" t="str">
        <f t="shared" ca="1" si="122"/>
        <v>Male</v>
      </c>
      <c r="F339">
        <f t="shared" ca="1" si="123"/>
        <v>41</v>
      </c>
      <c r="G339">
        <f t="shared" ca="1" si="124"/>
        <v>5</v>
      </c>
      <c r="H339" t="str">
        <f t="shared" ca="1" si="125"/>
        <v>Agriculture</v>
      </c>
      <c r="I339">
        <f t="shared" ca="1" si="126"/>
        <v>3</v>
      </c>
      <c r="J339" t="str">
        <f t="shared" ca="1" si="127"/>
        <v>University</v>
      </c>
      <c r="K339">
        <f t="shared" ca="1" si="128"/>
        <v>2</v>
      </c>
      <c r="L339">
        <f t="shared" ca="1" si="129"/>
        <v>1</v>
      </c>
      <c r="M339">
        <f t="shared" ca="1" si="130"/>
        <v>70015</v>
      </c>
      <c r="N339">
        <f t="shared" ca="1" si="131"/>
        <v>6</v>
      </c>
      <c r="O339" t="str">
        <f t="shared" ca="1" si="132"/>
        <v>Saskatchewan</v>
      </c>
      <c r="P339">
        <f t="shared" ca="1" si="115"/>
        <v>420090</v>
      </c>
      <c r="Q339">
        <f t="shared" ca="1" si="133"/>
        <v>94434.437690007864</v>
      </c>
      <c r="R339">
        <f t="shared" ca="1" si="120"/>
        <v>27086.318847613398</v>
      </c>
      <c r="S339">
        <f t="shared" ca="1" si="134"/>
        <v>9404</v>
      </c>
      <c r="T339">
        <f t="shared" ca="1" si="116"/>
        <v>30808.561296308664</v>
      </c>
      <c r="U339">
        <f t="shared" ca="1" si="117"/>
        <v>64679.170784150971</v>
      </c>
      <c r="V339">
        <f t="shared" ca="1" si="118"/>
        <v>511855.48963176436</v>
      </c>
      <c r="W339">
        <f t="shared" ca="1" si="119"/>
        <v>134646.99898631652</v>
      </c>
      <c r="Z339" s="4">
        <f t="shared" ca="1" si="135"/>
        <v>1</v>
      </c>
      <c r="AA339">
        <f t="shared" ca="1" si="136"/>
        <v>0</v>
      </c>
      <c r="AC339" s="5"/>
      <c r="AX339" s="10">
        <f ca="1">Table1[[#This Row],[Car Value]]/Table1[[#This Row],[No. of Vehicles]]</f>
        <v>27086.318847613398</v>
      </c>
      <c r="AZ339">
        <f ca="1">IF(Table1[[#This Row],[Debts]]&gt;$BA$3,1,0)</f>
        <v>1</v>
      </c>
      <c r="BC339" s="12">
        <f ca="1">Table1[[#This Row],[Mortage left]]/Table1[[#This Row],[Value of The House]]</f>
        <v>0.22479572874862022</v>
      </c>
      <c r="BD339" s="4">
        <f t="shared" ca="1" si="137"/>
        <v>0</v>
      </c>
      <c r="BE339" s="5"/>
    </row>
    <row r="340" spans="4:57" x14ac:dyDescent="0.3">
      <c r="D340">
        <f t="shared" ca="1" si="121"/>
        <v>2</v>
      </c>
      <c r="E340" t="str">
        <f t="shared" ca="1" si="122"/>
        <v>Female</v>
      </c>
      <c r="F340">
        <f t="shared" ca="1" si="123"/>
        <v>45</v>
      </c>
      <c r="G340">
        <f t="shared" ca="1" si="124"/>
        <v>5</v>
      </c>
      <c r="H340" t="str">
        <f t="shared" ca="1" si="125"/>
        <v>Agriculture</v>
      </c>
      <c r="I340">
        <f t="shared" ca="1" si="126"/>
        <v>1</v>
      </c>
      <c r="J340" t="str">
        <f t="shared" ca="1" si="127"/>
        <v>High School</v>
      </c>
      <c r="K340">
        <f t="shared" ca="1" si="128"/>
        <v>1</v>
      </c>
      <c r="L340">
        <f t="shared" ca="1" si="129"/>
        <v>2</v>
      </c>
      <c r="M340">
        <f t="shared" ca="1" si="130"/>
        <v>52725</v>
      </c>
      <c r="N340">
        <f t="shared" ca="1" si="131"/>
        <v>11</v>
      </c>
      <c r="O340" t="str">
        <f t="shared" ca="1" si="132"/>
        <v>New bruncwick</v>
      </c>
      <c r="P340">
        <f t="shared" ca="1" si="115"/>
        <v>210900</v>
      </c>
      <c r="Q340">
        <f t="shared" ca="1" si="133"/>
        <v>31877.112069687933</v>
      </c>
      <c r="R340">
        <f t="shared" ca="1" si="120"/>
        <v>3171.4997122210993</v>
      </c>
      <c r="S340">
        <f t="shared" ca="1" si="134"/>
        <v>910</v>
      </c>
      <c r="T340">
        <f t="shared" ca="1" si="116"/>
        <v>4325.5964780935583</v>
      </c>
      <c r="U340">
        <f t="shared" ca="1" si="117"/>
        <v>67995.140353529801</v>
      </c>
      <c r="V340">
        <f t="shared" ca="1" si="118"/>
        <v>282066.64006575092</v>
      </c>
      <c r="W340">
        <f t="shared" ca="1" si="119"/>
        <v>37112.708547781498</v>
      </c>
      <c r="Z340" s="4">
        <f t="shared" ca="1" si="135"/>
        <v>0</v>
      </c>
      <c r="AA340">
        <f t="shared" ca="1" si="136"/>
        <v>1</v>
      </c>
      <c r="AC340" s="5"/>
      <c r="AX340" s="10">
        <f ca="1">Table1[[#This Row],[Car Value]]/Table1[[#This Row],[No. of Vehicles]]</f>
        <v>1585.7498561105497</v>
      </c>
      <c r="AZ340">
        <f ca="1">IF(Table1[[#This Row],[Debts]]&gt;$BA$3,1,0)</f>
        <v>0</v>
      </c>
      <c r="BC340" s="12">
        <f ca="1">Table1[[#This Row],[Mortage left]]/Table1[[#This Row],[Value of The House]]</f>
        <v>0.15114799464053075</v>
      </c>
      <c r="BD340" s="4">
        <f t="shared" ca="1" si="137"/>
        <v>1</v>
      </c>
      <c r="BE340" s="5"/>
    </row>
    <row r="341" spans="4:57" x14ac:dyDescent="0.3">
      <c r="D341">
        <f t="shared" ca="1" si="121"/>
        <v>1</v>
      </c>
      <c r="E341" t="str">
        <f t="shared" ca="1" si="122"/>
        <v>Male</v>
      </c>
      <c r="F341">
        <f t="shared" ca="1" si="123"/>
        <v>32</v>
      </c>
      <c r="G341">
        <f t="shared" ca="1" si="124"/>
        <v>5</v>
      </c>
      <c r="H341" t="str">
        <f t="shared" ca="1" si="125"/>
        <v>Agriculture</v>
      </c>
      <c r="I341">
        <f t="shared" ca="1" si="126"/>
        <v>4</v>
      </c>
      <c r="J341" t="str">
        <f t="shared" ca="1" si="127"/>
        <v>Technical</v>
      </c>
      <c r="K341">
        <f t="shared" ca="1" si="128"/>
        <v>3</v>
      </c>
      <c r="L341">
        <f t="shared" ca="1" si="129"/>
        <v>1</v>
      </c>
      <c r="M341">
        <f t="shared" ca="1" si="130"/>
        <v>61759</v>
      </c>
      <c r="N341">
        <f t="shared" ca="1" si="131"/>
        <v>13</v>
      </c>
      <c r="O341" t="str">
        <f t="shared" ca="1" si="132"/>
        <v>Prince Edward Islnd</v>
      </c>
      <c r="P341">
        <f t="shared" ca="1" si="115"/>
        <v>370554</v>
      </c>
      <c r="Q341">
        <f t="shared" ca="1" si="133"/>
        <v>264327.22647846001</v>
      </c>
      <c r="R341">
        <f t="shared" ca="1" si="120"/>
        <v>25541.406599110189</v>
      </c>
      <c r="S341">
        <f t="shared" ca="1" si="134"/>
        <v>9837</v>
      </c>
      <c r="T341">
        <f t="shared" ca="1" si="116"/>
        <v>59289.353356071522</v>
      </c>
      <c r="U341">
        <f t="shared" ca="1" si="117"/>
        <v>67195.671378314699</v>
      </c>
      <c r="V341">
        <f t="shared" ca="1" si="118"/>
        <v>463291.07797742484</v>
      </c>
      <c r="W341">
        <f t="shared" ca="1" si="119"/>
        <v>333453.57983453153</v>
      </c>
      <c r="Z341" s="4">
        <f t="shared" ca="1" si="135"/>
        <v>1</v>
      </c>
      <c r="AA341">
        <f t="shared" ca="1" si="136"/>
        <v>0</v>
      </c>
      <c r="AC341" s="5"/>
      <c r="AX341" s="10">
        <f ca="1">Table1[[#This Row],[Car Value]]/Table1[[#This Row],[No. of Vehicles]]</f>
        <v>25541.406599110189</v>
      </c>
      <c r="AZ341">
        <f ca="1">IF(Table1[[#This Row],[Debts]]&gt;$BA$3,1,0)</f>
        <v>1</v>
      </c>
      <c r="BC341" s="12">
        <f ca="1">Table1[[#This Row],[Mortage left]]/Table1[[#This Row],[Value of The House]]</f>
        <v>0.71332984255590282</v>
      </c>
      <c r="BD341" s="4">
        <f t="shared" ca="1" si="137"/>
        <v>0</v>
      </c>
      <c r="BE341" s="5"/>
    </row>
    <row r="342" spans="4:57" x14ac:dyDescent="0.3">
      <c r="D342">
        <f t="shared" ca="1" si="121"/>
        <v>1</v>
      </c>
      <c r="E342" t="str">
        <f t="shared" ca="1" si="122"/>
        <v>Male</v>
      </c>
      <c r="F342">
        <f t="shared" ca="1" si="123"/>
        <v>45</v>
      </c>
      <c r="G342">
        <f t="shared" ca="1" si="124"/>
        <v>5</v>
      </c>
      <c r="H342" t="str">
        <f t="shared" ca="1" si="125"/>
        <v>Agriculture</v>
      </c>
      <c r="I342">
        <f t="shared" ca="1" si="126"/>
        <v>5</v>
      </c>
      <c r="J342" t="str">
        <f t="shared" ca="1" si="127"/>
        <v>Other</v>
      </c>
      <c r="K342">
        <f t="shared" ca="1" si="128"/>
        <v>3</v>
      </c>
      <c r="L342">
        <f t="shared" ca="1" si="129"/>
        <v>1</v>
      </c>
      <c r="M342">
        <f t="shared" ca="1" si="130"/>
        <v>71707</v>
      </c>
      <c r="N342">
        <f t="shared" ca="1" si="131"/>
        <v>4</v>
      </c>
      <c r="O342" t="str">
        <f t="shared" ca="1" si="132"/>
        <v>Alberta</v>
      </c>
      <c r="P342">
        <f t="shared" ca="1" si="115"/>
        <v>430242</v>
      </c>
      <c r="Q342">
        <f t="shared" ca="1" si="133"/>
        <v>296942.23227460956</v>
      </c>
      <c r="R342">
        <f t="shared" ca="1" si="120"/>
        <v>12625.245399897951</v>
      </c>
      <c r="S342">
        <f t="shared" ca="1" si="134"/>
        <v>8079</v>
      </c>
      <c r="T342">
        <f t="shared" ca="1" si="116"/>
        <v>111375.76574731772</v>
      </c>
      <c r="U342">
        <f t="shared" ca="1" si="117"/>
        <v>105650.74887681002</v>
      </c>
      <c r="V342">
        <f t="shared" ca="1" si="118"/>
        <v>548517.99427670799</v>
      </c>
      <c r="W342">
        <f t="shared" ca="1" si="119"/>
        <v>416396.99802192731</v>
      </c>
      <c r="Z342" s="4">
        <f t="shared" ca="1" si="135"/>
        <v>1</v>
      </c>
      <c r="AA342">
        <f t="shared" ca="1" si="136"/>
        <v>0</v>
      </c>
      <c r="AC342" s="5"/>
      <c r="AX342" s="10">
        <f ca="1">Table1[[#This Row],[Car Value]]/Table1[[#This Row],[No. of Vehicles]]</f>
        <v>12625.245399897951</v>
      </c>
      <c r="AZ342">
        <f ca="1">IF(Table1[[#This Row],[Debts]]&gt;$BA$3,1,0)</f>
        <v>1</v>
      </c>
      <c r="BC342" s="12">
        <f ca="1">Table1[[#This Row],[Mortage left]]/Table1[[#This Row],[Value of The House]]</f>
        <v>0.69017490685383942</v>
      </c>
      <c r="BD342" s="4">
        <f t="shared" ca="1" si="137"/>
        <v>0</v>
      </c>
      <c r="BE342" s="5"/>
    </row>
    <row r="343" spans="4:57" x14ac:dyDescent="0.3">
      <c r="D343">
        <f t="shared" ca="1" si="121"/>
        <v>1</v>
      </c>
      <c r="E343" t="str">
        <f t="shared" ca="1" si="122"/>
        <v>Male</v>
      </c>
      <c r="F343">
        <f t="shared" ca="1" si="123"/>
        <v>44</v>
      </c>
      <c r="G343">
        <f t="shared" ca="1" si="124"/>
        <v>3</v>
      </c>
      <c r="H343" t="str">
        <f t="shared" ca="1" si="125"/>
        <v>Teaching</v>
      </c>
      <c r="I343">
        <f t="shared" ca="1" si="126"/>
        <v>1</v>
      </c>
      <c r="J343" t="str">
        <f t="shared" ca="1" si="127"/>
        <v>High School</v>
      </c>
      <c r="K343">
        <f t="shared" ca="1" si="128"/>
        <v>0</v>
      </c>
      <c r="L343">
        <f t="shared" ca="1" si="129"/>
        <v>1</v>
      </c>
      <c r="M343">
        <f t="shared" ca="1" si="130"/>
        <v>57436</v>
      </c>
      <c r="N343">
        <f t="shared" ca="1" si="131"/>
        <v>8</v>
      </c>
      <c r="O343" t="str">
        <f t="shared" ca="1" si="132"/>
        <v>Ontario</v>
      </c>
      <c r="P343">
        <f t="shared" ca="1" si="115"/>
        <v>344616</v>
      </c>
      <c r="Q343">
        <f t="shared" ca="1" si="133"/>
        <v>90023.843095483928</v>
      </c>
      <c r="R343">
        <f t="shared" ca="1" si="120"/>
        <v>8073.8036540088524</v>
      </c>
      <c r="S343">
        <f t="shared" ca="1" si="134"/>
        <v>6955</v>
      </c>
      <c r="T343">
        <f t="shared" ca="1" si="116"/>
        <v>54063.957453027564</v>
      </c>
      <c r="U343">
        <f t="shared" ca="1" si="117"/>
        <v>68204.723922277015</v>
      </c>
      <c r="V343">
        <f t="shared" ca="1" si="118"/>
        <v>420894.52757628588</v>
      </c>
      <c r="W343">
        <f t="shared" ca="1" si="119"/>
        <v>151042.8005485115</v>
      </c>
      <c r="Z343" s="4">
        <f t="shared" ca="1" si="135"/>
        <v>1</v>
      </c>
      <c r="AA343">
        <f t="shared" ca="1" si="136"/>
        <v>0</v>
      </c>
      <c r="AC343" s="5"/>
      <c r="AX343" s="10">
        <f ca="1">Table1[[#This Row],[Car Value]]/Table1[[#This Row],[No. of Vehicles]]</f>
        <v>8073.8036540088524</v>
      </c>
      <c r="AZ343">
        <f ca="1">IF(Table1[[#This Row],[Debts]]&gt;$BA$3,1,0)</f>
        <v>1</v>
      </c>
      <c r="BC343" s="12">
        <f ca="1">Table1[[#This Row],[Mortage left]]/Table1[[#This Row],[Value of The House]]</f>
        <v>0.26122943535843934</v>
      </c>
      <c r="BD343" s="4">
        <f t="shared" ca="1" si="137"/>
        <v>0</v>
      </c>
      <c r="BE343" s="5"/>
    </row>
    <row r="344" spans="4:57" x14ac:dyDescent="0.3">
      <c r="D344">
        <f t="shared" ca="1" si="121"/>
        <v>1</v>
      </c>
      <c r="E344" t="str">
        <f t="shared" ca="1" si="122"/>
        <v>Male</v>
      </c>
      <c r="F344">
        <f t="shared" ca="1" si="123"/>
        <v>30</v>
      </c>
      <c r="G344">
        <f t="shared" ca="1" si="124"/>
        <v>2</v>
      </c>
      <c r="H344" t="str">
        <f t="shared" ca="1" si="125"/>
        <v>Construction</v>
      </c>
      <c r="I344">
        <f t="shared" ca="1" si="126"/>
        <v>2</v>
      </c>
      <c r="J344" t="str">
        <f t="shared" ca="1" si="127"/>
        <v>College</v>
      </c>
      <c r="K344">
        <f t="shared" ca="1" si="128"/>
        <v>3</v>
      </c>
      <c r="L344">
        <f t="shared" ca="1" si="129"/>
        <v>2</v>
      </c>
      <c r="M344">
        <f t="shared" ca="1" si="130"/>
        <v>78293</v>
      </c>
      <c r="N344">
        <f t="shared" ca="1" si="131"/>
        <v>12</v>
      </c>
      <c r="O344" t="str">
        <f t="shared" ca="1" si="132"/>
        <v>Nova scotia</v>
      </c>
      <c r="P344">
        <f t="shared" ca="1" si="115"/>
        <v>469758</v>
      </c>
      <c r="Q344">
        <f t="shared" ca="1" si="133"/>
        <v>150989.33353422134</v>
      </c>
      <c r="R344">
        <f t="shared" ca="1" si="120"/>
        <v>55145.596435382024</v>
      </c>
      <c r="S344">
        <f t="shared" ca="1" si="134"/>
        <v>46554</v>
      </c>
      <c r="T344">
        <f t="shared" ca="1" si="116"/>
        <v>24039.893780583614</v>
      </c>
      <c r="U344">
        <f t="shared" ca="1" si="117"/>
        <v>76999.522018981093</v>
      </c>
      <c r="V344">
        <f t="shared" ca="1" si="118"/>
        <v>601903.11845436308</v>
      </c>
      <c r="W344">
        <f t="shared" ca="1" si="119"/>
        <v>221583.22731480494</v>
      </c>
      <c r="Z344" s="4">
        <f t="shared" ca="1" si="135"/>
        <v>1</v>
      </c>
      <c r="AA344">
        <f t="shared" ca="1" si="136"/>
        <v>0</v>
      </c>
      <c r="AC344" s="5"/>
      <c r="AX344" s="10">
        <f ca="1">Table1[[#This Row],[Car Value]]/Table1[[#This Row],[No. of Vehicles]]</f>
        <v>27572.798217691012</v>
      </c>
      <c r="AZ344">
        <f ca="1">IF(Table1[[#This Row],[Debts]]&gt;$BA$3,1,0)</f>
        <v>1</v>
      </c>
      <c r="BC344" s="12">
        <f ca="1">Table1[[#This Row],[Mortage left]]/Table1[[#This Row],[Value of The House]]</f>
        <v>0.32141939793302371</v>
      </c>
      <c r="BD344" s="4">
        <f t="shared" ca="1" si="137"/>
        <v>0</v>
      </c>
      <c r="BE344" s="5"/>
    </row>
    <row r="345" spans="4:57" x14ac:dyDescent="0.3">
      <c r="D345">
        <f t="shared" ca="1" si="121"/>
        <v>2</v>
      </c>
      <c r="E345" t="str">
        <f t="shared" ca="1" si="122"/>
        <v>Female</v>
      </c>
      <c r="F345">
        <f t="shared" ca="1" si="123"/>
        <v>29</v>
      </c>
      <c r="G345">
        <f t="shared" ca="1" si="124"/>
        <v>3</v>
      </c>
      <c r="H345" t="str">
        <f t="shared" ca="1" si="125"/>
        <v>Teaching</v>
      </c>
      <c r="I345">
        <f t="shared" ca="1" si="126"/>
        <v>1</v>
      </c>
      <c r="J345" t="str">
        <f t="shared" ca="1" si="127"/>
        <v>High School</v>
      </c>
      <c r="K345">
        <f t="shared" ca="1" si="128"/>
        <v>0</v>
      </c>
      <c r="L345">
        <f t="shared" ca="1" si="129"/>
        <v>2</v>
      </c>
      <c r="M345">
        <f t="shared" ca="1" si="130"/>
        <v>59921</v>
      </c>
      <c r="N345">
        <f t="shared" ca="1" si="131"/>
        <v>6</v>
      </c>
      <c r="O345" t="str">
        <f t="shared" ca="1" si="132"/>
        <v>Saskatchewan</v>
      </c>
      <c r="P345">
        <f t="shared" ca="1" si="115"/>
        <v>359526</v>
      </c>
      <c r="Q345">
        <f t="shared" ca="1" si="133"/>
        <v>85281.00893258267</v>
      </c>
      <c r="R345">
        <f t="shared" ca="1" si="120"/>
        <v>118398.30301401996</v>
      </c>
      <c r="S345">
        <f t="shared" ca="1" si="134"/>
        <v>8160</v>
      </c>
      <c r="T345">
        <f t="shared" ca="1" si="116"/>
        <v>117660.97103655158</v>
      </c>
      <c r="U345">
        <f t="shared" ca="1" si="117"/>
        <v>1129.1973737019271</v>
      </c>
      <c r="V345">
        <f t="shared" ca="1" si="118"/>
        <v>479053.50038772187</v>
      </c>
      <c r="W345">
        <f t="shared" ca="1" si="119"/>
        <v>211101.97996913426</v>
      </c>
      <c r="Z345" s="4">
        <f t="shared" ca="1" si="135"/>
        <v>0</v>
      </c>
      <c r="AA345">
        <f t="shared" ca="1" si="136"/>
        <v>1</v>
      </c>
      <c r="AC345" s="5"/>
      <c r="AX345" s="10">
        <f ca="1">Table1[[#This Row],[Car Value]]/Table1[[#This Row],[No. of Vehicles]]</f>
        <v>59199.151507009978</v>
      </c>
      <c r="AZ345">
        <f ca="1">IF(Table1[[#This Row],[Debts]]&gt;$BA$3,1,0)</f>
        <v>1</v>
      </c>
      <c r="BC345" s="12">
        <f ca="1">Table1[[#This Row],[Mortage left]]/Table1[[#This Row],[Value of The House]]</f>
        <v>0.23720401009268502</v>
      </c>
      <c r="BD345" s="4">
        <f t="shared" ca="1" si="137"/>
        <v>0</v>
      </c>
      <c r="BE345" s="5"/>
    </row>
    <row r="346" spans="4:57" x14ac:dyDescent="0.3">
      <c r="D346">
        <f t="shared" ca="1" si="121"/>
        <v>1</v>
      </c>
      <c r="E346" t="str">
        <f t="shared" ca="1" si="122"/>
        <v>Male</v>
      </c>
      <c r="F346">
        <f t="shared" ca="1" si="123"/>
        <v>37</v>
      </c>
      <c r="G346">
        <f t="shared" ca="1" si="124"/>
        <v>6</v>
      </c>
      <c r="H346" t="str">
        <f t="shared" ca="1" si="125"/>
        <v>General Work</v>
      </c>
      <c r="I346">
        <f t="shared" ca="1" si="126"/>
        <v>2</v>
      </c>
      <c r="J346" t="str">
        <f t="shared" ca="1" si="127"/>
        <v>College</v>
      </c>
      <c r="K346">
        <f t="shared" ca="1" si="128"/>
        <v>1</v>
      </c>
      <c r="L346">
        <f t="shared" ca="1" si="129"/>
        <v>1</v>
      </c>
      <c r="M346">
        <f t="shared" ca="1" si="130"/>
        <v>67158</v>
      </c>
      <c r="N346">
        <f t="shared" ca="1" si="131"/>
        <v>3</v>
      </c>
      <c r="O346" t="str">
        <f t="shared" ca="1" si="132"/>
        <v>Northwest Ter</v>
      </c>
      <c r="P346">
        <f t="shared" ca="1" si="115"/>
        <v>335790</v>
      </c>
      <c r="Q346">
        <f t="shared" ca="1" si="133"/>
        <v>233577.25325036858</v>
      </c>
      <c r="R346">
        <f t="shared" ca="1" si="120"/>
        <v>29739.509402925483</v>
      </c>
      <c r="S346">
        <f t="shared" ca="1" si="134"/>
        <v>26331</v>
      </c>
      <c r="T346">
        <f t="shared" ca="1" si="116"/>
        <v>131234.13795554414</v>
      </c>
      <c r="U346">
        <f t="shared" ca="1" si="117"/>
        <v>30383.705264869968</v>
      </c>
      <c r="V346">
        <f t="shared" ca="1" si="118"/>
        <v>395913.21466779546</v>
      </c>
      <c r="W346">
        <f t="shared" ca="1" si="119"/>
        <v>391142.39120591269</v>
      </c>
      <c r="Z346" s="4">
        <f t="shared" ca="1" si="135"/>
        <v>1</v>
      </c>
      <c r="AA346">
        <f t="shared" ca="1" si="136"/>
        <v>0</v>
      </c>
      <c r="AC346" s="5"/>
      <c r="AX346" s="10">
        <f ca="1">Table1[[#This Row],[Car Value]]/Table1[[#This Row],[No. of Vehicles]]</f>
        <v>29739.509402925483</v>
      </c>
      <c r="AZ346">
        <f ca="1">IF(Table1[[#This Row],[Debts]]&gt;$BA$3,1,0)</f>
        <v>1</v>
      </c>
      <c r="BC346" s="12">
        <f ca="1">Table1[[#This Row],[Mortage left]]/Table1[[#This Row],[Value of The House]]</f>
        <v>0.69560514979710109</v>
      </c>
      <c r="BD346" s="4">
        <f t="shared" ca="1" si="137"/>
        <v>0</v>
      </c>
      <c r="BE346" s="5"/>
    </row>
    <row r="347" spans="4:57" x14ac:dyDescent="0.3">
      <c r="D347">
        <f t="shared" ca="1" si="121"/>
        <v>2</v>
      </c>
      <c r="E347" t="str">
        <f t="shared" ca="1" si="122"/>
        <v>Female</v>
      </c>
      <c r="F347">
        <f t="shared" ca="1" si="123"/>
        <v>31</v>
      </c>
      <c r="G347">
        <f t="shared" ca="1" si="124"/>
        <v>6</v>
      </c>
      <c r="H347" t="str">
        <f t="shared" ca="1" si="125"/>
        <v>General Work</v>
      </c>
      <c r="I347">
        <f t="shared" ca="1" si="126"/>
        <v>1</v>
      </c>
      <c r="J347" t="str">
        <f t="shared" ca="1" si="127"/>
        <v>High School</v>
      </c>
      <c r="K347">
        <f t="shared" ca="1" si="128"/>
        <v>1</v>
      </c>
      <c r="L347">
        <f t="shared" ca="1" si="129"/>
        <v>1</v>
      </c>
      <c r="M347">
        <f t="shared" ca="1" si="130"/>
        <v>47130</v>
      </c>
      <c r="N347">
        <f t="shared" ca="1" si="131"/>
        <v>2</v>
      </c>
      <c r="O347" t="str">
        <f t="shared" ca="1" si="132"/>
        <v>BC</v>
      </c>
      <c r="P347">
        <f t="shared" ca="1" si="115"/>
        <v>235650</v>
      </c>
      <c r="Q347">
        <f t="shared" ca="1" si="133"/>
        <v>33274.065906188021</v>
      </c>
      <c r="R347">
        <f t="shared" ca="1" si="120"/>
        <v>1400.622843004111</v>
      </c>
      <c r="S347">
        <f t="shared" ca="1" si="134"/>
        <v>122</v>
      </c>
      <c r="T347">
        <f t="shared" ca="1" si="116"/>
        <v>45062.893302789635</v>
      </c>
      <c r="U347">
        <f t="shared" ca="1" si="117"/>
        <v>62989.475978852432</v>
      </c>
      <c r="V347">
        <f t="shared" ca="1" si="118"/>
        <v>300040.09882185655</v>
      </c>
      <c r="W347">
        <f t="shared" ca="1" si="119"/>
        <v>78458.959208977656</v>
      </c>
      <c r="Z347" s="4">
        <f t="shared" ca="1" si="135"/>
        <v>0</v>
      </c>
      <c r="AA347">
        <f t="shared" ca="1" si="136"/>
        <v>1</v>
      </c>
      <c r="AC347" s="5"/>
      <c r="AX347" s="10">
        <f ca="1">Table1[[#This Row],[Car Value]]/Table1[[#This Row],[No. of Vehicles]]</f>
        <v>1400.622843004111</v>
      </c>
      <c r="AZ347">
        <f ca="1">IF(Table1[[#This Row],[Debts]]&gt;$BA$3,1,0)</f>
        <v>1</v>
      </c>
      <c r="BC347" s="12">
        <f ca="1">Table1[[#This Row],[Mortage left]]/Table1[[#This Row],[Value of The House]]</f>
        <v>0.14120121326623392</v>
      </c>
      <c r="BD347" s="4">
        <f t="shared" ca="1" si="137"/>
        <v>1</v>
      </c>
      <c r="BE347" s="5"/>
    </row>
    <row r="348" spans="4:57" x14ac:dyDescent="0.3">
      <c r="D348">
        <f t="shared" ca="1" si="121"/>
        <v>2</v>
      </c>
      <c r="E348" t="str">
        <f t="shared" ca="1" si="122"/>
        <v>Female</v>
      </c>
      <c r="F348">
        <f t="shared" ca="1" si="123"/>
        <v>30</v>
      </c>
      <c r="G348">
        <f t="shared" ca="1" si="124"/>
        <v>5</v>
      </c>
      <c r="H348" t="str">
        <f t="shared" ca="1" si="125"/>
        <v>Agriculture</v>
      </c>
      <c r="I348">
        <f t="shared" ca="1" si="126"/>
        <v>3</v>
      </c>
      <c r="J348" t="str">
        <f t="shared" ca="1" si="127"/>
        <v>University</v>
      </c>
      <c r="K348">
        <f t="shared" ca="1" si="128"/>
        <v>3</v>
      </c>
      <c r="L348">
        <f t="shared" ca="1" si="129"/>
        <v>1</v>
      </c>
      <c r="M348">
        <f t="shared" ca="1" si="130"/>
        <v>62866</v>
      </c>
      <c r="N348">
        <f t="shared" ca="1" si="131"/>
        <v>6</v>
      </c>
      <c r="O348" t="str">
        <f t="shared" ca="1" si="132"/>
        <v>Saskatchewan</v>
      </c>
      <c r="P348">
        <f t="shared" ca="1" si="115"/>
        <v>314330</v>
      </c>
      <c r="Q348">
        <f t="shared" ca="1" si="133"/>
        <v>210089.47055669918</v>
      </c>
      <c r="R348">
        <f t="shared" ca="1" si="120"/>
        <v>42948.329808603521</v>
      </c>
      <c r="S348">
        <f t="shared" ca="1" si="134"/>
        <v>10644</v>
      </c>
      <c r="T348">
        <f t="shared" ca="1" si="116"/>
        <v>17939.05116754632</v>
      </c>
      <c r="U348">
        <f t="shared" ca="1" si="117"/>
        <v>14432.865183106693</v>
      </c>
      <c r="V348">
        <f t="shared" ca="1" si="118"/>
        <v>371711.19499171019</v>
      </c>
      <c r="W348">
        <f t="shared" ca="1" si="119"/>
        <v>238672.52172424551</v>
      </c>
      <c r="Z348" s="4">
        <f t="shared" ca="1" si="135"/>
        <v>0</v>
      </c>
      <c r="AA348">
        <f t="shared" ca="1" si="136"/>
        <v>1</v>
      </c>
      <c r="AC348" s="5"/>
      <c r="AX348" s="10">
        <f ca="1">Table1[[#This Row],[Car Value]]/Table1[[#This Row],[No. of Vehicles]]</f>
        <v>42948.329808603521</v>
      </c>
      <c r="AZ348">
        <f ca="1">IF(Table1[[#This Row],[Debts]]&gt;$BA$3,1,0)</f>
        <v>0</v>
      </c>
      <c r="BC348" s="12">
        <f ca="1">Table1[[#This Row],[Mortage left]]/Table1[[#This Row],[Value of The House]]</f>
        <v>0.66837231749021464</v>
      </c>
      <c r="BD348" s="4">
        <f t="shared" ca="1" si="137"/>
        <v>0</v>
      </c>
      <c r="BE348" s="5"/>
    </row>
    <row r="349" spans="4:57" x14ac:dyDescent="0.3">
      <c r="D349">
        <f t="shared" ca="1" si="121"/>
        <v>2</v>
      </c>
      <c r="E349" t="str">
        <f t="shared" ca="1" si="122"/>
        <v>Female</v>
      </c>
      <c r="F349">
        <f t="shared" ca="1" si="123"/>
        <v>32</v>
      </c>
      <c r="G349">
        <f t="shared" ca="1" si="124"/>
        <v>5</v>
      </c>
      <c r="H349" t="str">
        <f t="shared" ca="1" si="125"/>
        <v>Agriculture</v>
      </c>
      <c r="I349">
        <f t="shared" ca="1" si="126"/>
        <v>5</v>
      </c>
      <c r="J349" t="str">
        <f t="shared" ca="1" si="127"/>
        <v>Other</v>
      </c>
      <c r="K349">
        <f t="shared" ca="1" si="128"/>
        <v>2</v>
      </c>
      <c r="L349">
        <f t="shared" ca="1" si="129"/>
        <v>1</v>
      </c>
      <c r="M349">
        <f t="shared" ca="1" si="130"/>
        <v>36285</v>
      </c>
      <c r="N349">
        <f t="shared" ca="1" si="131"/>
        <v>11</v>
      </c>
      <c r="O349" t="str">
        <f t="shared" ca="1" si="132"/>
        <v>New bruncwick</v>
      </c>
      <c r="P349">
        <f t="shared" ca="1" si="115"/>
        <v>145140</v>
      </c>
      <c r="Q349">
        <f t="shared" ca="1" si="133"/>
        <v>49940.353092378988</v>
      </c>
      <c r="R349">
        <f t="shared" ca="1" si="120"/>
        <v>29216.687150026632</v>
      </c>
      <c r="S349">
        <f t="shared" ca="1" si="134"/>
        <v>27423</v>
      </c>
      <c r="T349">
        <f t="shared" ca="1" si="116"/>
        <v>18881.415983445011</v>
      </c>
      <c r="U349">
        <f t="shared" ca="1" si="117"/>
        <v>54084.319847805833</v>
      </c>
      <c r="V349">
        <f t="shared" ca="1" si="118"/>
        <v>228441.00699783248</v>
      </c>
      <c r="W349">
        <f t="shared" ca="1" si="119"/>
        <v>96244.769075824006</v>
      </c>
      <c r="Z349" s="4">
        <f t="shared" ca="1" si="135"/>
        <v>0</v>
      </c>
      <c r="AA349">
        <f t="shared" ca="1" si="136"/>
        <v>1</v>
      </c>
      <c r="AC349" s="5"/>
      <c r="AX349" s="10">
        <f ca="1">Table1[[#This Row],[Car Value]]/Table1[[#This Row],[No. of Vehicles]]</f>
        <v>29216.687150026632</v>
      </c>
      <c r="AZ349">
        <f ca="1">IF(Table1[[#This Row],[Debts]]&gt;$BA$3,1,0)</f>
        <v>0</v>
      </c>
      <c r="BC349" s="12">
        <f ca="1">Table1[[#This Row],[Mortage left]]/Table1[[#This Row],[Value of The House]]</f>
        <v>0.34408400917995718</v>
      </c>
      <c r="BD349" s="4">
        <f t="shared" ca="1" si="137"/>
        <v>0</v>
      </c>
      <c r="BE349" s="5"/>
    </row>
    <row r="350" spans="4:57" x14ac:dyDescent="0.3">
      <c r="D350">
        <f t="shared" ca="1" si="121"/>
        <v>2</v>
      </c>
      <c r="E350" t="str">
        <f t="shared" ca="1" si="122"/>
        <v>Female</v>
      </c>
      <c r="F350">
        <f t="shared" ca="1" si="123"/>
        <v>25</v>
      </c>
      <c r="G350">
        <f t="shared" ca="1" si="124"/>
        <v>3</v>
      </c>
      <c r="H350" t="str">
        <f t="shared" ca="1" si="125"/>
        <v>Teaching</v>
      </c>
      <c r="I350">
        <f t="shared" ca="1" si="126"/>
        <v>5</v>
      </c>
      <c r="J350" t="str">
        <f t="shared" ca="1" si="127"/>
        <v>Other</v>
      </c>
      <c r="K350">
        <f t="shared" ca="1" si="128"/>
        <v>1</v>
      </c>
      <c r="L350">
        <f t="shared" ca="1" si="129"/>
        <v>1</v>
      </c>
      <c r="M350">
        <f t="shared" ca="1" si="130"/>
        <v>88286</v>
      </c>
      <c r="N350">
        <f t="shared" ca="1" si="131"/>
        <v>11</v>
      </c>
      <c r="O350" t="str">
        <f t="shared" ca="1" si="132"/>
        <v>New bruncwick</v>
      </c>
      <c r="P350">
        <f t="shared" ca="1" si="115"/>
        <v>529716</v>
      </c>
      <c r="Q350">
        <f t="shared" ca="1" si="133"/>
        <v>387978.61715277884</v>
      </c>
      <c r="R350">
        <f t="shared" ca="1" si="120"/>
        <v>28106.23130649071</v>
      </c>
      <c r="S350">
        <f t="shared" ca="1" si="134"/>
        <v>27376</v>
      </c>
      <c r="T350">
        <f t="shared" ca="1" si="116"/>
        <v>56052.570175855653</v>
      </c>
      <c r="U350">
        <f t="shared" ca="1" si="117"/>
        <v>28476.90113183119</v>
      </c>
      <c r="V350">
        <f t="shared" ca="1" si="118"/>
        <v>586299.13243832195</v>
      </c>
      <c r="W350">
        <f t="shared" ca="1" si="119"/>
        <v>471407.18732863449</v>
      </c>
      <c r="Z350" s="4">
        <f t="shared" ca="1" si="135"/>
        <v>0</v>
      </c>
      <c r="AA350">
        <f t="shared" ca="1" si="136"/>
        <v>1</v>
      </c>
      <c r="AC350" s="5"/>
      <c r="AX350" s="10">
        <f ca="1">Table1[[#This Row],[Car Value]]/Table1[[#This Row],[No. of Vehicles]]</f>
        <v>28106.23130649071</v>
      </c>
      <c r="AZ350">
        <f ca="1">IF(Table1[[#This Row],[Debts]]&gt;$BA$3,1,0)</f>
        <v>1</v>
      </c>
      <c r="BC350" s="12">
        <f ca="1">Table1[[#This Row],[Mortage left]]/Table1[[#This Row],[Value of The House]]</f>
        <v>0.73242759734042173</v>
      </c>
      <c r="BD350" s="4">
        <f t="shared" ca="1" si="137"/>
        <v>0</v>
      </c>
      <c r="BE350" s="5"/>
    </row>
    <row r="351" spans="4:57" x14ac:dyDescent="0.3">
      <c r="D351">
        <f t="shared" ca="1" si="121"/>
        <v>1</v>
      </c>
      <c r="E351" t="str">
        <f t="shared" ca="1" si="122"/>
        <v>Male</v>
      </c>
      <c r="F351">
        <f t="shared" ca="1" si="123"/>
        <v>29</v>
      </c>
      <c r="G351">
        <f t="shared" ca="1" si="124"/>
        <v>3</v>
      </c>
      <c r="H351" t="str">
        <f t="shared" ca="1" si="125"/>
        <v>Teaching</v>
      </c>
      <c r="I351">
        <f t="shared" ca="1" si="126"/>
        <v>1</v>
      </c>
      <c r="J351" t="str">
        <f t="shared" ca="1" si="127"/>
        <v>High School</v>
      </c>
      <c r="K351">
        <f t="shared" ca="1" si="128"/>
        <v>2</v>
      </c>
      <c r="L351">
        <f t="shared" ca="1" si="129"/>
        <v>1</v>
      </c>
      <c r="M351">
        <f t="shared" ca="1" si="130"/>
        <v>75048</v>
      </c>
      <c r="N351">
        <f t="shared" ca="1" si="131"/>
        <v>4</v>
      </c>
      <c r="O351" t="str">
        <f t="shared" ca="1" si="132"/>
        <v>Alberta</v>
      </c>
      <c r="P351">
        <f t="shared" ca="1" si="115"/>
        <v>450288</v>
      </c>
      <c r="Q351">
        <f t="shared" ca="1" si="133"/>
        <v>223264.38583710091</v>
      </c>
      <c r="R351">
        <f t="shared" ca="1" si="120"/>
        <v>37981.111013796173</v>
      </c>
      <c r="S351">
        <f t="shared" ca="1" si="134"/>
        <v>874</v>
      </c>
      <c r="T351">
        <f t="shared" ca="1" si="116"/>
        <v>76602.462220858884</v>
      </c>
      <c r="U351">
        <f t="shared" ca="1" si="117"/>
        <v>61840.849728099885</v>
      </c>
      <c r="V351">
        <f t="shared" ca="1" si="118"/>
        <v>550109.96074189607</v>
      </c>
      <c r="W351">
        <f t="shared" ca="1" si="119"/>
        <v>300740.84805795981</v>
      </c>
      <c r="Z351" s="4">
        <f t="shared" ca="1" si="135"/>
        <v>1</v>
      </c>
      <c r="AA351">
        <f t="shared" ca="1" si="136"/>
        <v>0</v>
      </c>
      <c r="AC351" s="5"/>
      <c r="AX351" s="10">
        <f ca="1">Table1[[#This Row],[Car Value]]/Table1[[#This Row],[No. of Vehicles]]</f>
        <v>37981.111013796173</v>
      </c>
      <c r="AZ351">
        <f ca="1">IF(Table1[[#This Row],[Debts]]&gt;$BA$3,1,0)</f>
        <v>1</v>
      </c>
      <c r="BC351" s="12">
        <f ca="1">Table1[[#This Row],[Mortage left]]/Table1[[#This Row],[Value of The House]]</f>
        <v>0.49582575115726135</v>
      </c>
      <c r="BD351" s="4">
        <f t="shared" ca="1" si="137"/>
        <v>0</v>
      </c>
      <c r="BE351" s="5"/>
    </row>
    <row r="352" spans="4:57" x14ac:dyDescent="0.3">
      <c r="D352">
        <f t="shared" ca="1" si="121"/>
        <v>2</v>
      </c>
      <c r="E352" t="str">
        <f t="shared" ca="1" si="122"/>
        <v>Female</v>
      </c>
      <c r="F352">
        <f t="shared" ca="1" si="123"/>
        <v>34</v>
      </c>
      <c r="G352">
        <f t="shared" ca="1" si="124"/>
        <v>5</v>
      </c>
      <c r="H352" t="str">
        <f t="shared" ca="1" si="125"/>
        <v>Agriculture</v>
      </c>
      <c r="I352">
        <f t="shared" ca="1" si="126"/>
        <v>4</v>
      </c>
      <c r="J352" t="str">
        <f t="shared" ca="1" si="127"/>
        <v>Technical</v>
      </c>
      <c r="K352">
        <f t="shared" ca="1" si="128"/>
        <v>1</v>
      </c>
      <c r="L352">
        <f t="shared" ca="1" si="129"/>
        <v>1</v>
      </c>
      <c r="M352">
        <f t="shared" ca="1" si="130"/>
        <v>88006</v>
      </c>
      <c r="N352">
        <f t="shared" ca="1" si="131"/>
        <v>1</v>
      </c>
      <c r="O352" t="str">
        <f t="shared" ca="1" si="132"/>
        <v>Yukon</v>
      </c>
      <c r="P352">
        <f t="shared" ca="1" si="115"/>
        <v>352024</v>
      </c>
      <c r="Q352">
        <f t="shared" ca="1" si="133"/>
        <v>266457.89125302673</v>
      </c>
      <c r="R352">
        <f t="shared" ca="1" si="120"/>
        <v>68916.983631642259</v>
      </c>
      <c r="S352">
        <f t="shared" ca="1" si="134"/>
        <v>52123</v>
      </c>
      <c r="T352">
        <f t="shared" ca="1" si="116"/>
        <v>149139.83472572424</v>
      </c>
      <c r="U352">
        <f t="shared" ca="1" si="117"/>
        <v>27838.372767475754</v>
      </c>
      <c r="V352">
        <f t="shared" ca="1" si="118"/>
        <v>448779.35639911797</v>
      </c>
      <c r="W352">
        <f t="shared" ca="1" si="119"/>
        <v>467720.72597875097</v>
      </c>
      <c r="Z352" s="4">
        <f t="shared" ca="1" si="135"/>
        <v>0</v>
      </c>
      <c r="AA352">
        <f t="shared" ca="1" si="136"/>
        <v>1</v>
      </c>
      <c r="AC352" s="5"/>
      <c r="AX352" s="10">
        <f ca="1">Table1[[#This Row],[Car Value]]/Table1[[#This Row],[No. of Vehicles]]</f>
        <v>68916.983631642259</v>
      </c>
      <c r="AZ352">
        <f ca="1">IF(Table1[[#This Row],[Debts]]&gt;$BA$3,1,0)</f>
        <v>1</v>
      </c>
      <c r="BC352" s="12">
        <f ca="1">Table1[[#This Row],[Mortage left]]/Table1[[#This Row],[Value of The House]]</f>
        <v>0.75693103667087114</v>
      </c>
      <c r="BD352" s="4">
        <f t="shared" ca="1" si="137"/>
        <v>0</v>
      </c>
      <c r="BE352" s="5"/>
    </row>
    <row r="353" spans="4:57" x14ac:dyDescent="0.3">
      <c r="D353">
        <f t="shared" ca="1" si="121"/>
        <v>1</v>
      </c>
      <c r="E353" t="str">
        <f t="shared" ca="1" si="122"/>
        <v>Male</v>
      </c>
      <c r="F353">
        <f t="shared" ca="1" si="123"/>
        <v>31</v>
      </c>
      <c r="G353">
        <f t="shared" ca="1" si="124"/>
        <v>4</v>
      </c>
      <c r="H353" t="str">
        <f t="shared" ca="1" si="125"/>
        <v>IT</v>
      </c>
      <c r="I353">
        <f t="shared" ca="1" si="126"/>
        <v>3</v>
      </c>
      <c r="J353" t="str">
        <f t="shared" ca="1" si="127"/>
        <v>University</v>
      </c>
      <c r="K353">
        <f t="shared" ca="1" si="128"/>
        <v>2</v>
      </c>
      <c r="L353">
        <f t="shared" ca="1" si="129"/>
        <v>2</v>
      </c>
      <c r="M353">
        <f t="shared" ca="1" si="130"/>
        <v>35283</v>
      </c>
      <c r="N353">
        <f t="shared" ca="1" si="131"/>
        <v>6</v>
      </c>
      <c r="O353" t="str">
        <f t="shared" ca="1" si="132"/>
        <v>Saskatchewan</v>
      </c>
      <c r="P353">
        <f t="shared" ca="1" si="115"/>
        <v>176415</v>
      </c>
      <c r="Q353">
        <f t="shared" ca="1" si="133"/>
        <v>145485.36139318955</v>
      </c>
      <c r="R353">
        <f t="shared" ca="1" si="120"/>
        <v>9623.9004886572056</v>
      </c>
      <c r="S353">
        <f t="shared" ca="1" si="134"/>
        <v>8325</v>
      </c>
      <c r="T353">
        <f t="shared" ca="1" si="116"/>
        <v>20097.615587492055</v>
      </c>
      <c r="U353">
        <f t="shared" ca="1" si="117"/>
        <v>7273.5994799503023</v>
      </c>
      <c r="V353">
        <f t="shared" ca="1" si="118"/>
        <v>193312.4999686075</v>
      </c>
      <c r="W353">
        <f t="shared" ca="1" si="119"/>
        <v>173907.97698068162</v>
      </c>
      <c r="Z353" s="4">
        <f t="shared" ca="1" si="135"/>
        <v>1</v>
      </c>
      <c r="AA353">
        <f t="shared" ca="1" si="136"/>
        <v>0</v>
      </c>
      <c r="AC353" s="5"/>
      <c r="AX353" s="10">
        <f ca="1">Table1[[#This Row],[Car Value]]/Table1[[#This Row],[No. of Vehicles]]</f>
        <v>4811.9502443286028</v>
      </c>
      <c r="AZ353">
        <f ca="1">IF(Table1[[#This Row],[Debts]]&gt;$BA$3,1,0)</f>
        <v>1</v>
      </c>
      <c r="BC353" s="12">
        <f ca="1">Table1[[#This Row],[Mortage left]]/Table1[[#This Row],[Value of The House]]</f>
        <v>0.82467682109338525</v>
      </c>
      <c r="BD353" s="4">
        <f t="shared" ca="1" si="137"/>
        <v>0</v>
      </c>
      <c r="BE353" s="5"/>
    </row>
    <row r="354" spans="4:57" x14ac:dyDescent="0.3">
      <c r="D354">
        <f t="shared" ca="1" si="121"/>
        <v>1</v>
      </c>
      <c r="E354" t="str">
        <f t="shared" ca="1" si="122"/>
        <v>Male</v>
      </c>
      <c r="F354">
        <f t="shared" ca="1" si="123"/>
        <v>27</v>
      </c>
      <c r="G354">
        <f t="shared" ca="1" si="124"/>
        <v>5</v>
      </c>
      <c r="H354" t="str">
        <f t="shared" ca="1" si="125"/>
        <v>Agriculture</v>
      </c>
      <c r="I354">
        <f t="shared" ca="1" si="126"/>
        <v>3</v>
      </c>
      <c r="J354" t="str">
        <f t="shared" ca="1" si="127"/>
        <v>University</v>
      </c>
      <c r="K354">
        <f t="shared" ca="1" si="128"/>
        <v>1</v>
      </c>
      <c r="L354">
        <f t="shared" ca="1" si="129"/>
        <v>1</v>
      </c>
      <c r="M354">
        <f t="shared" ca="1" si="130"/>
        <v>25227</v>
      </c>
      <c r="N354">
        <f t="shared" ca="1" si="131"/>
        <v>5</v>
      </c>
      <c r="O354" t="str">
        <f t="shared" ca="1" si="132"/>
        <v>Nunavut</v>
      </c>
      <c r="P354">
        <f t="shared" ca="1" si="115"/>
        <v>126135</v>
      </c>
      <c r="Q354">
        <f t="shared" ca="1" si="133"/>
        <v>110114.31506401421</v>
      </c>
      <c r="R354">
        <f t="shared" ca="1" si="120"/>
        <v>4731.7507494889087</v>
      </c>
      <c r="S354">
        <f t="shared" ca="1" si="134"/>
        <v>679</v>
      </c>
      <c r="T354">
        <f t="shared" ca="1" si="116"/>
        <v>46437.127426241394</v>
      </c>
      <c r="U354">
        <f t="shared" ca="1" si="117"/>
        <v>9414.1790809978193</v>
      </c>
      <c r="V354">
        <f t="shared" ca="1" si="118"/>
        <v>140280.92983048674</v>
      </c>
      <c r="W354">
        <f t="shared" ca="1" si="119"/>
        <v>157230.44249025561</v>
      </c>
      <c r="Z354" s="4">
        <f t="shared" ca="1" si="135"/>
        <v>1</v>
      </c>
      <c r="AA354">
        <f t="shared" ca="1" si="136"/>
        <v>0</v>
      </c>
      <c r="AC354" s="5"/>
      <c r="AX354" s="10">
        <f ca="1">Table1[[#This Row],[Car Value]]/Table1[[#This Row],[No. of Vehicles]]</f>
        <v>4731.7507494889087</v>
      </c>
      <c r="AZ354">
        <f ca="1">IF(Table1[[#This Row],[Debts]]&gt;$BA$3,1,0)</f>
        <v>1</v>
      </c>
      <c r="BC354" s="12">
        <f ca="1">Table1[[#This Row],[Mortage left]]/Table1[[#This Row],[Value of The House]]</f>
        <v>0.87298779136650584</v>
      </c>
      <c r="BD354" s="4">
        <f t="shared" ca="1" si="137"/>
        <v>0</v>
      </c>
      <c r="BE354" s="5"/>
    </row>
    <row r="355" spans="4:57" x14ac:dyDescent="0.3">
      <c r="D355">
        <f t="shared" ca="1" si="121"/>
        <v>1</v>
      </c>
      <c r="E355" t="str">
        <f t="shared" ca="1" si="122"/>
        <v>Male</v>
      </c>
      <c r="F355">
        <f t="shared" ca="1" si="123"/>
        <v>41</v>
      </c>
      <c r="G355">
        <f t="shared" ca="1" si="124"/>
        <v>3</v>
      </c>
      <c r="H355" t="str">
        <f t="shared" ca="1" si="125"/>
        <v>Teaching</v>
      </c>
      <c r="I355">
        <f t="shared" ca="1" si="126"/>
        <v>4</v>
      </c>
      <c r="J355" t="str">
        <f t="shared" ca="1" si="127"/>
        <v>Technical</v>
      </c>
      <c r="K355">
        <f t="shared" ca="1" si="128"/>
        <v>3</v>
      </c>
      <c r="L355">
        <f t="shared" ca="1" si="129"/>
        <v>2</v>
      </c>
      <c r="M355">
        <f t="shared" ca="1" si="130"/>
        <v>83904</v>
      </c>
      <c r="N355">
        <f t="shared" ca="1" si="131"/>
        <v>13</v>
      </c>
      <c r="O355" t="str">
        <f t="shared" ca="1" si="132"/>
        <v>Prince Edward Islnd</v>
      </c>
      <c r="P355">
        <f t="shared" ca="1" si="115"/>
        <v>419520</v>
      </c>
      <c r="Q355">
        <f t="shared" ca="1" si="133"/>
        <v>380438.71666714607</v>
      </c>
      <c r="R355">
        <f t="shared" ca="1" si="120"/>
        <v>167255.6515503171</v>
      </c>
      <c r="S355">
        <f t="shared" ca="1" si="134"/>
        <v>111539</v>
      </c>
      <c r="T355">
        <f t="shared" ca="1" si="116"/>
        <v>61565.851173060473</v>
      </c>
      <c r="U355">
        <f t="shared" ca="1" si="117"/>
        <v>574.35561828255618</v>
      </c>
      <c r="V355">
        <f t="shared" ca="1" si="118"/>
        <v>587350.00716859964</v>
      </c>
      <c r="W355">
        <f t="shared" ca="1" si="119"/>
        <v>553543.56784020655</v>
      </c>
      <c r="Z355" s="4">
        <f t="shared" ca="1" si="135"/>
        <v>1</v>
      </c>
      <c r="AA355">
        <f t="shared" ca="1" si="136"/>
        <v>0</v>
      </c>
      <c r="AC355" s="5"/>
      <c r="AX355" s="10">
        <f ca="1">Table1[[#This Row],[Car Value]]/Table1[[#This Row],[No. of Vehicles]]</f>
        <v>83627.825775158548</v>
      </c>
      <c r="AZ355">
        <f ca="1">IF(Table1[[#This Row],[Debts]]&gt;$BA$3,1,0)</f>
        <v>1</v>
      </c>
      <c r="BC355" s="12">
        <f ca="1">Table1[[#This Row],[Mortage left]]/Table1[[#This Row],[Value of The House]]</f>
        <v>0.90684286009521853</v>
      </c>
      <c r="BD355" s="4">
        <f t="shared" ca="1" si="137"/>
        <v>0</v>
      </c>
      <c r="BE355" s="5"/>
    </row>
    <row r="356" spans="4:57" x14ac:dyDescent="0.3">
      <c r="D356">
        <f t="shared" ca="1" si="121"/>
        <v>1</v>
      </c>
      <c r="E356" t="str">
        <f t="shared" ca="1" si="122"/>
        <v>Male</v>
      </c>
      <c r="F356">
        <f t="shared" ca="1" si="123"/>
        <v>33</v>
      </c>
      <c r="G356">
        <f t="shared" ca="1" si="124"/>
        <v>6</v>
      </c>
      <c r="H356" t="str">
        <f t="shared" ca="1" si="125"/>
        <v>General Work</v>
      </c>
      <c r="I356">
        <f t="shared" ca="1" si="126"/>
        <v>3</v>
      </c>
      <c r="J356" t="str">
        <f t="shared" ca="1" si="127"/>
        <v>University</v>
      </c>
      <c r="K356">
        <f t="shared" ca="1" si="128"/>
        <v>4</v>
      </c>
      <c r="L356">
        <f t="shared" ca="1" si="129"/>
        <v>2</v>
      </c>
      <c r="M356">
        <f t="shared" ca="1" si="130"/>
        <v>78785</v>
      </c>
      <c r="N356">
        <f t="shared" ca="1" si="131"/>
        <v>8</v>
      </c>
      <c r="O356" t="str">
        <f t="shared" ca="1" si="132"/>
        <v>Ontario</v>
      </c>
      <c r="P356">
        <f t="shared" ca="1" si="115"/>
        <v>315140</v>
      </c>
      <c r="Q356">
        <f t="shared" ca="1" si="133"/>
        <v>197736.87991165591</v>
      </c>
      <c r="R356">
        <f t="shared" ca="1" si="120"/>
        <v>116177.62708822785</v>
      </c>
      <c r="S356">
        <f t="shared" ca="1" si="134"/>
        <v>61155</v>
      </c>
      <c r="T356">
        <f t="shared" ca="1" si="116"/>
        <v>17062.46310431763</v>
      </c>
      <c r="U356">
        <f t="shared" ca="1" si="117"/>
        <v>55710.650755334813</v>
      </c>
      <c r="V356">
        <f t="shared" ca="1" si="118"/>
        <v>487028.27784356265</v>
      </c>
      <c r="W356">
        <f t="shared" ca="1" si="119"/>
        <v>275954.34301597351</v>
      </c>
      <c r="Z356" s="4">
        <f t="shared" ca="1" si="135"/>
        <v>1</v>
      </c>
      <c r="AA356">
        <f t="shared" ca="1" si="136"/>
        <v>0</v>
      </c>
      <c r="AC356" s="5"/>
      <c r="AX356" s="10">
        <f ca="1">Table1[[#This Row],[Car Value]]/Table1[[#This Row],[No. of Vehicles]]</f>
        <v>58088.813544113924</v>
      </c>
      <c r="AZ356">
        <f ca="1">IF(Table1[[#This Row],[Debts]]&gt;$BA$3,1,0)</f>
        <v>0</v>
      </c>
      <c r="BC356" s="12">
        <f ca="1">Table1[[#This Row],[Mortage left]]/Table1[[#This Row],[Value of The House]]</f>
        <v>0.62745725681175324</v>
      </c>
      <c r="BD356" s="4">
        <f t="shared" ca="1" si="137"/>
        <v>0</v>
      </c>
      <c r="BE356" s="5"/>
    </row>
    <row r="357" spans="4:57" x14ac:dyDescent="0.3">
      <c r="D357">
        <f t="shared" ca="1" si="121"/>
        <v>1</v>
      </c>
      <c r="E357" t="str">
        <f t="shared" ca="1" si="122"/>
        <v>Male</v>
      </c>
      <c r="F357">
        <f t="shared" ca="1" si="123"/>
        <v>28</v>
      </c>
      <c r="G357">
        <f t="shared" ca="1" si="124"/>
        <v>6</v>
      </c>
      <c r="H357" t="str">
        <f t="shared" ca="1" si="125"/>
        <v>General Work</v>
      </c>
      <c r="I357">
        <f t="shared" ca="1" si="126"/>
        <v>3</v>
      </c>
      <c r="J357" t="str">
        <f t="shared" ca="1" si="127"/>
        <v>University</v>
      </c>
      <c r="K357">
        <f t="shared" ca="1" si="128"/>
        <v>3</v>
      </c>
      <c r="L357">
        <f t="shared" ca="1" si="129"/>
        <v>1</v>
      </c>
      <c r="M357">
        <f t="shared" ca="1" si="130"/>
        <v>55414</v>
      </c>
      <c r="N357">
        <f t="shared" ca="1" si="131"/>
        <v>8</v>
      </c>
      <c r="O357" t="str">
        <f t="shared" ca="1" si="132"/>
        <v>Ontario</v>
      </c>
      <c r="P357">
        <f t="shared" ref="P357:P420" ca="1" si="138">M357*RANDBETWEEN(4,6)</f>
        <v>277070</v>
      </c>
      <c r="Q357">
        <f t="shared" ca="1" si="133"/>
        <v>104071.17213076491</v>
      </c>
      <c r="R357">
        <f t="shared" ca="1" si="120"/>
        <v>15342.110435248573</v>
      </c>
      <c r="S357">
        <f t="shared" ca="1" si="134"/>
        <v>9427</v>
      </c>
      <c r="T357">
        <f t="shared" ref="T357:T420" ca="1" si="139">M357*RAND()*2</f>
        <v>56760.894058959027</v>
      </c>
      <c r="U357">
        <f t="shared" ref="U357:U420" ca="1" si="140">RAND()*M357*1.5</f>
        <v>78931.638604209409</v>
      </c>
      <c r="V357">
        <f t="shared" ref="V357:V420" ca="1" si="141">P357+R357+U357</f>
        <v>371343.74903945799</v>
      </c>
      <c r="W357">
        <f t="shared" ref="W357:W420" ca="1" si="142">Q357+S357+T357</f>
        <v>170259.06618972393</v>
      </c>
      <c r="Z357" s="4">
        <f t="shared" ca="1" si="135"/>
        <v>1</v>
      </c>
      <c r="AA357">
        <f t="shared" ca="1" si="136"/>
        <v>0</v>
      </c>
      <c r="AC357" s="5"/>
      <c r="AX357" s="10">
        <f ca="1">Table1[[#This Row],[Car Value]]/Table1[[#This Row],[No. of Vehicles]]</f>
        <v>15342.110435248573</v>
      </c>
      <c r="AZ357">
        <f ca="1">IF(Table1[[#This Row],[Debts]]&gt;$BA$3,1,0)</f>
        <v>1</v>
      </c>
      <c r="BC357" s="12">
        <f ca="1">Table1[[#This Row],[Mortage left]]/Table1[[#This Row],[Value of The House]]</f>
        <v>0.37561328231408997</v>
      </c>
      <c r="BD357" s="4">
        <f t="shared" ca="1" si="137"/>
        <v>0</v>
      </c>
      <c r="BE357" s="5"/>
    </row>
    <row r="358" spans="4:57" x14ac:dyDescent="0.3">
      <c r="D358">
        <f t="shared" ca="1" si="121"/>
        <v>2</v>
      </c>
      <c r="E358" t="str">
        <f t="shared" ca="1" si="122"/>
        <v>Female</v>
      </c>
      <c r="F358">
        <f t="shared" ca="1" si="123"/>
        <v>34</v>
      </c>
      <c r="G358">
        <f t="shared" ca="1" si="124"/>
        <v>5</v>
      </c>
      <c r="H358" t="str">
        <f t="shared" ca="1" si="125"/>
        <v>Agriculture</v>
      </c>
      <c r="I358">
        <f t="shared" ca="1" si="126"/>
        <v>1</v>
      </c>
      <c r="J358" t="str">
        <f t="shared" ca="1" si="127"/>
        <v>High School</v>
      </c>
      <c r="K358">
        <f t="shared" ca="1" si="128"/>
        <v>1</v>
      </c>
      <c r="L358">
        <f t="shared" ca="1" si="129"/>
        <v>2</v>
      </c>
      <c r="M358">
        <f t="shared" ca="1" si="130"/>
        <v>52101</v>
      </c>
      <c r="N358">
        <f t="shared" ca="1" si="131"/>
        <v>2</v>
      </c>
      <c r="O358" t="str">
        <f t="shared" ca="1" si="132"/>
        <v>BC</v>
      </c>
      <c r="P358">
        <f t="shared" ca="1" si="138"/>
        <v>260505</v>
      </c>
      <c r="Q358">
        <f t="shared" ca="1" si="133"/>
        <v>232124.00404668367</v>
      </c>
      <c r="R358">
        <f t="shared" ca="1" si="120"/>
        <v>11751.397417579317</v>
      </c>
      <c r="S358">
        <f t="shared" ca="1" si="134"/>
        <v>10102</v>
      </c>
      <c r="T358">
        <f t="shared" ca="1" si="139"/>
        <v>41738.675606249351</v>
      </c>
      <c r="U358">
        <f t="shared" ca="1" si="140"/>
        <v>18001.918962813481</v>
      </c>
      <c r="V358">
        <f t="shared" ca="1" si="141"/>
        <v>290258.31638039282</v>
      </c>
      <c r="W358">
        <f t="shared" ca="1" si="142"/>
        <v>283964.67965293303</v>
      </c>
      <c r="Z358" s="4">
        <f t="shared" ca="1" si="135"/>
        <v>0</v>
      </c>
      <c r="AA358">
        <f t="shared" ca="1" si="136"/>
        <v>1</v>
      </c>
      <c r="AC358" s="5"/>
      <c r="AX358" s="10">
        <f ca="1">Table1[[#This Row],[Car Value]]/Table1[[#This Row],[No. of Vehicles]]</f>
        <v>5875.6987087896587</v>
      </c>
      <c r="AZ358">
        <f ca="1">IF(Table1[[#This Row],[Debts]]&gt;$BA$3,1,0)</f>
        <v>1</v>
      </c>
      <c r="BC358" s="12">
        <f ca="1">Table1[[#This Row],[Mortage left]]/Table1[[#This Row],[Value of The House]]</f>
        <v>0.8910539300461936</v>
      </c>
      <c r="BD358" s="4">
        <f t="shared" ca="1" si="137"/>
        <v>0</v>
      </c>
      <c r="BE358" s="5"/>
    </row>
    <row r="359" spans="4:57" x14ac:dyDescent="0.3">
      <c r="D359">
        <f t="shared" ca="1" si="121"/>
        <v>1</v>
      </c>
      <c r="E359" t="str">
        <f t="shared" ca="1" si="122"/>
        <v>Male</v>
      </c>
      <c r="F359">
        <f t="shared" ca="1" si="123"/>
        <v>35</v>
      </c>
      <c r="G359">
        <f t="shared" ca="1" si="124"/>
        <v>1</v>
      </c>
      <c r="H359" t="str">
        <f t="shared" ca="1" si="125"/>
        <v>Health</v>
      </c>
      <c r="I359">
        <f t="shared" ca="1" si="126"/>
        <v>5</v>
      </c>
      <c r="J359" t="str">
        <f t="shared" ca="1" si="127"/>
        <v>Other</v>
      </c>
      <c r="K359">
        <f t="shared" ca="1" si="128"/>
        <v>0</v>
      </c>
      <c r="L359">
        <f t="shared" ca="1" si="129"/>
        <v>2</v>
      </c>
      <c r="M359">
        <f t="shared" ca="1" si="130"/>
        <v>72339</v>
      </c>
      <c r="N359">
        <f t="shared" ca="1" si="131"/>
        <v>4</v>
      </c>
      <c r="O359" t="str">
        <f t="shared" ca="1" si="132"/>
        <v>Alberta</v>
      </c>
      <c r="P359">
        <f t="shared" ca="1" si="138"/>
        <v>361695</v>
      </c>
      <c r="Q359">
        <f t="shared" ca="1" si="133"/>
        <v>338752.6135823626</v>
      </c>
      <c r="R359">
        <f t="shared" ca="1" si="120"/>
        <v>142749.96859133395</v>
      </c>
      <c r="S359">
        <f t="shared" ca="1" si="134"/>
        <v>8983</v>
      </c>
      <c r="T359">
        <f t="shared" ca="1" si="139"/>
        <v>56167.49428583782</v>
      </c>
      <c r="U359">
        <f t="shared" ca="1" si="140"/>
        <v>51530.262807985913</v>
      </c>
      <c r="V359">
        <f t="shared" ca="1" si="141"/>
        <v>555975.23139931983</v>
      </c>
      <c r="W359">
        <f t="shared" ca="1" si="142"/>
        <v>403903.1078682004</v>
      </c>
      <c r="Z359" s="4">
        <f t="shared" ca="1" si="135"/>
        <v>1</v>
      </c>
      <c r="AA359">
        <f t="shared" ca="1" si="136"/>
        <v>0</v>
      </c>
      <c r="AC359" s="5"/>
      <c r="AX359" s="10">
        <f ca="1">Table1[[#This Row],[Car Value]]/Table1[[#This Row],[No. of Vehicles]]</f>
        <v>71374.984295666975</v>
      </c>
      <c r="AZ359">
        <f ca="1">IF(Table1[[#This Row],[Debts]]&gt;$BA$3,1,0)</f>
        <v>1</v>
      </c>
      <c r="BC359" s="12">
        <f ca="1">Table1[[#This Row],[Mortage left]]/Table1[[#This Row],[Value of The House]]</f>
        <v>0.93656979936787232</v>
      </c>
      <c r="BD359" s="4">
        <f t="shared" ca="1" si="137"/>
        <v>0</v>
      </c>
      <c r="BE359" s="5"/>
    </row>
    <row r="360" spans="4:57" x14ac:dyDescent="0.3">
      <c r="D360">
        <f t="shared" ca="1" si="121"/>
        <v>2</v>
      </c>
      <c r="E360" t="str">
        <f t="shared" ca="1" si="122"/>
        <v>Female</v>
      </c>
      <c r="F360">
        <f t="shared" ca="1" si="123"/>
        <v>40</v>
      </c>
      <c r="G360">
        <f t="shared" ca="1" si="124"/>
        <v>5</v>
      </c>
      <c r="H360" t="str">
        <f t="shared" ca="1" si="125"/>
        <v>Agriculture</v>
      </c>
      <c r="I360">
        <f t="shared" ca="1" si="126"/>
        <v>2</v>
      </c>
      <c r="J360" t="str">
        <f t="shared" ca="1" si="127"/>
        <v>College</v>
      </c>
      <c r="K360">
        <f t="shared" ca="1" si="128"/>
        <v>0</v>
      </c>
      <c r="L360">
        <f t="shared" ca="1" si="129"/>
        <v>1</v>
      </c>
      <c r="M360">
        <f t="shared" ca="1" si="130"/>
        <v>27656</v>
      </c>
      <c r="N360">
        <f t="shared" ca="1" si="131"/>
        <v>12</v>
      </c>
      <c r="O360" t="str">
        <f t="shared" ca="1" si="132"/>
        <v>Nova scotia</v>
      </c>
      <c r="P360">
        <f t="shared" ca="1" si="138"/>
        <v>138280</v>
      </c>
      <c r="Q360">
        <f t="shared" ca="1" si="133"/>
        <v>59406.974997720798</v>
      </c>
      <c r="R360">
        <f t="shared" ca="1" si="120"/>
        <v>18596.305274050028</v>
      </c>
      <c r="S360">
        <f t="shared" ca="1" si="134"/>
        <v>13522</v>
      </c>
      <c r="T360">
        <f t="shared" ca="1" si="139"/>
        <v>46219.554751947158</v>
      </c>
      <c r="U360">
        <f t="shared" ca="1" si="140"/>
        <v>11274.867783079997</v>
      </c>
      <c r="V360">
        <f t="shared" ca="1" si="141"/>
        <v>168151.17305713004</v>
      </c>
      <c r="W360">
        <f t="shared" ca="1" si="142"/>
        <v>119148.52974966796</v>
      </c>
      <c r="Z360" s="4">
        <f t="shared" ca="1" si="135"/>
        <v>0</v>
      </c>
      <c r="AA360">
        <f t="shared" ca="1" si="136"/>
        <v>1</v>
      </c>
      <c r="AC360" s="5"/>
      <c r="AX360" s="10">
        <f ca="1">Table1[[#This Row],[Car Value]]/Table1[[#This Row],[No. of Vehicles]]</f>
        <v>18596.305274050028</v>
      </c>
      <c r="AZ360">
        <f ca="1">IF(Table1[[#This Row],[Debts]]&gt;$BA$3,1,0)</f>
        <v>1</v>
      </c>
      <c r="BC360" s="12">
        <f ca="1">Table1[[#This Row],[Mortage left]]/Table1[[#This Row],[Value of The House]]</f>
        <v>0.42961364620856812</v>
      </c>
      <c r="BD360" s="4">
        <f t="shared" ca="1" si="137"/>
        <v>0</v>
      </c>
      <c r="BE360" s="5"/>
    </row>
    <row r="361" spans="4:57" x14ac:dyDescent="0.3">
      <c r="D361">
        <f t="shared" ca="1" si="121"/>
        <v>2</v>
      </c>
      <c r="E361" t="str">
        <f t="shared" ca="1" si="122"/>
        <v>Female</v>
      </c>
      <c r="F361">
        <f t="shared" ca="1" si="123"/>
        <v>34</v>
      </c>
      <c r="G361">
        <f t="shared" ca="1" si="124"/>
        <v>4</v>
      </c>
      <c r="H361" t="str">
        <f t="shared" ca="1" si="125"/>
        <v>IT</v>
      </c>
      <c r="I361">
        <f t="shared" ca="1" si="126"/>
        <v>5</v>
      </c>
      <c r="J361" t="str">
        <f t="shared" ca="1" si="127"/>
        <v>Other</v>
      </c>
      <c r="K361">
        <f t="shared" ca="1" si="128"/>
        <v>1</v>
      </c>
      <c r="L361">
        <f t="shared" ca="1" si="129"/>
        <v>1</v>
      </c>
      <c r="M361">
        <f t="shared" ca="1" si="130"/>
        <v>43080</v>
      </c>
      <c r="N361">
        <f t="shared" ca="1" si="131"/>
        <v>5</v>
      </c>
      <c r="O361" t="str">
        <f t="shared" ca="1" si="132"/>
        <v>Nunavut</v>
      </c>
      <c r="P361">
        <f t="shared" ca="1" si="138"/>
        <v>215400</v>
      </c>
      <c r="Q361">
        <f t="shared" ca="1" si="133"/>
        <v>57683.161246502081</v>
      </c>
      <c r="R361">
        <f t="shared" ca="1" si="120"/>
        <v>41356.954524462832</v>
      </c>
      <c r="S361">
        <f t="shared" ca="1" si="134"/>
        <v>33889</v>
      </c>
      <c r="T361">
        <f t="shared" ca="1" si="139"/>
        <v>45044.16672534604</v>
      </c>
      <c r="U361">
        <f t="shared" ca="1" si="140"/>
        <v>63041.063228940962</v>
      </c>
      <c r="V361">
        <f t="shared" ca="1" si="141"/>
        <v>319798.01775340381</v>
      </c>
      <c r="W361">
        <f t="shared" ca="1" si="142"/>
        <v>136616.32797184811</v>
      </c>
      <c r="Z361" s="4">
        <f t="shared" ca="1" si="135"/>
        <v>0</v>
      </c>
      <c r="AA361">
        <f t="shared" ca="1" si="136"/>
        <v>1</v>
      </c>
      <c r="AC361" s="5"/>
      <c r="AX361" s="10">
        <f ca="1">Table1[[#This Row],[Car Value]]/Table1[[#This Row],[No. of Vehicles]]</f>
        <v>41356.954524462832</v>
      </c>
      <c r="AZ361">
        <f ca="1">IF(Table1[[#This Row],[Debts]]&gt;$BA$3,1,0)</f>
        <v>1</v>
      </c>
      <c r="BC361" s="12">
        <f ca="1">Table1[[#This Row],[Mortage left]]/Table1[[#This Row],[Value of The House]]</f>
        <v>0.26779554896240521</v>
      </c>
      <c r="BD361" s="4">
        <f t="shared" ca="1" si="137"/>
        <v>0</v>
      </c>
      <c r="BE361" s="5"/>
    </row>
    <row r="362" spans="4:57" x14ac:dyDescent="0.3">
      <c r="D362">
        <f t="shared" ca="1" si="121"/>
        <v>2</v>
      </c>
      <c r="E362" t="str">
        <f t="shared" ca="1" si="122"/>
        <v>Female</v>
      </c>
      <c r="F362">
        <f t="shared" ca="1" si="123"/>
        <v>44</v>
      </c>
      <c r="G362">
        <f t="shared" ca="1" si="124"/>
        <v>4</v>
      </c>
      <c r="H362" t="str">
        <f t="shared" ca="1" si="125"/>
        <v>IT</v>
      </c>
      <c r="I362">
        <f t="shared" ca="1" si="126"/>
        <v>2</v>
      </c>
      <c r="J362" t="str">
        <f t="shared" ca="1" si="127"/>
        <v>College</v>
      </c>
      <c r="K362">
        <f t="shared" ca="1" si="128"/>
        <v>1</v>
      </c>
      <c r="L362">
        <f t="shared" ca="1" si="129"/>
        <v>1</v>
      </c>
      <c r="M362">
        <f t="shared" ca="1" si="130"/>
        <v>36629</v>
      </c>
      <c r="N362">
        <f t="shared" ca="1" si="131"/>
        <v>6</v>
      </c>
      <c r="O362" t="str">
        <f t="shared" ca="1" si="132"/>
        <v>Saskatchewan</v>
      </c>
      <c r="P362">
        <f t="shared" ca="1" si="138"/>
        <v>183145</v>
      </c>
      <c r="Q362">
        <f t="shared" ca="1" si="133"/>
        <v>75282.612453990732</v>
      </c>
      <c r="R362">
        <f t="shared" ca="1" si="120"/>
        <v>6250.682030022168</v>
      </c>
      <c r="S362">
        <f t="shared" ca="1" si="134"/>
        <v>6138</v>
      </c>
      <c r="T362">
        <f t="shared" ca="1" si="139"/>
        <v>66623.622501618796</v>
      </c>
      <c r="U362">
        <f t="shared" ca="1" si="140"/>
        <v>37904.07617025861</v>
      </c>
      <c r="V362">
        <f t="shared" ca="1" si="141"/>
        <v>227299.75820028078</v>
      </c>
      <c r="W362">
        <f t="shared" ca="1" si="142"/>
        <v>148044.23495560954</v>
      </c>
      <c r="Z362" s="4">
        <f t="shared" ca="1" si="135"/>
        <v>0</v>
      </c>
      <c r="AA362">
        <f t="shared" ca="1" si="136"/>
        <v>1</v>
      </c>
      <c r="AC362" s="5"/>
      <c r="AX362" s="10">
        <f ca="1">Table1[[#This Row],[Car Value]]/Table1[[#This Row],[No. of Vehicles]]</f>
        <v>6250.682030022168</v>
      </c>
      <c r="AZ362">
        <f ca="1">IF(Table1[[#This Row],[Debts]]&gt;$BA$3,1,0)</f>
        <v>1</v>
      </c>
      <c r="BC362" s="12">
        <f ca="1">Table1[[#This Row],[Mortage left]]/Table1[[#This Row],[Value of The House]]</f>
        <v>0.41105469684671014</v>
      </c>
      <c r="BD362" s="4">
        <f t="shared" ca="1" si="137"/>
        <v>0</v>
      </c>
      <c r="BE362" s="5"/>
    </row>
    <row r="363" spans="4:57" x14ac:dyDescent="0.3">
      <c r="D363">
        <f t="shared" ca="1" si="121"/>
        <v>1</v>
      </c>
      <c r="E363" t="str">
        <f t="shared" ca="1" si="122"/>
        <v>Male</v>
      </c>
      <c r="F363">
        <f t="shared" ca="1" si="123"/>
        <v>31</v>
      </c>
      <c r="G363">
        <f t="shared" ca="1" si="124"/>
        <v>1</v>
      </c>
      <c r="H363" t="str">
        <f t="shared" ca="1" si="125"/>
        <v>Health</v>
      </c>
      <c r="I363">
        <f t="shared" ca="1" si="126"/>
        <v>3</v>
      </c>
      <c r="J363" t="str">
        <f t="shared" ca="1" si="127"/>
        <v>University</v>
      </c>
      <c r="K363">
        <f t="shared" ca="1" si="128"/>
        <v>4</v>
      </c>
      <c r="L363">
        <f t="shared" ca="1" si="129"/>
        <v>2</v>
      </c>
      <c r="M363">
        <f t="shared" ca="1" si="130"/>
        <v>58810</v>
      </c>
      <c r="N363">
        <f t="shared" ca="1" si="131"/>
        <v>6</v>
      </c>
      <c r="O363" t="str">
        <f t="shared" ca="1" si="132"/>
        <v>Saskatchewan</v>
      </c>
      <c r="P363">
        <f t="shared" ca="1" si="138"/>
        <v>294050</v>
      </c>
      <c r="Q363">
        <f t="shared" ca="1" si="133"/>
        <v>56886.330690597213</v>
      </c>
      <c r="R363">
        <f t="shared" ca="1" si="120"/>
        <v>63476.828401073573</v>
      </c>
      <c r="S363">
        <f t="shared" ca="1" si="134"/>
        <v>619</v>
      </c>
      <c r="T363">
        <f t="shared" ca="1" si="139"/>
        <v>30747.439747724267</v>
      </c>
      <c r="U363">
        <f t="shared" ca="1" si="140"/>
        <v>24768.128436656931</v>
      </c>
      <c r="V363">
        <f t="shared" ca="1" si="141"/>
        <v>382294.95683773048</v>
      </c>
      <c r="W363">
        <f t="shared" ca="1" si="142"/>
        <v>88252.770438321488</v>
      </c>
      <c r="Z363" s="4">
        <f t="shared" ca="1" si="135"/>
        <v>1</v>
      </c>
      <c r="AA363">
        <f t="shared" ca="1" si="136"/>
        <v>0</v>
      </c>
      <c r="AC363" s="5"/>
      <c r="AX363" s="10">
        <f ca="1">Table1[[#This Row],[Car Value]]/Table1[[#This Row],[No. of Vehicles]]</f>
        <v>31738.414200536787</v>
      </c>
      <c r="AZ363">
        <f ca="1">IF(Table1[[#This Row],[Debts]]&gt;$BA$3,1,0)</f>
        <v>1</v>
      </c>
      <c r="BC363" s="12">
        <f ca="1">Table1[[#This Row],[Mortage left]]/Table1[[#This Row],[Value of The House]]</f>
        <v>0.19345801969255982</v>
      </c>
      <c r="BD363" s="4">
        <f t="shared" ca="1" si="137"/>
        <v>1</v>
      </c>
      <c r="BE363" s="5"/>
    </row>
    <row r="364" spans="4:57" x14ac:dyDescent="0.3">
      <c r="D364">
        <f t="shared" ca="1" si="121"/>
        <v>1</v>
      </c>
      <c r="E364" t="str">
        <f t="shared" ca="1" si="122"/>
        <v>Male</v>
      </c>
      <c r="F364">
        <f t="shared" ca="1" si="123"/>
        <v>31</v>
      </c>
      <c r="G364">
        <f t="shared" ca="1" si="124"/>
        <v>2</v>
      </c>
      <c r="H364" t="str">
        <f t="shared" ca="1" si="125"/>
        <v>Construction</v>
      </c>
      <c r="I364">
        <f t="shared" ca="1" si="126"/>
        <v>4</v>
      </c>
      <c r="J364" t="str">
        <f t="shared" ca="1" si="127"/>
        <v>Technical</v>
      </c>
      <c r="K364">
        <f t="shared" ca="1" si="128"/>
        <v>4</v>
      </c>
      <c r="L364">
        <f t="shared" ca="1" si="129"/>
        <v>2</v>
      </c>
      <c r="M364">
        <f t="shared" ca="1" si="130"/>
        <v>55238</v>
      </c>
      <c r="N364">
        <f t="shared" ca="1" si="131"/>
        <v>8</v>
      </c>
      <c r="O364" t="str">
        <f t="shared" ca="1" si="132"/>
        <v>Ontario</v>
      </c>
      <c r="P364">
        <f t="shared" ca="1" si="138"/>
        <v>276190</v>
      </c>
      <c r="Q364">
        <f t="shared" ca="1" si="133"/>
        <v>241252.15071322638</v>
      </c>
      <c r="R364">
        <f t="shared" ca="1" si="120"/>
        <v>66632.157290211864</v>
      </c>
      <c r="S364">
        <f t="shared" ca="1" si="134"/>
        <v>35846</v>
      </c>
      <c r="T364">
        <f t="shared" ca="1" si="139"/>
        <v>85354.072154536188</v>
      </c>
      <c r="U364">
        <f t="shared" ca="1" si="140"/>
        <v>72538.766655319312</v>
      </c>
      <c r="V364">
        <f t="shared" ca="1" si="141"/>
        <v>415360.92394553119</v>
      </c>
      <c r="W364">
        <f t="shared" ca="1" si="142"/>
        <v>362452.22286776261</v>
      </c>
      <c r="Z364" s="4">
        <f t="shared" ca="1" si="135"/>
        <v>1</v>
      </c>
      <c r="AA364">
        <f t="shared" ca="1" si="136"/>
        <v>0</v>
      </c>
      <c r="AC364" s="5"/>
      <c r="AX364" s="10">
        <f ca="1">Table1[[#This Row],[Car Value]]/Table1[[#This Row],[No. of Vehicles]]</f>
        <v>33316.078645105932</v>
      </c>
      <c r="AZ364">
        <f ca="1">IF(Table1[[#This Row],[Debts]]&gt;$BA$3,1,0)</f>
        <v>1</v>
      </c>
      <c r="BC364" s="12">
        <f ca="1">Table1[[#This Row],[Mortage left]]/Table1[[#This Row],[Value of The House]]</f>
        <v>0.87350067241111695</v>
      </c>
      <c r="BD364" s="4">
        <f t="shared" ca="1" si="137"/>
        <v>0</v>
      </c>
      <c r="BE364" s="5"/>
    </row>
    <row r="365" spans="4:57" x14ac:dyDescent="0.3">
      <c r="D365">
        <f t="shared" ca="1" si="121"/>
        <v>1</v>
      </c>
      <c r="E365" t="str">
        <f t="shared" ca="1" si="122"/>
        <v>Male</v>
      </c>
      <c r="F365">
        <f t="shared" ca="1" si="123"/>
        <v>37</v>
      </c>
      <c r="G365">
        <f t="shared" ca="1" si="124"/>
        <v>1</v>
      </c>
      <c r="H365" t="str">
        <f t="shared" ca="1" si="125"/>
        <v>Health</v>
      </c>
      <c r="I365">
        <f t="shared" ca="1" si="126"/>
        <v>2</v>
      </c>
      <c r="J365" t="str">
        <f t="shared" ca="1" si="127"/>
        <v>College</v>
      </c>
      <c r="K365">
        <f t="shared" ca="1" si="128"/>
        <v>1</v>
      </c>
      <c r="L365">
        <f t="shared" ca="1" si="129"/>
        <v>2</v>
      </c>
      <c r="M365">
        <f t="shared" ca="1" si="130"/>
        <v>45752</v>
      </c>
      <c r="N365">
        <f t="shared" ca="1" si="131"/>
        <v>6</v>
      </c>
      <c r="O365" t="str">
        <f t="shared" ca="1" si="132"/>
        <v>Saskatchewan</v>
      </c>
      <c r="P365">
        <f t="shared" ca="1" si="138"/>
        <v>274512</v>
      </c>
      <c r="Q365">
        <f t="shared" ca="1" si="133"/>
        <v>71046.630045860744</v>
      </c>
      <c r="R365">
        <f t="shared" ca="1" si="120"/>
        <v>7076.7676820718743</v>
      </c>
      <c r="S365">
        <f t="shared" ca="1" si="134"/>
        <v>7066</v>
      </c>
      <c r="T365">
        <f t="shared" ca="1" si="139"/>
        <v>75622.776755380793</v>
      </c>
      <c r="U365">
        <f t="shared" ca="1" si="140"/>
        <v>57375.604374764545</v>
      </c>
      <c r="V365">
        <f t="shared" ca="1" si="141"/>
        <v>338964.37205683644</v>
      </c>
      <c r="W365">
        <f t="shared" ca="1" si="142"/>
        <v>153735.40680124154</v>
      </c>
      <c r="Z365" s="4">
        <f t="shared" ca="1" si="135"/>
        <v>1</v>
      </c>
      <c r="AA365">
        <f t="shared" ca="1" si="136"/>
        <v>0</v>
      </c>
      <c r="AC365" s="5"/>
      <c r="AX365" s="10">
        <f ca="1">Table1[[#This Row],[Car Value]]/Table1[[#This Row],[No. of Vehicles]]</f>
        <v>3538.3838410359372</v>
      </c>
      <c r="AZ365">
        <f ca="1">IF(Table1[[#This Row],[Debts]]&gt;$BA$3,1,0)</f>
        <v>1</v>
      </c>
      <c r="BC365" s="12">
        <f ca="1">Table1[[#This Row],[Mortage left]]/Table1[[#This Row],[Value of The House]]</f>
        <v>0.25881065325326669</v>
      </c>
      <c r="BD365" s="4">
        <f t="shared" ca="1" si="137"/>
        <v>0</v>
      </c>
      <c r="BE365" s="5"/>
    </row>
    <row r="366" spans="4:57" x14ac:dyDescent="0.3">
      <c r="D366">
        <f t="shared" ca="1" si="121"/>
        <v>2</v>
      </c>
      <c r="E366" t="str">
        <f t="shared" ca="1" si="122"/>
        <v>Female</v>
      </c>
      <c r="F366">
        <f t="shared" ca="1" si="123"/>
        <v>44</v>
      </c>
      <c r="G366">
        <f t="shared" ca="1" si="124"/>
        <v>1</v>
      </c>
      <c r="H366" t="str">
        <f t="shared" ca="1" si="125"/>
        <v>Health</v>
      </c>
      <c r="I366">
        <f t="shared" ca="1" si="126"/>
        <v>1</v>
      </c>
      <c r="J366" t="str">
        <f t="shared" ca="1" si="127"/>
        <v>High School</v>
      </c>
      <c r="K366">
        <f t="shared" ca="1" si="128"/>
        <v>1</v>
      </c>
      <c r="L366">
        <f t="shared" ca="1" si="129"/>
        <v>1</v>
      </c>
      <c r="M366">
        <f t="shared" ca="1" si="130"/>
        <v>50459</v>
      </c>
      <c r="N366">
        <f t="shared" ca="1" si="131"/>
        <v>1</v>
      </c>
      <c r="O366" t="str">
        <f t="shared" ca="1" si="132"/>
        <v>Yukon</v>
      </c>
      <c r="P366">
        <f t="shared" ca="1" si="138"/>
        <v>201836</v>
      </c>
      <c r="Q366">
        <f t="shared" ca="1" si="133"/>
        <v>75073.302606931742</v>
      </c>
      <c r="R366">
        <f t="shared" ca="1" si="120"/>
        <v>46141.066208498974</v>
      </c>
      <c r="S366">
        <f t="shared" ca="1" si="134"/>
        <v>16276</v>
      </c>
      <c r="T366">
        <f t="shared" ca="1" si="139"/>
        <v>20786.133232298453</v>
      </c>
      <c r="U366">
        <f t="shared" ca="1" si="140"/>
        <v>69788.191194073093</v>
      </c>
      <c r="V366">
        <f t="shared" ca="1" si="141"/>
        <v>317765.25740257208</v>
      </c>
      <c r="W366">
        <f t="shared" ca="1" si="142"/>
        <v>112135.43583923019</v>
      </c>
      <c r="Z366" s="4">
        <f t="shared" ca="1" si="135"/>
        <v>0</v>
      </c>
      <c r="AA366">
        <f t="shared" ca="1" si="136"/>
        <v>1</v>
      </c>
      <c r="AC366" s="5"/>
      <c r="AX366" s="10">
        <f ca="1">Table1[[#This Row],[Car Value]]/Table1[[#This Row],[No. of Vehicles]]</f>
        <v>46141.066208498974</v>
      </c>
      <c r="AZ366">
        <f ca="1">IF(Table1[[#This Row],[Debts]]&gt;$BA$3,1,0)</f>
        <v>1</v>
      </c>
      <c r="BC366" s="12">
        <f ca="1">Table1[[#This Row],[Mortage left]]/Table1[[#This Row],[Value of The House]]</f>
        <v>0.37195199373219712</v>
      </c>
      <c r="BD366" s="4">
        <f t="shared" ca="1" si="137"/>
        <v>0</v>
      </c>
      <c r="BE366" s="5"/>
    </row>
    <row r="367" spans="4:57" x14ac:dyDescent="0.3">
      <c r="D367">
        <f t="shared" ca="1" si="121"/>
        <v>1</v>
      </c>
      <c r="E367" t="str">
        <f t="shared" ca="1" si="122"/>
        <v>Male</v>
      </c>
      <c r="F367">
        <f t="shared" ca="1" si="123"/>
        <v>35</v>
      </c>
      <c r="G367">
        <f t="shared" ca="1" si="124"/>
        <v>4</v>
      </c>
      <c r="H367" t="str">
        <f t="shared" ca="1" si="125"/>
        <v>IT</v>
      </c>
      <c r="I367">
        <f t="shared" ca="1" si="126"/>
        <v>5</v>
      </c>
      <c r="J367" t="str">
        <f t="shared" ca="1" si="127"/>
        <v>Other</v>
      </c>
      <c r="K367">
        <f t="shared" ca="1" si="128"/>
        <v>4</v>
      </c>
      <c r="L367">
        <f t="shared" ca="1" si="129"/>
        <v>2</v>
      </c>
      <c r="M367">
        <f t="shared" ca="1" si="130"/>
        <v>74265</v>
      </c>
      <c r="N367">
        <f t="shared" ca="1" si="131"/>
        <v>11</v>
      </c>
      <c r="O367" t="str">
        <f t="shared" ca="1" si="132"/>
        <v>New bruncwick</v>
      </c>
      <c r="P367">
        <f t="shared" ca="1" si="138"/>
        <v>445590</v>
      </c>
      <c r="Q367">
        <f t="shared" ca="1" si="133"/>
        <v>276406.61854300072</v>
      </c>
      <c r="R367">
        <f t="shared" ca="1" si="120"/>
        <v>101757.31752295526</v>
      </c>
      <c r="S367">
        <f t="shared" ca="1" si="134"/>
        <v>54981</v>
      </c>
      <c r="T367">
        <f t="shared" ca="1" si="139"/>
        <v>141184.42895699531</v>
      </c>
      <c r="U367">
        <f t="shared" ca="1" si="140"/>
        <v>59879.044032812715</v>
      </c>
      <c r="V367">
        <f t="shared" ca="1" si="141"/>
        <v>607226.36155576794</v>
      </c>
      <c r="W367">
        <f t="shared" ca="1" si="142"/>
        <v>472572.04749999603</v>
      </c>
      <c r="Z367" s="4">
        <f t="shared" ca="1" si="135"/>
        <v>1</v>
      </c>
      <c r="AA367">
        <f t="shared" ca="1" si="136"/>
        <v>0</v>
      </c>
      <c r="AC367" s="5"/>
      <c r="AX367" s="10">
        <f ca="1">Table1[[#This Row],[Car Value]]/Table1[[#This Row],[No. of Vehicles]]</f>
        <v>50878.658761477629</v>
      </c>
      <c r="AZ367">
        <f ca="1">IF(Table1[[#This Row],[Debts]]&gt;$BA$3,1,0)</f>
        <v>1</v>
      </c>
      <c r="BC367" s="12">
        <f ca="1">Table1[[#This Row],[Mortage left]]/Table1[[#This Row],[Value of The House]]</f>
        <v>0.62031602716174228</v>
      </c>
      <c r="BD367" s="4">
        <f t="shared" ca="1" si="137"/>
        <v>0</v>
      </c>
      <c r="BE367" s="5"/>
    </row>
    <row r="368" spans="4:57" x14ac:dyDescent="0.3">
      <c r="D368">
        <f t="shared" ca="1" si="121"/>
        <v>1</v>
      </c>
      <c r="E368" t="str">
        <f t="shared" ca="1" si="122"/>
        <v>Male</v>
      </c>
      <c r="F368">
        <f t="shared" ca="1" si="123"/>
        <v>25</v>
      </c>
      <c r="G368">
        <f t="shared" ca="1" si="124"/>
        <v>6</v>
      </c>
      <c r="H368" t="str">
        <f t="shared" ca="1" si="125"/>
        <v>General Work</v>
      </c>
      <c r="I368">
        <f t="shared" ca="1" si="126"/>
        <v>5</v>
      </c>
      <c r="J368" t="str">
        <f t="shared" ca="1" si="127"/>
        <v>Other</v>
      </c>
      <c r="K368">
        <f t="shared" ca="1" si="128"/>
        <v>4</v>
      </c>
      <c r="L368">
        <f t="shared" ca="1" si="129"/>
        <v>1</v>
      </c>
      <c r="M368">
        <f t="shared" ca="1" si="130"/>
        <v>40017</v>
      </c>
      <c r="N368">
        <f t="shared" ca="1" si="131"/>
        <v>8</v>
      </c>
      <c r="O368" t="str">
        <f t="shared" ca="1" si="132"/>
        <v>Ontario</v>
      </c>
      <c r="P368">
        <f t="shared" ca="1" si="138"/>
        <v>160068</v>
      </c>
      <c r="Q368">
        <f t="shared" ca="1" si="133"/>
        <v>44667.942904169002</v>
      </c>
      <c r="R368">
        <f t="shared" ca="1" si="120"/>
        <v>30463.678851045501</v>
      </c>
      <c r="S368">
        <f t="shared" ca="1" si="134"/>
        <v>4943</v>
      </c>
      <c r="T368">
        <f t="shared" ca="1" si="139"/>
        <v>22419.937015072046</v>
      </c>
      <c r="U368">
        <f t="shared" ca="1" si="140"/>
        <v>17544.829553423398</v>
      </c>
      <c r="V368">
        <f t="shared" ca="1" si="141"/>
        <v>208076.50840446888</v>
      </c>
      <c r="W368">
        <f t="shared" ca="1" si="142"/>
        <v>72030.879919241052</v>
      </c>
      <c r="Z368" s="4">
        <f t="shared" ca="1" si="135"/>
        <v>1</v>
      </c>
      <c r="AA368">
        <f t="shared" ca="1" si="136"/>
        <v>0</v>
      </c>
      <c r="AC368" s="5"/>
      <c r="AX368" s="10">
        <f ca="1">Table1[[#This Row],[Car Value]]/Table1[[#This Row],[No. of Vehicles]]</f>
        <v>30463.678851045501</v>
      </c>
      <c r="AZ368">
        <f ca="1">IF(Table1[[#This Row],[Debts]]&gt;$BA$3,1,0)</f>
        <v>1</v>
      </c>
      <c r="BC368" s="12">
        <f ca="1">Table1[[#This Row],[Mortage left]]/Table1[[#This Row],[Value of The House]]</f>
        <v>0.27905604433221509</v>
      </c>
      <c r="BD368" s="4">
        <f t="shared" ca="1" si="137"/>
        <v>0</v>
      </c>
      <c r="BE368" s="5"/>
    </row>
    <row r="369" spans="4:57" x14ac:dyDescent="0.3">
      <c r="D369">
        <f t="shared" ca="1" si="121"/>
        <v>2</v>
      </c>
      <c r="E369" t="str">
        <f t="shared" ca="1" si="122"/>
        <v>Female</v>
      </c>
      <c r="F369">
        <f t="shared" ca="1" si="123"/>
        <v>25</v>
      </c>
      <c r="G369">
        <f t="shared" ca="1" si="124"/>
        <v>5</v>
      </c>
      <c r="H369" t="str">
        <f t="shared" ca="1" si="125"/>
        <v>Agriculture</v>
      </c>
      <c r="I369">
        <f t="shared" ca="1" si="126"/>
        <v>4</v>
      </c>
      <c r="J369" t="str">
        <f t="shared" ca="1" si="127"/>
        <v>Technical</v>
      </c>
      <c r="K369">
        <f t="shared" ca="1" si="128"/>
        <v>0</v>
      </c>
      <c r="L369">
        <f t="shared" ca="1" si="129"/>
        <v>2</v>
      </c>
      <c r="M369">
        <f t="shared" ca="1" si="130"/>
        <v>65954</v>
      </c>
      <c r="N369">
        <f t="shared" ca="1" si="131"/>
        <v>11</v>
      </c>
      <c r="O369" t="str">
        <f t="shared" ca="1" si="132"/>
        <v>New bruncwick</v>
      </c>
      <c r="P369">
        <f t="shared" ca="1" si="138"/>
        <v>263816</v>
      </c>
      <c r="Q369">
        <f t="shared" ca="1" si="133"/>
        <v>81369.086944135168</v>
      </c>
      <c r="R369">
        <f t="shared" ca="1" si="120"/>
        <v>68136.539448484516</v>
      </c>
      <c r="S369">
        <f t="shared" ca="1" si="134"/>
        <v>65532</v>
      </c>
      <c r="T369">
        <f t="shared" ca="1" si="139"/>
        <v>16155.400572025605</v>
      </c>
      <c r="U369">
        <f t="shared" ca="1" si="140"/>
        <v>41064.697138595453</v>
      </c>
      <c r="V369">
        <f t="shared" ca="1" si="141"/>
        <v>373017.23658708</v>
      </c>
      <c r="W369">
        <f t="shared" ca="1" si="142"/>
        <v>163056.48751616076</v>
      </c>
      <c r="Z369" s="4">
        <f t="shared" ca="1" si="135"/>
        <v>0</v>
      </c>
      <c r="AA369">
        <f t="shared" ca="1" si="136"/>
        <v>1</v>
      </c>
      <c r="AC369" s="5"/>
      <c r="AX369" s="10">
        <f ca="1">Table1[[#This Row],[Car Value]]/Table1[[#This Row],[No. of Vehicles]]</f>
        <v>34068.269724242258</v>
      </c>
      <c r="AZ369">
        <f ca="1">IF(Table1[[#This Row],[Debts]]&gt;$BA$3,1,0)</f>
        <v>0</v>
      </c>
      <c r="BC369" s="12">
        <f ca="1">Table1[[#This Row],[Mortage left]]/Table1[[#This Row],[Value of The House]]</f>
        <v>0.30843120562867743</v>
      </c>
      <c r="BD369" s="4">
        <f t="shared" ca="1" si="137"/>
        <v>0</v>
      </c>
      <c r="BE369" s="5"/>
    </row>
    <row r="370" spans="4:57" x14ac:dyDescent="0.3">
      <c r="D370">
        <f t="shared" ca="1" si="121"/>
        <v>1</v>
      </c>
      <c r="E370" t="str">
        <f t="shared" ca="1" si="122"/>
        <v>Male</v>
      </c>
      <c r="F370">
        <f t="shared" ca="1" si="123"/>
        <v>37</v>
      </c>
      <c r="G370">
        <f t="shared" ca="1" si="124"/>
        <v>6</v>
      </c>
      <c r="H370" t="str">
        <f t="shared" ca="1" si="125"/>
        <v>General Work</v>
      </c>
      <c r="I370">
        <f t="shared" ca="1" si="126"/>
        <v>1</v>
      </c>
      <c r="J370" t="str">
        <f t="shared" ca="1" si="127"/>
        <v>High School</v>
      </c>
      <c r="K370">
        <f t="shared" ca="1" si="128"/>
        <v>2</v>
      </c>
      <c r="L370">
        <f t="shared" ca="1" si="129"/>
        <v>1</v>
      </c>
      <c r="M370">
        <f t="shared" ca="1" si="130"/>
        <v>59041</v>
      </c>
      <c r="N370">
        <f t="shared" ca="1" si="131"/>
        <v>10</v>
      </c>
      <c r="O370" t="str">
        <f t="shared" ca="1" si="132"/>
        <v>Newfouland</v>
      </c>
      <c r="P370">
        <f t="shared" ca="1" si="138"/>
        <v>236164</v>
      </c>
      <c r="Q370">
        <f t="shared" ca="1" si="133"/>
        <v>84503.486033405366</v>
      </c>
      <c r="R370">
        <f t="shared" ca="1" si="120"/>
        <v>7862.167006453089</v>
      </c>
      <c r="S370">
        <f t="shared" ca="1" si="134"/>
        <v>7628</v>
      </c>
      <c r="T370">
        <f t="shared" ca="1" si="139"/>
        <v>6417.8545561212286</v>
      </c>
      <c r="U370">
        <f t="shared" ca="1" si="140"/>
        <v>61265.366279527036</v>
      </c>
      <c r="V370">
        <f t="shared" ca="1" si="141"/>
        <v>305291.53328598011</v>
      </c>
      <c r="W370">
        <f t="shared" ca="1" si="142"/>
        <v>98549.34058952659</v>
      </c>
      <c r="Z370" s="4">
        <f t="shared" ca="1" si="135"/>
        <v>1</v>
      </c>
      <c r="AA370">
        <f t="shared" ca="1" si="136"/>
        <v>0</v>
      </c>
      <c r="AC370" s="5"/>
      <c r="AX370" s="10">
        <f ca="1">Table1[[#This Row],[Car Value]]/Table1[[#This Row],[No. of Vehicles]]</f>
        <v>7862.167006453089</v>
      </c>
      <c r="AZ370">
        <f ca="1">IF(Table1[[#This Row],[Debts]]&gt;$BA$3,1,0)</f>
        <v>0</v>
      </c>
      <c r="BC370" s="12">
        <f ca="1">Table1[[#This Row],[Mortage left]]/Table1[[#This Row],[Value of The House]]</f>
        <v>0.35781696631749704</v>
      </c>
      <c r="BD370" s="4">
        <f t="shared" ca="1" si="137"/>
        <v>0</v>
      </c>
      <c r="BE370" s="5"/>
    </row>
    <row r="371" spans="4:57" x14ac:dyDescent="0.3">
      <c r="D371">
        <f t="shared" ca="1" si="121"/>
        <v>1</v>
      </c>
      <c r="E371" t="str">
        <f t="shared" ca="1" si="122"/>
        <v>Male</v>
      </c>
      <c r="F371">
        <f t="shared" ca="1" si="123"/>
        <v>42</v>
      </c>
      <c r="G371">
        <f t="shared" ca="1" si="124"/>
        <v>1</v>
      </c>
      <c r="H371" t="str">
        <f t="shared" ca="1" si="125"/>
        <v>Health</v>
      </c>
      <c r="I371">
        <f t="shared" ca="1" si="126"/>
        <v>1</v>
      </c>
      <c r="J371" t="str">
        <f t="shared" ca="1" si="127"/>
        <v>High School</v>
      </c>
      <c r="K371">
        <f t="shared" ca="1" si="128"/>
        <v>3</v>
      </c>
      <c r="L371">
        <f t="shared" ca="1" si="129"/>
        <v>2</v>
      </c>
      <c r="M371">
        <f t="shared" ca="1" si="130"/>
        <v>40571</v>
      </c>
      <c r="N371">
        <f t="shared" ca="1" si="131"/>
        <v>10</v>
      </c>
      <c r="O371" t="str">
        <f t="shared" ca="1" si="132"/>
        <v>Newfouland</v>
      </c>
      <c r="P371">
        <f t="shared" ca="1" si="138"/>
        <v>162284</v>
      </c>
      <c r="Q371">
        <f t="shared" ca="1" si="133"/>
        <v>57654.18723303781</v>
      </c>
      <c r="R371">
        <f t="shared" ca="1" si="120"/>
        <v>5760.1209948064561</v>
      </c>
      <c r="S371">
        <f t="shared" ca="1" si="134"/>
        <v>4833</v>
      </c>
      <c r="T371">
        <f t="shared" ca="1" si="139"/>
        <v>32838.960391809451</v>
      </c>
      <c r="U371">
        <f t="shared" ca="1" si="140"/>
        <v>3803.7187713154926</v>
      </c>
      <c r="V371">
        <f t="shared" ca="1" si="141"/>
        <v>171847.83976612196</v>
      </c>
      <c r="W371">
        <f t="shared" ca="1" si="142"/>
        <v>95326.147624847261</v>
      </c>
      <c r="Z371" s="4">
        <f t="shared" ca="1" si="135"/>
        <v>1</v>
      </c>
      <c r="AA371">
        <f t="shared" ca="1" si="136"/>
        <v>0</v>
      </c>
      <c r="AC371" s="5"/>
      <c r="AX371" s="10">
        <f ca="1">Table1[[#This Row],[Car Value]]/Table1[[#This Row],[No. of Vehicles]]</f>
        <v>2880.0604974032281</v>
      </c>
      <c r="AZ371">
        <f ca="1">IF(Table1[[#This Row],[Debts]]&gt;$BA$3,1,0)</f>
        <v>1</v>
      </c>
      <c r="BC371" s="12">
        <f ca="1">Table1[[#This Row],[Mortage left]]/Table1[[#This Row],[Value of The House]]</f>
        <v>0.35526723049122411</v>
      </c>
      <c r="BD371" s="4">
        <f t="shared" ca="1" si="137"/>
        <v>0</v>
      </c>
      <c r="BE371" s="5"/>
    </row>
    <row r="372" spans="4:57" x14ac:dyDescent="0.3">
      <c r="D372">
        <f t="shared" ca="1" si="121"/>
        <v>2</v>
      </c>
      <c r="E372" t="str">
        <f t="shared" ca="1" si="122"/>
        <v>Female</v>
      </c>
      <c r="F372">
        <f t="shared" ca="1" si="123"/>
        <v>43</v>
      </c>
      <c r="G372">
        <f t="shared" ca="1" si="124"/>
        <v>3</v>
      </c>
      <c r="H372" t="str">
        <f t="shared" ca="1" si="125"/>
        <v>Teaching</v>
      </c>
      <c r="I372">
        <f t="shared" ca="1" si="126"/>
        <v>2</v>
      </c>
      <c r="J372" t="str">
        <f t="shared" ca="1" si="127"/>
        <v>College</v>
      </c>
      <c r="K372">
        <f t="shared" ca="1" si="128"/>
        <v>4</v>
      </c>
      <c r="L372">
        <f t="shared" ca="1" si="129"/>
        <v>2</v>
      </c>
      <c r="M372">
        <f t="shared" ca="1" si="130"/>
        <v>41604</v>
      </c>
      <c r="N372">
        <f t="shared" ca="1" si="131"/>
        <v>5</v>
      </c>
      <c r="O372" t="str">
        <f t="shared" ca="1" si="132"/>
        <v>Nunavut</v>
      </c>
      <c r="P372">
        <f t="shared" ca="1" si="138"/>
        <v>208020</v>
      </c>
      <c r="Q372">
        <f t="shared" ca="1" si="133"/>
        <v>152982.95343001318</v>
      </c>
      <c r="R372">
        <f t="shared" ca="1" si="120"/>
        <v>45943.693281336738</v>
      </c>
      <c r="S372">
        <f t="shared" ca="1" si="134"/>
        <v>42789</v>
      </c>
      <c r="T372">
        <f t="shared" ca="1" si="139"/>
        <v>60799.685382927804</v>
      </c>
      <c r="U372">
        <f t="shared" ca="1" si="140"/>
        <v>6629.3189643971682</v>
      </c>
      <c r="V372">
        <f t="shared" ca="1" si="141"/>
        <v>260593.0122457339</v>
      </c>
      <c r="W372">
        <f t="shared" ca="1" si="142"/>
        <v>256571.63881294098</v>
      </c>
      <c r="Z372" s="4">
        <f t="shared" ca="1" si="135"/>
        <v>0</v>
      </c>
      <c r="AA372">
        <f t="shared" ca="1" si="136"/>
        <v>1</v>
      </c>
      <c r="AC372" s="5"/>
      <c r="AX372" s="10">
        <f ca="1">Table1[[#This Row],[Car Value]]/Table1[[#This Row],[No. of Vehicles]]</f>
        <v>22971.846640668369</v>
      </c>
      <c r="AZ372">
        <f ca="1">IF(Table1[[#This Row],[Debts]]&gt;$BA$3,1,0)</f>
        <v>1</v>
      </c>
      <c r="BC372" s="12">
        <f ca="1">Table1[[#This Row],[Mortage left]]/Table1[[#This Row],[Value of The House]]</f>
        <v>0.73542425454289573</v>
      </c>
      <c r="BD372" s="4">
        <f t="shared" ca="1" si="137"/>
        <v>0</v>
      </c>
      <c r="BE372" s="5"/>
    </row>
    <row r="373" spans="4:57" x14ac:dyDescent="0.3">
      <c r="D373">
        <f t="shared" ca="1" si="121"/>
        <v>2</v>
      </c>
      <c r="E373" t="str">
        <f t="shared" ca="1" si="122"/>
        <v>Female</v>
      </c>
      <c r="F373">
        <f t="shared" ca="1" si="123"/>
        <v>32</v>
      </c>
      <c r="G373">
        <f t="shared" ca="1" si="124"/>
        <v>2</v>
      </c>
      <c r="H373" t="str">
        <f t="shared" ca="1" si="125"/>
        <v>Construction</v>
      </c>
      <c r="I373">
        <f t="shared" ca="1" si="126"/>
        <v>5</v>
      </c>
      <c r="J373" t="str">
        <f t="shared" ca="1" si="127"/>
        <v>Other</v>
      </c>
      <c r="K373">
        <f t="shared" ca="1" si="128"/>
        <v>1</v>
      </c>
      <c r="L373">
        <f t="shared" ca="1" si="129"/>
        <v>1</v>
      </c>
      <c r="M373">
        <f t="shared" ca="1" si="130"/>
        <v>38458</v>
      </c>
      <c r="N373">
        <f t="shared" ca="1" si="131"/>
        <v>5</v>
      </c>
      <c r="O373" t="str">
        <f t="shared" ca="1" si="132"/>
        <v>Nunavut</v>
      </c>
      <c r="P373">
        <f t="shared" ca="1" si="138"/>
        <v>192290</v>
      </c>
      <c r="Q373">
        <f t="shared" ca="1" si="133"/>
        <v>133268.41556305738</v>
      </c>
      <c r="R373">
        <f t="shared" ca="1" si="120"/>
        <v>18280.440776780681</v>
      </c>
      <c r="S373">
        <f t="shared" ca="1" si="134"/>
        <v>12224</v>
      </c>
      <c r="T373">
        <f t="shared" ca="1" si="139"/>
        <v>33385.810572590868</v>
      </c>
      <c r="U373">
        <f t="shared" ca="1" si="140"/>
        <v>53276.805694159375</v>
      </c>
      <c r="V373">
        <f t="shared" ca="1" si="141"/>
        <v>263847.24647094007</v>
      </c>
      <c r="W373">
        <f t="shared" ca="1" si="142"/>
        <v>178878.22613564826</v>
      </c>
      <c r="Z373" s="4">
        <f t="shared" ca="1" si="135"/>
        <v>0</v>
      </c>
      <c r="AA373">
        <f t="shared" ca="1" si="136"/>
        <v>1</v>
      </c>
      <c r="AC373" s="5"/>
      <c r="AX373" s="10">
        <f ca="1">Table1[[#This Row],[Car Value]]/Table1[[#This Row],[No. of Vehicles]]</f>
        <v>18280.440776780681</v>
      </c>
      <c r="AZ373">
        <f ca="1">IF(Table1[[#This Row],[Debts]]&gt;$BA$3,1,0)</f>
        <v>1</v>
      </c>
      <c r="BC373" s="12">
        <f ca="1">Table1[[#This Row],[Mortage left]]/Table1[[#This Row],[Value of The House]]</f>
        <v>0.69305952240395952</v>
      </c>
      <c r="BD373" s="4">
        <f t="shared" ca="1" si="137"/>
        <v>0</v>
      </c>
      <c r="BE373" s="5"/>
    </row>
    <row r="374" spans="4:57" x14ac:dyDescent="0.3">
      <c r="D374">
        <f t="shared" ca="1" si="121"/>
        <v>2</v>
      </c>
      <c r="E374" t="str">
        <f t="shared" ca="1" si="122"/>
        <v>Female</v>
      </c>
      <c r="F374">
        <f t="shared" ca="1" si="123"/>
        <v>27</v>
      </c>
      <c r="G374">
        <f t="shared" ca="1" si="124"/>
        <v>5</v>
      </c>
      <c r="H374" t="str">
        <f t="shared" ca="1" si="125"/>
        <v>Agriculture</v>
      </c>
      <c r="I374">
        <f t="shared" ca="1" si="126"/>
        <v>2</v>
      </c>
      <c r="J374" t="str">
        <f t="shared" ca="1" si="127"/>
        <v>College</v>
      </c>
      <c r="K374">
        <f t="shared" ca="1" si="128"/>
        <v>2</v>
      </c>
      <c r="L374">
        <f t="shared" ca="1" si="129"/>
        <v>1</v>
      </c>
      <c r="M374">
        <f t="shared" ca="1" si="130"/>
        <v>45499</v>
      </c>
      <c r="N374">
        <f t="shared" ca="1" si="131"/>
        <v>11</v>
      </c>
      <c r="O374" t="str">
        <f t="shared" ca="1" si="132"/>
        <v>New bruncwick</v>
      </c>
      <c r="P374">
        <f t="shared" ca="1" si="138"/>
        <v>181996</v>
      </c>
      <c r="Q374">
        <f t="shared" ca="1" si="133"/>
        <v>139169.56170474354</v>
      </c>
      <c r="R374">
        <f t="shared" ca="1" si="120"/>
        <v>34500.008257374451</v>
      </c>
      <c r="S374">
        <f t="shared" ca="1" si="134"/>
        <v>26774</v>
      </c>
      <c r="T374">
        <f t="shared" ca="1" si="139"/>
        <v>51501.576976367265</v>
      </c>
      <c r="U374">
        <f t="shared" ca="1" si="140"/>
        <v>65788.063265242177</v>
      </c>
      <c r="V374">
        <f t="shared" ca="1" si="141"/>
        <v>282284.07152261666</v>
      </c>
      <c r="W374">
        <f t="shared" ca="1" si="142"/>
        <v>217445.13868111081</v>
      </c>
      <c r="Z374" s="4">
        <f t="shared" ca="1" si="135"/>
        <v>0</v>
      </c>
      <c r="AA374">
        <f t="shared" ca="1" si="136"/>
        <v>1</v>
      </c>
      <c r="AC374" s="5"/>
      <c r="AX374" s="10">
        <f ca="1">Table1[[#This Row],[Car Value]]/Table1[[#This Row],[No. of Vehicles]]</f>
        <v>34500.008257374451</v>
      </c>
      <c r="AZ374">
        <f ca="1">IF(Table1[[#This Row],[Debts]]&gt;$BA$3,1,0)</f>
        <v>1</v>
      </c>
      <c r="BC374" s="12">
        <f ca="1">Table1[[#This Row],[Mortage left]]/Table1[[#This Row],[Value of The House]]</f>
        <v>0.76468472771238671</v>
      </c>
      <c r="BD374" s="4">
        <f t="shared" ca="1" si="137"/>
        <v>0</v>
      </c>
      <c r="BE374" s="5"/>
    </row>
    <row r="375" spans="4:57" x14ac:dyDescent="0.3">
      <c r="D375">
        <f t="shared" ca="1" si="121"/>
        <v>1</v>
      </c>
      <c r="E375" t="str">
        <f t="shared" ca="1" si="122"/>
        <v>Male</v>
      </c>
      <c r="F375">
        <f t="shared" ca="1" si="123"/>
        <v>44</v>
      </c>
      <c r="G375">
        <f t="shared" ca="1" si="124"/>
        <v>3</v>
      </c>
      <c r="H375" t="str">
        <f t="shared" ca="1" si="125"/>
        <v>Teaching</v>
      </c>
      <c r="I375">
        <f t="shared" ca="1" si="126"/>
        <v>4</v>
      </c>
      <c r="J375" t="str">
        <f t="shared" ca="1" si="127"/>
        <v>Technical</v>
      </c>
      <c r="K375">
        <f t="shared" ca="1" si="128"/>
        <v>0</v>
      </c>
      <c r="L375">
        <f t="shared" ca="1" si="129"/>
        <v>1</v>
      </c>
      <c r="M375">
        <f t="shared" ca="1" si="130"/>
        <v>75751</v>
      </c>
      <c r="N375">
        <f t="shared" ca="1" si="131"/>
        <v>12</v>
      </c>
      <c r="O375" t="str">
        <f t="shared" ca="1" si="132"/>
        <v>Nova scotia</v>
      </c>
      <c r="P375">
        <f t="shared" ca="1" si="138"/>
        <v>303004</v>
      </c>
      <c r="Q375">
        <f t="shared" ca="1" si="133"/>
        <v>29531.883513134257</v>
      </c>
      <c r="R375">
        <f t="shared" ca="1" si="120"/>
        <v>34379.475181890826</v>
      </c>
      <c r="S375">
        <f t="shared" ca="1" si="134"/>
        <v>4662</v>
      </c>
      <c r="T375">
        <f t="shared" ca="1" si="139"/>
        <v>109213.93848490278</v>
      </c>
      <c r="U375">
        <f t="shared" ca="1" si="140"/>
        <v>2190.4656969253529</v>
      </c>
      <c r="V375">
        <f t="shared" ca="1" si="141"/>
        <v>339573.94087881618</v>
      </c>
      <c r="W375">
        <f t="shared" ca="1" si="142"/>
        <v>143407.82199803705</v>
      </c>
      <c r="Z375" s="4">
        <f t="shared" ca="1" si="135"/>
        <v>1</v>
      </c>
      <c r="AA375">
        <f t="shared" ca="1" si="136"/>
        <v>0</v>
      </c>
      <c r="AC375" s="5"/>
      <c r="AX375" s="10">
        <f ca="1">Table1[[#This Row],[Car Value]]/Table1[[#This Row],[No. of Vehicles]]</f>
        <v>34379.475181890826</v>
      </c>
      <c r="AZ375">
        <f ca="1">IF(Table1[[#This Row],[Debts]]&gt;$BA$3,1,0)</f>
        <v>1</v>
      </c>
      <c r="BC375" s="12">
        <f ca="1">Table1[[#This Row],[Mortage left]]/Table1[[#This Row],[Value of The House]]</f>
        <v>9.7463675440371267E-2</v>
      </c>
      <c r="BD375" s="4">
        <f t="shared" ca="1" si="137"/>
        <v>1</v>
      </c>
      <c r="BE375" s="5"/>
    </row>
    <row r="376" spans="4:57" x14ac:dyDescent="0.3">
      <c r="D376">
        <f t="shared" ca="1" si="121"/>
        <v>2</v>
      </c>
      <c r="E376" t="str">
        <f t="shared" ca="1" si="122"/>
        <v>Female</v>
      </c>
      <c r="F376">
        <f t="shared" ca="1" si="123"/>
        <v>44</v>
      </c>
      <c r="G376">
        <f t="shared" ca="1" si="124"/>
        <v>6</v>
      </c>
      <c r="H376" t="str">
        <f t="shared" ca="1" si="125"/>
        <v>General Work</v>
      </c>
      <c r="I376">
        <f t="shared" ca="1" si="126"/>
        <v>3</v>
      </c>
      <c r="J376" t="str">
        <f t="shared" ca="1" si="127"/>
        <v>University</v>
      </c>
      <c r="K376">
        <f t="shared" ca="1" si="128"/>
        <v>1</v>
      </c>
      <c r="L376">
        <f t="shared" ca="1" si="129"/>
        <v>2</v>
      </c>
      <c r="M376">
        <f t="shared" ca="1" si="130"/>
        <v>86921</v>
      </c>
      <c r="N376">
        <f t="shared" ca="1" si="131"/>
        <v>11</v>
      </c>
      <c r="O376" t="str">
        <f t="shared" ca="1" si="132"/>
        <v>New bruncwick</v>
      </c>
      <c r="P376">
        <f t="shared" ca="1" si="138"/>
        <v>434605</v>
      </c>
      <c r="Q376">
        <f t="shared" ca="1" si="133"/>
        <v>165137.7141808325</v>
      </c>
      <c r="R376">
        <f t="shared" ca="1" si="120"/>
        <v>116248.96022341095</v>
      </c>
      <c r="S376">
        <f t="shared" ca="1" si="134"/>
        <v>101985</v>
      </c>
      <c r="T376">
        <f t="shared" ca="1" si="139"/>
        <v>10803.479175336974</v>
      </c>
      <c r="U376">
        <f t="shared" ca="1" si="140"/>
        <v>13527.486141172318</v>
      </c>
      <c r="V376">
        <f t="shared" ca="1" si="141"/>
        <v>564381.44636458333</v>
      </c>
      <c r="W376">
        <f t="shared" ca="1" si="142"/>
        <v>277926.19335616945</v>
      </c>
      <c r="Z376" s="4">
        <f t="shared" ca="1" si="135"/>
        <v>0</v>
      </c>
      <c r="AA376">
        <f t="shared" ca="1" si="136"/>
        <v>1</v>
      </c>
      <c r="AC376" s="5"/>
      <c r="AX376" s="10">
        <f ca="1">Table1[[#This Row],[Car Value]]/Table1[[#This Row],[No. of Vehicles]]</f>
        <v>58124.480111705474</v>
      </c>
      <c r="AZ376">
        <f ca="1">IF(Table1[[#This Row],[Debts]]&gt;$BA$3,1,0)</f>
        <v>0</v>
      </c>
      <c r="BC376" s="12">
        <f ca="1">Table1[[#This Row],[Mortage left]]/Table1[[#This Row],[Value of The House]]</f>
        <v>0.37997196116204945</v>
      </c>
      <c r="BD376" s="4">
        <f t="shared" ca="1" si="137"/>
        <v>0</v>
      </c>
      <c r="BE376" s="5"/>
    </row>
    <row r="377" spans="4:57" x14ac:dyDescent="0.3">
      <c r="D377">
        <f t="shared" ca="1" si="121"/>
        <v>2</v>
      </c>
      <c r="E377" t="str">
        <f t="shared" ca="1" si="122"/>
        <v>Female</v>
      </c>
      <c r="F377">
        <f t="shared" ca="1" si="123"/>
        <v>35</v>
      </c>
      <c r="G377">
        <f t="shared" ca="1" si="124"/>
        <v>6</v>
      </c>
      <c r="H377" t="str">
        <f t="shared" ca="1" si="125"/>
        <v>General Work</v>
      </c>
      <c r="I377">
        <f t="shared" ca="1" si="126"/>
        <v>1</v>
      </c>
      <c r="J377" t="str">
        <f t="shared" ca="1" si="127"/>
        <v>High School</v>
      </c>
      <c r="K377">
        <f t="shared" ca="1" si="128"/>
        <v>0</v>
      </c>
      <c r="L377">
        <f t="shared" ca="1" si="129"/>
        <v>1</v>
      </c>
      <c r="M377">
        <f t="shared" ca="1" si="130"/>
        <v>59314</v>
      </c>
      <c r="N377">
        <f t="shared" ca="1" si="131"/>
        <v>2</v>
      </c>
      <c r="O377" t="str">
        <f t="shared" ca="1" si="132"/>
        <v>BC</v>
      </c>
      <c r="P377">
        <f t="shared" ca="1" si="138"/>
        <v>355884</v>
      </c>
      <c r="Q377">
        <f t="shared" ca="1" si="133"/>
        <v>171255.6902851937</v>
      </c>
      <c r="R377">
        <f t="shared" ca="1" si="120"/>
        <v>49167.15676002168</v>
      </c>
      <c r="S377">
        <f t="shared" ca="1" si="134"/>
        <v>7688</v>
      </c>
      <c r="T377">
        <f t="shared" ca="1" si="139"/>
        <v>17774.721059380761</v>
      </c>
      <c r="U377">
        <f t="shared" ca="1" si="140"/>
        <v>78493.439004371496</v>
      </c>
      <c r="V377">
        <f t="shared" ca="1" si="141"/>
        <v>483544.59576439322</v>
      </c>
      <c r="W377">
        <f t="shared" ca="1" si="142"/>
        <v>196718.41134457447</v>
      </c>
      <c r="Z377" s="4">
        <f t="shared" ca="1" si="135"/>
        <v>0</v>
      </c>
      <c r="AA377">
        <f t="shared" ca="1" si="136"/>
        <v>1</v>
      </c>
      <c r="AC377" s="5"/>
      <c r="AX377" s="10">
        <f ca="1">Table1[[#This Row],[Car Value]]/Table1[[#This Row],[No. of Vehicles]]</f>
        <v>49167.15676002168</v>
      </c>
      <c r="AZ377">
        <f ca="1">IF(Table1[[#This Row],[Debts]]&gt;$BA$3,1,0)</f>
        <v>0</v>
      </c>
      <c r="BC377" s="12">
        <f ca="1">Table1[[#This Row],[Mortage left]]/Table1[[#This Row],[Value of The House]]</f>
        <v>0.48121210924119573</v>
      </c>
      <c r="BD377" s="4">
        <f t="shared" ca="1" si="137"/>
        <v>0</v>
      </c>
      <c r="BE377" s="5"/>
    </row>
    <row r="378" spans="4:57" x14ac:dyDescent="0.3">
      <c r="D378">
        <f t="shared" ca="1" si="121"/>
        <v>1</v>
      </c>
      <c r="E378" t="str">
        <f t="shared" ca="1" si="122"/>
        <v>Male</v>
      </c>
      <c r="F378">
        <f t="shared" ca="1" si="123"/>
        <v>36</v>
      </c>
      <c r="G378">
        <f t="shared" ca="1" si="124"/>
        <v>5</v>
      </c>
      <c r="H378" t="str">
        <f t="shared" ca="1" si="125"/>
        <v>Agriculture</v>
      </c>
      <c r="I378">
        <f t="shared" ca="1" si="126"/>
        <v>5</v>
      </c>
      <c r="J378" t="str">
        <f t="shared" ca="1" si="127"/>
        <v>Other</v>
      </c>
      <c r="K378">
        <f t="shared" ca="1" si="128"/>
        <v>0</v>
      </c>
      <c r="L378">
        <f t="shared" ca="1" si="129"/>
        <v>2</v>
      </c>
      <c r="M378">
        <f t="shared" ca="1" si="130"/>
        <v>30661</v>
      </c>
      <c r="N378">
        <f t="shared" ca="1" si="131"/>
        <v>8</v>
      </c>
      <c r="O378" t="str">
        <f t="shared" ca="1" si="132"/>
        <v>Ontario</v>
      </c>
      <c r="P378">
        <f t="shared" ca="1" si="138"/>
        <v>183966</v>
      </c>
      <c r="Q378">
        <f t="shared" ca="1" si="133"/>
        <v>166534.84974549888</v>
      </c>
      <c r="R378">
        <f t="shared" ca="1" si="120"/>
        <v>2790.7178457319856</v>
      </c>
      <c r="S378">
        <f t="shared" ca="1" si="134"/>
        <v>2616</v>
      </c>
      <c r="T378">
        <f t="shared" ca="1" si="139"/>
        <v>28233.742396997888</v>
      </c>
      <c r="U378">
        <f t="shared" ca="1" si="140"/>
        <v>3109.7790745283969</v>
      </c>
      <c r="V378">
        <f t="shared" ca="1" si="141"/>
        <v>189866.4969202604</v>
      </c>
      <c r="W378">
        <f t="shared" ca="1" si="142"/>
        <v>197384.59214249678</v>
      </c>
      <c r="Z378" s="4">
        <f t="shared" ca="1" si="135"/>
        <v>1</v>
      </c>
      <c r="AA378">
        <f t="shared" ca="1" si="136"/>
        <v>0</v>
      </c>
      <c r="AC378" s="5"/>
      <c r="AX378" s="10">
        <f ca="1">Table1[[#This Row],[Car Value]]/Table1[[#This Row],[No. of Vehicles]]</f>
        <v>1395.3589228659928</v>
      </c>
      <c r="AZ378">
        <f ca="1">IF(Table1[[#This Row],[Debts]]&gt;$BA$3,1,0)</f>
        <v>1</v>
      </c>
      <c r="BC378" s="12">
        <f ca="1">Table1[[#This Row],[Mortage left]]/Table1[[#This Row],[Value of The House]]</f>
        <v>0.90524797922169797</v>
      </c>
      <c r="BD378" s="4">
        <f t="shared" ca="1" si="137"/>
        <v>0</v>
      </c>
      <c r="BE378" s="5"/>
    </row>
    <row r="379" spans="4:57" x14ac:dyDescent="0.3">
      <c r="D379">
        <f t="shared" ca="1" si="121"/>
        <v>2</v>
      </c>
      <c r="E379" t="str">
        <f t="shared" ca="1" si="122"/>
        <v>Female</v>
      </c>
      <c r="F379">
        <f t="shared" ca="1" si="123"/>
        <v>25</v>
      </c>
      <c r="G379">
        <f t="shared" ca="1" si="124"/>
        <v>4</v>
      </c>
      <c r="H379" t="str">
        <f t="shared" ca="1" si="125"/>
        <v>IT</v>
      </c>
      <c r="I379">
        <f t="shared" ca="1" si="126"/>
        <v>2</v>
      </c>
      <c r="J379" t="str">
        <f t="shared" ca="1" si="127"/>
        <v>College</v>
      </c>
      <c r="K379">
        <f t="shared" ca="1" si="128"/>
        <v>0</v>
      </c>
      <c r="L379">
        <f t="shared" ca="1" si="129"/>
        <v>1</v>
      </c>
      <c r="M379">
        <f t="shared" ca="1" si="130"/>
        <v>66844</v>
      </c>
      <c r="N379">
        <f t="shared" ca="1" si="131"/>
        <v>3</v>
      </c>
      <c r="O379" t="str">
        <f t="shared" ca="1" si="132"/>
        <v>Northwest Ter</v>
      </c>
      <c r="P379">
        <f t="shared" ca="1" si="138"/>
        <v>401064</v>
      </c>
      <c r="Q379">
        <f t="shared" ca="1" si="133"/>
        <v>151663.71693487628</v>
      </c>
      <c r="R379">
        <f t="shared" ca="1" si="120"/>
        <v>2764.8888390864422</v>
      </c>
      <c r="S379">
        <f t="shared" ca="1" si="134"/>
        <v>2527</v>
      </c>
      <c r="T379">
        <f t="shared" ca="1" si="139"/>
        <v>130499.46638342076</v>
      </c>
      <c r="U379">
        <f t="shared" ca="1" si="140"/>
        <v>57953.04084057943</v>
      </c>
      <c r="V379">
        <f t="shared" ca="1" si="141"/>
        <v>461781.92967966589</v>
      </c>
      <c r="W379">
        <f t="shared" ca="1" si="142"/>
        <v>284690.18331829703</v>
      </c>
      <c r="Z379" s="4">
        <f t="shared" ca="1" si="135"/>
        <v>0</v>
      </c>
      <c r="AA379">
        <f t="shared" ca="1" si="136"/>
        <v>1</v>
      </c>
      <c r="AC379" s="5"/>
      <c r="AX379" s="10">
        <f ca="1">Table1[[#This Row],[Car Value]]/Table1[[#This Row],[No. of Vehicles]]</f>
        <v>2764.8888390864422</v>
      </c>
      <c r="AZ379">
        <f ca="1">IF(Table1[[#This Row],[Debts]]&gt;$BA$3,1,0)</f>
        <v>1</v>
      </c>
      <c r="BC379" s="12">
        <f ca="1">Table1[[#This Row],[Mortage left]]/Table1[[#This Row],[Value of The House]]</f>
        <v>0.37815340428180111</v>
      </c>
      <c r="BD379" s="4">
        <f t="shared" ca="1" si="137"/>
        <v>0</v>
      </c>
      <c r="BE379" s="5"/>
    </row>
    <row r="380" spans="4:57" x14ac:dyDescent="0.3">
      <c r="D380">
        <f t="shared" ca="1" si="121"/>
        <v>1</v>
      </c>
      <c r="E380" t="str">
        <f t="shared" ca="1" si="122"/>
        <v>Male</v>
      </c>
      <c r="F380">
        <f t="shared" ca="1" si="123"/>
        <v>28</v>
      </c>
      <c r="G380">
        <f t="shared" ca="1" si="124"/>
        <v>1</v>
      </c>
      <c r="H380" t="str">
        <f t="shared" ca="1" si="125"/>
        <v>Health</v>
      </c>
      <c r="I380">
        <f t="shared" ca="1" si="126"/>
        <v>3</v>
      </c>
      <c r="J380" t="str">
        <f t="shared" ca="1" si="127"/>
        <v>University</v>
      </c>
      <c r="K380">
        <f t="shared" ca="1" si="128"/>
        <v>3</v>
      </c>
      <c r="L380">
        <f t="shared" ca="1" si="129"/>
        <v>2</v>
      </c>
      <c r="M380">
        <f t="shared" ca="1" si="130"/>
        <v>42744</v>
      </c>
      <c r="N380">
        <f t="shared" ca="1" si="131"/>
        <v>9</v>
      </c>
      <c r="O380" t="str">
        <f t="shared" ca="1" si="132"/>
        <v>Quebec</v>
      </c>
      <c r="P380">
        <f t="shared" ca="1" si="138"/>
        <v>213720</v>
      </c>
      <c r="Q380">
        <f t="shared" ca="1" si="133"/>
        <v>80825.437507491588</v>
      </c>
      <c r="R380">
        <f t="shared" ca="1" si="120"/>
        <v>51759.067836746915</v>
      </c>
      <c r="S380">
        <f t="shared" ca="1" si="134"/>
        <v>45291</v>
      </c>
      <c r="T380">
        <f t="shared" ca="1" si="139"/>
        <v>30736.105204396699</v>
      </c>
      <c r="U380">
        <f t="shared" ca="1" si="140"/>
        <v>28810.243056574793</v>
      </c>
      <c r="V380">
        <f t="shared" ca="1" si="141"/>
        <v>294289.3108933217</v>
      </c>
      <c r="W380">
        <f t="shared" ca="1" si="142"/>
        <v>156852.54271188829</v>
      </c>
      <c r="Z380" s="4">
        <f t="shared" ca="1" si="135"/>
        <v>1</v>
      </c>
      <c r="AA380">
        <f t="shared" ca="1" si="136"/>
        <v>0</v>
      </c>
      <c r="AC380" s="5"/>
      <c r="AX380" s="10">
        <f ca="1">Table1[[#This Row],[Car Value]]/Table1[[#This Row],[No. of Vehicles]]</f>
        <v>25879.533918373458</v>
      </c>
      <c r="AZ380">
        <f ca="1">IF(Table1[[#This Row],[Debts]]&gt;$BA$3,1,0)</f>
        <v>1</v>
      </c>
      <c r="BC380" s="12">
        <f ca="1">Table1[[#This Row],[Mortage left]]/Table1[[#This Row],[Value of The House]]</f>
        <v>0.37818378021472765</v>
      </c>
      <c r="BD380" s="4">
        <f t="shared" ca="1" si="137"/>
        <v>0</v>
      </c>
      <c r="BE380" s="5"/>
    </row>
    <row r="381" spans="4:57" x14ac:dyDescent="0.3">
      <c r="D381">
        <f t="shared" ca="1" si="121"/>
        <v>1</v>
      </c>
      <c r="E381" t="str">
        <f t="shared" ca="1" si="122"/>
        <v>Male</v>
      </c>
      <c r="F381">
        <f t="shared" ca="1" si="123"/>
        <v>43</v>
      </c>
      <c r="G381">
        <f t="shared" ca="1" si="124"/>
        <v>5</v>
      </c>
      <c r="H381" t="str">
        <f t="shared" ca="1" si="125"/>
        <v>Agriculture</v>
      </c>
      <c r="I381">
        <f t="shared" ca="1" si="126"/>
        <v>1</v>
      </c>
      <c r="J381" t="str">
        <f t="shared" ca="1" si="127"/>
        <v>High School</v>
      </c>
      <c r="K381">
        <f t="shared" ca="1" si="128"/>
        <v>0</v>
      </c>
      <c r="L381">
        <f t="shared" ca="1" si="129"/>
        <v>2</v>
      </c>
      <c r="M381">
        <f t="shared" ca="1" si="130"/>
        <v>70975</v>
      </c>
      <c r="N381">
        <f t="shared" ca="1" si="131"/>
        <v>4</v>
      </c>
      <c r="O381" t="str">
        <f t="shared" ca="1" si="132"/>
        <v>Alberta</v>
      </c>
      <c r="P381">
        <f t="shared" ca="1" si="138"/>
        <v>425850</v>
      </c>
      <c r="Q381">
        <f t="shared" ca="1" si="133"/>
        <v>69492.627391387839</v>
      </c>
      <c r="R381">
        <f t="shared" ca="1" si="120"/>
        <v>89561.22299341191</v>
      </c>
      <c r="S381">
        <f t="shared" ca="1" si="134"/>
        <v>75678</v>
      </c>
      <c r="T381">
        <f t="shared" ca="1" si="139"/>
        <v>68213.884447238277</v>
      </c>
      <c r="U381">
        <f t="shared" ca="1" si="140"/>
        <v>97135.719807826317</v>
      </c>
      <c r="V381">
        <f t="shared" ca="1" si="141"/>
        <v>612546.94280123827</v>
      </c>
      <c r="W381">
        <f t="shared" ca="1" si="142"/>
        <v>213384.51183862612</v>
      </c>
      <c r="Z381" s="4">
        <f t="shared" ca="1" si="135"/>
        <v>1</v>
      </c>
      <c r="AA381">
        <f t="shared" ca="1" si="136"/>
        <v>0</v>
      </c>
      <c r="AC381" s="5"/>
      <c r="AX381" s="10">
        <f ca="1">Table1[[#This Row],[Car Value]]/Table1[[#This Row],[No. of Vehicles]]</f>
        <v>44780.611496705955</v>
      </c>
      <c r="AZ381">
        <f ca="1">IF(Table1[[#This Row],[Debts]]&gt;$BA$3,1,0)</f>
        <v>1</v>
      </c>
      <c r="BC381" s="12">
        <f ca="1">Table1[[#This Row],[Mortage left]]/Table1[[#This Row],[Value of The House]]</f>
        <v>0.16318569306419595</v>
      </c>
      <c r="BD381" s="4">
        <f t="shared" ca="1" si="137"/>
        <v>1</v>
      </c>
      <c r="BE381" s="5"/>
    </row>
    <row r="382" spans="4:57" x14ac:dyDescent="0.3">
      <c r="D382">
        <f t="shared" ca="1" si="121"/>
        <v>2</v>
      </c>
      <c r="E382" t="str">
        <f t="shared" ca="1" si="122"/>
        <v>Female</v>
      </c>
      <c r="F382">
        <f t="shared" ca="1" si="123"/>
        <v>28</v>
      </c>
      <c r="G382">
        <f t="shared" ca="1" si="124"/>
        <v>1</v>
      </c>
      <c r="H382" t="str">
        <f t="shared" ca="1" si="125"/>
        <v>Health</v>
      </c>
      <c r="I382">
        <f t="shared" ca="1" si="126"/>
        <v>2</v>
      </c>
      <c r="J382" t="str">
        <f t="shared" ca="1" si="127"/>
        <v>College</v>
      </c>
      <c r="K382">
        <f t="shared" ca="1" si="128"/>
        <v>3</v>
      </c>
      <c r="L382">
        <f t="shared" ca="1" si="129"/>
        <v>2</v>
      </c>
      <c r="M382">
        <f t="shared" ca="1" si="130"/>
        <v>36947</v>
      </c>
      <c r="N382">
        <f t="shared" ca="1" si="131"/>
        <v>6</v>
      </c>
      <c r="O382" t="str">
        <f t="shared" ca="1" si="132"/>
        <v>Saskatchewan</v>
      </c>
      <c r="P382">
        <f t="shared" ca="1" si="138"/>
        <v>184735</v>
      </c>
      <c r="Q382">
        <f t="shared" ca="1" si="133"/>
        <v>5692.8885976421798</v>
      </c>
      <c r="R382">
        <f t="shared" ca="1" si="120"/>
        <v>8289.2388864921031</v>
      </c>
      <c r="S382">
        <f t="shared" ca="1" si="134"/>
        <v>3684</v>
      </c>
      <c r="T382">
        <f t="shared" ca="1" si="139"/>
        <v>22248.7431222134</v>
      </c>
      <c r="U382">
        <f t="shared" ca="1" si="140"/>
        <v>47404.01406455379</v>
      </c>
      <c r="V382">
        <f t="shared" ca="1" si="141"/>
        <v>240428.25295104587</v>
      </c>
      <c r="W382">
        <f t="shared" ca="1" si="142"/>
        <v>31625.631719855581</v>
      </c>
      <c r="Z382" s="4">
        <f t="shared" ca="1" si="135"/>
        <v>0</v>
      </c>
      <c r="AA382">
        <f t="shared" ca="1" si="136"/>
        <v>1</v>
      </c>
      <c r="AC382" s="5"/>
      <c r="AX382" s="10">
        <f ca="1">Table1[[#This Row],[Car Value]]/Table1[[#This Row],[No. of Vehicles]]</f>
        <v>4144.6194432460516</v>
      </c>
      <c r="AZ382">
        <f ca="1">IF(Table1[[#This Row],[Debts]]&gt;$BA$3,1,0)</f>
        <v>1</v>
      </c>
      <c r="BC382" s="12">
        <f ca="1">Table1[[#This Row],[Mortage left]]/Table1[[#This Row],[Value of The House]]</f>
        <v>3.0816513371273335E-2</v>
      </c>
      <c r="BD382" s="4">
        <f t="shared" ca="1" si="137"/>
        <v>1</v>
      </c>
      <c r="BE382" s="5"/>
    </row>
    <row r="383" spans="4:57" x14ac:dyDescent="0.3">
      <c r="D383">
        <f t="shared" ca="1" si="121"/>
        <v>2</v>
      </c>
      <c r="E383" t="str">
        <f t="shared" ca="1" si="122"/>
        <v>Female</v>
      </c>
      <c r="F383">
        <f t="shared" ca="1" si="123"/>
        <v>29</v>
      </c>
      <c r="G383">
        <f t="shared" ca="1" si="124"/>
        <v>1</v>
      </c>
      <c r="H383" t="str">
        <f t="shared" ca="1" si="125"/>
        <v>Health</v>
      </c>
      <c r="I383">
        <f t="shared" ca="1" si="126"/>
        <v>2</v>
      </c>
      <c r="J383" t="str">
        <f t="shared" ca="1" si="127"/>
        <v>College</v>
      </c>
      <c r="K383">
        <f t="shared" ca="1" si="128"/>
        <v>0</v>
      </c>
      <c r="L383">
        <f t="shared" ca="1" si="129"/>
        <v>2</v>
      </c>
      <c r="M383">
        <f t="shared" ca="1" si="130"/>
        <v>42953</v>
      </c>
      <c r="N383">
        <f t="shared" ca="1" si="131"/>
        <v>4</v>
      </c>
      <c r="O383" t="str">
        <f t="shared" ca="1" si="132"/>
        <v>Alberta</v>
      </c>
      <c r="P383">
        <f t="shared" ca="1" si="138"/>
        <v>171812</v>
      </c>
      <c r="Q383">
        <f t="shared" ca="1" si="133"/>
        <v>170250.23411600478</v>
      </c>
      <c r="R383">
        <f t="shared" ca="1" si="120"/>
        <v>37881.282715439062</v>
      </c>
      <c r="S383">
        <f t="shared" ca="1" si="134"/>
        <v>35205</v>
      </c>
      <c r="T383">
        <f t="shared" ca="1" si="139"/>
        <v>49727.660184340508</v>
      </c>
      <c r="U383">
        <f t="shared" ca="1" si="140"/>
        <v>29192.202721128233</v>
      </c>
      <c r="V383">
        <f t="shared" ca="1" si="141"/>
        <v>238885.48543656731</v>
      </c>
      <c r="W383">
        <f t="shared" ca="1" si="142"/>
        <v>255182.89430034527</v>
      </c>
      <c r="Z383" s="4">
        <f t="shared" ca="1" si="135"/>
        <v>0</v>
      </c>
      <c r="AA383">
        <f t="shared" ca="1" si="136"/>
        <v>1</v>
      </c>
      <c r="AC383" s="5"/>
      <c r="AX383" s="10">
        <f ca="1">Table1[[#This Row],[Car Value]]/Table1[[#This Row],[No. of Vehicles]]</f>
        <v>18940.641357719531</v>
      </c>
      <c r="AZ383">
        <f ca="1">IF(Table1[[#This Row],[Debts]]&gt;$BA$3,1,0)</f>
        <v>1</v>
      </c>
      <c r="BC383" s="12">
        <f ca="1">Table1[[#This Row],[Mortage left]]/Table1[[#This Row],[Value of The House]]</f>
        <v>0.99091003024238578</v>
      </c>
      <c r="BD383" s="4">
        <f t="shared" ca="1" si="137"/>
        <v>0</v>
      </c>
      <c r="BE383" s="5"/>
    </row>
    <row r="384" spans="4:57" x14ac:dyDescent="0.3">
      <c r="D384">
        <f t="shared" ca="1" si="121"/>
        <v>2</v>
      </c>
      <c r="E384" t="str">
        <f t="shared" ca="1" si="122"/>
        <v>Female</v>
      </c>
      <c r="F384">
        <f t="shared" ca="1" si="123"/>
        <v>39</v>
      </c>
      <c r="G384">
        <f t="shared" ca="1" si="124"/>
        <v>6</v>
      </c>
      <c r="H384" t="str">
        <f t="shared" ca="1" si="125"/>
        <v>General Work</v>
      </c>
      <c r="I384">
        <f t="shared" ca="1" si="126"/>
        <v>1</v>
      </c>
      <c r="J384" t="str">
        <f t="shared" ca="1" si="127"/>
        <v>High School</v>
      </c>
      <c r="K384">
        <f t="shared" ca="1" si="128"/>
        <v>0</v>
      </c>
      <c r="L384">
        <f t="shared" ca="1" si="129"/>
        <v>2</v>
      </c>
      <c r="M384">
        <f t="shared" ca="1" si="130"/>
        <v>45544</v>
      </c>
      <c r="N384">
        <f t="shared" ca="1" si="131"/>
        <v>8</v>
      </c>
      <c r="O384" t="str">
        <f t="shared" ca="1" si="132"/>
        <v>Ontario</v>
      </c>
      <c r="P384">
        <f t="shared" ca="1" si="138"/>
        <v>273264</v>
      </c>
      <c r="Q384">
        <f t="shared" ca="1" si="133"/>
        <v>139777.98189410585</v>
      </c>
      <c r="R384">
        <f t="shared" ca="1" si="120"/>
        <v>85043.502651702191</v>
      </c>
      <c r="S384">
        <f t="shared" ca="1" si="134"/>
        <v>17552</v>
      </c>
      <c r="T384">
        <f t="shared" ca="1" si="139"/>
        <v>48954.71817272625</v>
      </c>
      <c r="U384">
        <f t="shared" ca="1" si="140"/>
        <v>24938.468937112579</v>
      </c>
      <c r="V384">
        <f t="shared" ca="1" si="141"/>
        <v>383245.97158881481</v>
      </c>
      <c r="W384">
        <f t="shared" ca="1" si="142"/>
        <v>206284.7000668321</v>
      </c>
      <c r="Z384" s="4">
        <f t="shared" ca="1" si="135"/>
        <v>0</v>
      </c>
      <c r="AA384">
        <f t="shared" ca="1" si="136"/>
        <v>1</v>
      </c>
      <c r="AC384" s="5"/>
      <c r="AX384" s="10">
        <f ca="1">Table1[[#This Row],[Car Value]]/Table1[[#This Row],[No. of Vehicles]]</f>
        <v>42521.751325851095</v>
      </c>
      <c r="AZ384">
        <f ca="1">IF(Table1[[#This Row],[Debts]]&gt;$BA$3,1,0)</f>
        <v>1</v>
      </c>
      <c r="BC384" s="12">
        <f ca="1">Table1[[#This Row],[Mortage left]]/Table1[[#This Row],[Value of The House]]</f>
        <v>0.51151261012832228</v>
      </c>
      <c r="BD384" s="4">
        <f t="shared" ca="1" si="137"/>
        <v>0</v>
      </c>
      <c r="BE384" s="5"/>
    </row>
    <row r="385" spans="4:57" x14ac:dyDescent="0.3">
      <c r="D385">
        <f t="shared" ca="1" si="121"/>
        <v>1</v>
      </c>
      <c r="E385" t="str">
        <f t="shared" ca="1" si="122"/>
        <v>Male</v>
      </c>
      <c r="F385">
        <f t="shared" ca="1" si="123"/>
        <v>30</v>
      </c>
      <c r="G385">
        <f t="shared" ca="1" si="124"/>
        <v>5</v>
      </c>
      <c r="H385" t="str">
        <f t="shared" ca="1" si="125"/>
        <v>Agriculture</v>
      </c>
      <c r="I385">
        <f t="shared" ca="1" si="126"/>
        <v>3</v>
      </c>
      <c r="J385" t="str">
        <f t="shared" ca="1" si="127"/>
        <v>University</v>
      </c>
      <c r="K385">
        <f t="shared" ca="1" si="128"/>
        <v>3</v>
      </c>
      <c r="L385">
        <f t="shared" ca="1" si="129"/>
        <v>2</v>
      </c>
      <c r="M385">
        <f t="shared" ca="1" si="130"/>
        <v>56966</v>
      </c>
      <c r="N385">
        <f t="shared" ca="1" si="131"/>
        <v>10</v>
      </c>
      <c r="O385" t="str">
        <f t="shared" ca="1" si="132"/>
        <v>Newfouland</v>
      </c>
      <c r="P385">
        <f t="shared" ca="1" si="138"/>
        <v>227864</v>
      </c>
      <c r="Q385">
        <f t="shared" ca="1" si="133"/>
        <v>111802.00906396763</v>
      </c>
      <c r="R385">
        <f t="shared" ca="1" si="120"/>
        <v>82558.185790092248</v>
      </c>
      <c r="S385">
        <f t="shared" ca="1" si="134"/>
        <v>33836</v>
      </c>
      <c r="T385">
        <f t="shared" ca="1" si="139"/>
        <v>57736.812499227563</v>
      </c>
      <c r="U385">
        <f t="shared" ca="1" si="140"/>
        <v>23945.033028255792</v>
      </c>
      <c r="V385">
        <f t="shared" ca="1" si="141"/>
        <v>334367.21881834802</v>
      </c>
      <c r="W385">
        <f t="shared" ca="1" si="142"/>
        <v>203374.82156319518</v>
      </c>
      <c r="Z385" s="4">
        <f t="shared" ca="1" si="135"/>
        <v>1</v>
      </c>
      <c r="AA385">
        <f t="shared" ca="1" si="136"/>
        <v>0</v>
      </c>
      <c r="AC385" s="5"/>
      <c r="AX385" s="10">
        <f ca="1">Table1[[#This Row],[Car Value]]/Table1[[#This Row],[No. of Vehicles]]</f>
        <v>41279.092895046124</v>
      </c>
      <c r="AZ385">
        <f ca="1">IF(Table1[[#This Row],[Debts]]&gt;$BA$3,1,0)</f>
        <v>1</v>
      </c>
      <c r="BC385" s="12">
        <f ca="1">Table1[[#This Row],[Mortage left]]/Table1[[#This Row],[Value of The House]]</f>
        <v>0.49065235870505053</v>
      </c>
      <c r="BD385" s="4">
        <f t="shared" ca="1" si="137"/>
        <v>0</v>
      </c>
      <c r="BE385" s="5"/>
    </row>
    <row r="386" spans="4:57" x14ac:dyDescent="0.3">
      <c r="D386">
        <f t="shared" ca="1" si="121"/>
        <v>2</v>
      </c>
      <c r="E386" t="str">
        <f t="shared" ca="1" si="122"/>
        <v>Female</v>
      </c>
      <c r="F386">
        <f t="shared" ca="1" si="123"/>
        <v>28</v>
      </c>
      <c r="G386">
        <f t="shared" ca="1" si="124"/>
        <v>3</v>
      </c>
      <c r="H386" t="str">
        <f t="shared" ca="1" si="125"/>
        <v>Teaching</v>
      </c>
      <c r="I386">
        <f t="shared" ca="1" si="126"/>
        <v>5</v>
      </c>
      <c r="J386" t="str">
        <f t="shared" ca="1" si="127"/>
        <v>Other</v>
      </c>
      <c r="K386">
        <f t="shared" ca="1" si="128"/>
        <v>2</v>
      </c>
      <c r="L386">
        <f t="shared" ca="1" si="129"/>
        <v>1</v>
      </c>
      <c r="M386">
        <f t="shared" ca="1" si="130"/>
        <v>44531</v>
      </c>
      <c r="N386">
        <f t="shared" ca="1" si="131"/>
        <v>11</v>
      </c>
      <c r="O386" t="str">
        <f t="shared" ca="1" si="132"/>
        <v>New bruncwick</v>
      </c>
      <c r="P386">
        <f t="shared" ca="1" si="138"/>
        <v>222655</v>
      </c>
      <c r="Q386">
        <f t="shared" ca="1" si="133"/>
        <v>153436.67013320763</v>
      </c>
      <c r="R386">
        <f t="shared" ca="1" si="120"/>
        <v>26497.528139698035</v>
      </c>
      <c r="S386">
        <f t="shared" ca="1" si="134"/>
        <v>3549</v>
      </c>
      <c r="T386">
        <f t="shared" ca="1" si="139"/>
        <v>61607.680486834499</v>
      </c>
      <c r="U386">
        <f t="shared" ca="1" si="140"/>
        <v>4339.7651470908895</v>
      </c>
      <c r="V386">
        <f t="shared" ca="1" si="141"/>
        <v>253492.29328678892</v>
      </c>
      <c r="W386">
        <f t="shared" ca="1" si="142"/>
        <v>218593.35062004213</v>
      </c>
      <c r="Z386" s="4">
        <f t="shared" ca="1" si="135"/>
        <v>0</v>
      </c>
      <c r="AA386">
        <f t="shared" ca="1" si="136"/>
        <v>1</v>
      </c>
      <c r="AC386" s="5"/>
      <c r="AX386" s="10">
        <f ca="1">Table1[[#This Row],[Car Value]]/Table1[[#This Row],[No. of Vehicles]]</f>
        <v>26497.528139698035</v>
      </c>
      <c r="AZ386">
        <f ca="1">IF(Table1[[#This Row],[Debts]]&gt;$BA$3,1,0)</f>
        <v>1</v>
      </c>
      <c r="BC386" s="12">
        <f ca="1">Table1[[#This Row],[Mortage left]]/Table1[[#This Row],[Value of The House]]</f>
        <v>0.68912294865692503</v>
      </c>
      <c r="BD386" s="4">
        <f t="shared" ca="1" si="137"/>
        <v>0</v>
      </c>
      <c r="BE386" s="5"/>
    </row>
    <row r="387" spans="4:57" x14ac:dyDescent="0.3">
      <c r="D387">
        <f t="shared" ca="1" si="121"/>
        <v>2</v>
      </c>
      <c r="E387" t="str">
        <f t="shared" ca="1" si="122"/>
        <v>Female</v>
      </c>
      <c r="F387">
        <f t="shared" ca="1" si="123"/>
        <v>39</v>
      </c>
      <c r="G387">
        <f t="shared" ca="1" si="124"/>
        <v>6</v>
      </c>
      <c r="H387" t="str">
        <f t="shared" ca="1" si="125"/>
        <v>General Work</v>
      </c>
      <c r="I387">
        <f t="shared" ca="1" si="126"/>
        <v>1</v>
      </c>
      <c r="J387" t="str">
        <f t="shared" ca="1" si="127"/>
        <v>High School</v>
      </c>
      <c r="K387">
        <f t="shared" ca="1" si="128"/>
        <v>2</v>
      </c>
      <c r="L387">
        <f t="shared" ca="1" si="129"/>
        <v>2</v>
      </c>
      <c r="M387">
        <f t="shared" ca="1" si="130"/>
        <v>48061</v>
      </c>
      <c r="N387">
        <f t="shared" ca="1" si="131"/>
        <v>3</v>
      </c>
      <c r="O387" t="str">
        <f t="shared" ca="1" si="132"/>
        <v>Northwest Ter</v>
      </c>
      <c r="P387">
        <f t="shared" ca="1" si="138"/>
        <v>288366</v>
      </c>
      <c r="Q387">
        <f t="shared" ca="1" si="133"/>
        <v>158048.95800548242</v>
      </c>
      <c r="R387">
        <f t="shared" ref="R387:R450" ca="1" si="143">L387*RAND()*M387</f>
        <v>10465.428679702887</v>
      </c>
      <c r="S387">
        <f t="shared" ca="1" si="134"/>
        <v>2912</v>
      </c>
      <c r="T387">
        <f t="shared" ca="1" si="139"/>
        <v>31848.394456583705</v>
      </c>
      <c r="U387">
        <f t="shared" ca="1" si="140"/>
        <v>1174.4285066167545</v>
      </c>
      <c r="V387">
        <f t="shared" ca="1" si="141"/>
        <v>300005.8571863196</v>
      </c>
      <c r="W387">
        <f t="shared" ca="1" si="142"/>
        <v>192809.35246206613</v>
      </c>
      <c r="Z387" s="4">
        <f t="shared" ca="1" si="135"/>
        <v>0</v>
      </c>
      <c r="AA387">
        <f t="shared" ca="1" si="136"/>
        <v>1</v>
      </c>
      <c r="AC387" s="5"/>
      <c r="AX387" s="10">
        <f ca="1">Table1[[#This Row],[Car Value]]/Table1[[#This Row],[No. of Vehicles]]</f>
        <v>5232.7143398514436</v>
      </c>
      <c r="AZ387">
        <f ca="1">IF(Table1[[#This Row],[Debts]]&gt;$BA$3,1,0)</f>
        <v>1</v>
      </c>
      <c r="BC387" s="12">
        <f ca="1">Table1[[#This Row],[Mortage left]]/Table1[[#This Row],[Value of The House]]</f>
        <v>0.54808458003191229</v>
      </c>
      <c r="BD387" s="4">
        <f t="shared" ca="1" si="137"/>
        <v>0</v>
      </c>
      <c r="BE387" s="5"/>
    </row>
    <row r="388" spans="4:57" x14ac:dyDescent="0.3">
      <c r="D388">
        <f t="shared" ref="D388:D451" ca="1" si="144">RANDBETWEEN(1,2)</f>
        <v>2</v>
      </c>
      <c r="E388" t="str">
        <f t="shared" ref="E388:E451" ca="1" si="145">IF(D388=1,"Male","Female")</f>
        <v>Female</v>
      </c>
      <c r="F388">
        <f t="shared" ref="F388:F451" ca="1" si="146">RANDBETWEEN(25,45)</f>
        <v>38</v>
      </c>
      <c r="G388">
        <f t="shared" ref="G388:G451" ca="1" si="147">RANDBETWEEN(1,6)</f>
        <v>6</v>
      </c>
      <c r="H388" t="str">
        <f t="shared" ref="H388:H451" ca="1" si="148">VLOOKUP(G388,$AI$3:$AJ$8,2)</f>
        <v>General Work</v>
      </c>
      <c r="I388">
        <f t="shared" ref="I388:I451" ca="1" si="149">RANDBETWEEN(1,5)</f>
        <v>1</v>
      </c>
      <c r="J388" t="str">
        <f t="shared" ref="J388:J451" ca="1" si="150">+VLOOKUP(I388,$AK$3:$AL$7,2)</f>
        <v>High School</v>
      </c>
      <c r="K388">
        <f t="shared" ref="K388:K451" ca="1" si="151">RANDBETWEEN(0,4)</f>
        <v>4</v>
      </c>
      <c r="L388">
        <f t="shared" ref="L388:L451" ca="1" si="152">RANDBETWEEN(1,2)</f>
        <v>2</v>
      </c>
      <c r="M388">
        <f t="shared" ref="M388:M451" ca="1" si="153">RANDBETWEEN(25000,90000)</f>
        <v>67168</v>
      </c>
      <c r="N388">
        <f t="shared" ref="N388:N451" ca="1" si="154">RANDBETWEEN(1,13)</f>
        <v>11</v>
      </c>
      <c r="O388" t="str">
        <f t="shared" ref="O388:O451" ca="1" si="155">VLOOKUP(N388,$AN$3:$AP$15,2)</f>
        <v>New bruncwick</v>
      </c>
      <c r="P388">
        <f t="shared" ca="1" si="138"/>
        <v>268672</v>
      </c>
      <c r="Q388">
        <f t="shared" ref="Q388:Q451" ca="1" si="156">RAND()*P388</f>
        <v>174656.4180798615</v>
      </c>
      <c r="R388">
        <f t="shared" ca="1" si="143"/>
        <v>62142.274739601766</v>
      </c>
      <c r="S388">
        <f t="shared" ref="S388:S451" ca="1" si="157">RANDBETWEEN(0,R388)</f>
        <v>46719</v>
      </c>
      <c r="T388">
        <f t="shared" ca="1" si="139"/>
        <v>76343.362033777506</v>
      </c>
      <c r="U388">
        <f t="shared" ca="1" si="140"/>
        <v>243.26770437437898</v>
      </c>
      <c r="V388">
        <f t="shared" ca="1" si="141"/>
        <v>331057.54244397616</v>
      </c>
      <c r="W388">
        <f t="shared" ca="1" si="142"/>
        <v>297718.78011363902</v>
      </c>
      <c r="Z388" s="4">
        <f t="shared" ref="Z388:Z451" ca="1" si="158">IF(E388="male",1,0)</f>
        <v>0</v>
      </c>
      <c r="AA388">
        <f t="shared" ref="AA388:AA451" ca="1" si="159">IF(E388="male",0,1)</f>
        <v>1</v>
      </c>
      <c r="AC388" s="5"/>
      <c r="AX388" s="10">
        <f ca="1">Table1[[#This Row],[Car Value]]/Table1[[#This Row],[No. of Vehicles]]</f>
        <v>31071.137369800883</v>
      </c>
      <c r="AZ388">
        <f ca="1">IF(Table1[[#This Row],[Debts]]&gt;$BA$3,1,0)</f>
        <v>1</v>
      </c>
      <c r="BC388" s="12">
        <f ca="1">Table1[[#This Row],[Mortage left]]/Table1[[#This Row],[Value of The House]]</f>
        <v>0.65007301869886513</v>
      </c>
      <c r="BD388" s="4">
        <f t="shared" ref="BD388:BD451" ca="1" si="160">IF(BC388&lt;$BE$2,1,0)</f>
        <v>0</v>
      </c>
      <c r="BE388" s="5"/>
    </row>
    <row r="389" spans="4:57" x14ac:dyDescent="0.3">
      <c r="D389">
        <f t="shared" ca="1" si="144"/>
        <v>2</v>
      </c>
      <c r="E389" t="str">
        <f t="shared" ca="1" si="145"/>
        <v>Female</v>
      </c>
      <c r="F389">
        <f t="shared" ca="1" si="146"/>
        <v>34</v>
      </c>
      <c r="G389">
        <f t="shared" ca="1" si="147"/>
        <v>2</v>
      </c>
      <c r="H389" t="str">
        <f t="shared" ca="1" si="148"/>
        <v>Construction</v>
      </c>
      <c r="I389">
        <f t="shared" ca="1" si="149"/>
        <v>4</v>
      </c>
      <c r="J389" t="str">
        <f t="shared" ca="1" si="150"/>
        <v>Technical</v>
      </c>
      <c r="K389">
        <f t="shared" ca="1" si="151"/>
        <v>0</v>
      </c>
      <c r="L389">
        <f t="shared" ca="1" si="152"/>
        <v>1</v>
      </c>
      <c r="M389">
        <f t="shared" ca="1" si="153"/>
        <v>33161</v>
      </c>
      <c r="N389">
        <f t="shared" ca="1" si="154"/>
        <v>8</v>
      </c>
      <c r="O389" t="str">
        <f t="shared" ca="1" si="155"/>
        <v>Ontario</v>
      </c>
      <c r="P389">
        <f t="shared" ca="1" si="138"/>
        <v>132644</v>
      </c>
      <c r="Q389">
        <f t="shared" ca="1" si="156"/>
        <v>112867.16408739537</v>
      </c>
      <c r="R389">
        <f t="shared" ca="1" si="143"/>
        <v>6947.4511207765454</v>
      </c>
      <c r="S389">
        <f t="shared" ca="1" si="157"/>
        <v>3762</v>
      </c>
      <c r="T389">
        <f t="shared" ca="1" si="139"/>
        <v>62019.884769815741</v>
      </c>
      <c r="U389">
        <f t="shared" ca="1" si="140"/>
        <v>33903.103368695782</v>
      </c>
      <c r="V389">
        <f t="shared" ca="1" si="141"/>
        <v>173494.5544894723</v>
      </c>
      <c r="W389">
        <f t="shared" ca="1" si="142"/>
        <v>178649.04885721111</v>
      </c>
      <c r="Z389" s="4">
        <f t="shared" ca="1" si="158"/>
        <v>0</v>
      </c>
      <c r="AA389">
        <f t="shared" ca="1" si="159"/>
        <v>1</v>
      </c>
      <c r="AC389" s="5"/>
      <c r="AX389" s="10">
        <f ca="1">Table1[[#This Row],[Car Value]]/Table1[[#This Row],[No. of Vehicles]]</f>
        <v>6947.4511207765454</v>
      </c>
      <c r="AZ389">
        <f ca="1">IF(Table1[[#This Row],[Debts]]&gt;$BA$3,1,0)</f>
        <v>1</v>
      </c>
      <c r="BC389" s="12">
        <f ca="1">Table1[[#This Row],[Mortage left]]/Table1[[#This Row],[Value of The House]]</f>
        <v>0.85090289864144153</v>
      </c>
      <c r="BD389" s="4">
        <f t="shared" ca="1" si="160"/>
        <v>0</v>
      </c>
      <c r="BE389" s="5"/>
    </row>
    <row r="390" spans="4:57" x14ac:dyDescent="0.3">
      <c r="D390">
        <f t="shared" ca="1" si="144"/>
        <v>2</v>
      </c>
      <c r="E390" t="str">
        <f t="shared" ca="1" si="145"/>
        <v>Female</v>
      </c>
      <c r="F390">
        <f t="shared" ca="1" si="146"/>
        <v>42</v>
      </c>
      <c r="G390">
        <f t="shared" ca="1" si="147"/>
        <v>1</v>
      </c>
      <c r="H390" t="str">
        <f t="shared" ca="1" si="148"/>
        <v>Health</v>
      </c>
      <c r="I390">
        <f t="shared" ca="1" si="149"/>
        <v>5</v>
      </c>
      <c r="J390" t="str">
        <f t="shared" ca="1" si="150"/>
        <v>Other</v>
      </c>
      <c r="K390">
        <f t="shared" ca="1" si="151"/>
        <v>0</v>
      </c>
      <c r="L390">
        <f t="shared" ca="1" si="152"/>
        <v>1</v>
      </c>
      <c r="M390">
        <f t="shared" ca="1" si="153"/>
        <v>32253</v>
      </c>
      <c r="N390">
        <f t="shared" ca="1" si="154"/>
        <v>2</v>
      </c>
      <c r="O390" t="str">
        <f t="shared" ca="1" si="155"/>
        <v>BC</v>
      </c>
      <c r="P390">
        <f t="shared" ca="1" si="138"/>
        <v>161265</v>
      </c>
      <c r="Q390">
        <f t="shared" ca="1" si="156"/>
        <v>71289.844695833352</v>
      </c>
      <c r="R390">
        <f t="shared" ca="1" si="143"/>
        <v>5098.2490828069103</v>
      </c>
      <c r="S390">
        <f t="shared" ca="1" si="157"/>
        <v>2403</v>
      </c>
      <c r="T390">
        <f t="shared" ca="1" si="139"/>
        <v>9786.4880424365929</v>
      </c>
      <c r="U390">
        <f t="shared" ca="1" si="140"/>
        <v>19943.778464650448</v>
      </c>
      <c r="V390">
        <f t="shared" ca="1" si="141"/>
        <v>186307.02754745734</v>
      </c>
      <c r="W390">
        <f t="shared" ca="1" si="142"/>
        <v>83479.33273826995</v>
      </c>
      <c r="Z390" s="4">
        <f t="shared" ca="1" si="158"/>
        <v>0</v>
      </c>
      <c r="AA390">
        <f t="shared" ca="1" si="159"/>
        <v>1</v>
      </c>
      <c r="AC390" s="5"/>
      <c r="AX390" s="10">
        <f ca="1">Table1[[#This Row],[Car Value]]/Table1[[#This Row],[No. of Vehicles]]</f>
        <v>5098.2490828069103</v>
      </c>
      <c r="AZ390">
        <f ca="1">IF(Table1[[#This Row],[Debts]]&gt;$BA$3,1,0)</f>
        <v>0</v>
      </c>
      <c r="BC390" s="12">
        <f ca="1">Table1[[#This Row],[Mortage left]]/Table1[[#This Row],[Value of The House]]</f>
        <v>0.44206644154548941</v>
      </c>
      <c r="BD390" s="4">
        <f t="shared" ca="1" si="160"/>
        <v>0</v>
      </c>
      <c r="BE390" s="5"/>
    </row>
    <row r="391" spans="4:57" x14ac:dyDescent="0.3">
      <c r="D391">
        <f t="shared" ca="1" si="144"/>
        <v>1</v>
      </c>
      <c r="E391" t="str">
        <f t="shared" ca="1" si="145"/>
        <v>Male</v>
      </c>
      <c r="F391">
        <f t="shared" ca="1" si="146"/>
        <v>38</v>
      </c>
      <c r="G391">
        <f t="shared" ca="1" si="147"/>
        <v>5</v>
      </c>
      <c r="H391" t="str">
        <f t="shared" ca="1" si="148"/>
        <v>Agriculture</v>
      </c>
      <c r="I391">
        <f t="shared" ca="1" si="149"/>
        <v>1</v>
      </c>
      <c r="J391" t="str">
        <f t="shared" ca="1" si="150"/>
        <v>High School</v>
      </c>
      <c r="K391">
        <f t="shared" ca="1" si="151"/>
        <v>0</v>
      </c>
      <c r="L391">
        <f t="shared" ca="1" si="152"/>
        <v>2</v>
      </c>
      <c r="M391">
        <f t="shared" ca="1" si="153"/>
        <v>74143</v>
      </c>
      <c r="N391">
        <f t="shared" ca="1" si="154"/>
        <v>5</v>
      </c>
      <c r="O391" t="str">
        <f t="shared" ca="1" si="155"/>
        <v>Nunavut</v>
      </c>
      <c r="P391">
        <f t="shared" ca="1" si="138"/>
        <v>444858</v>
      </c>
      <c r="Q391">
        <f t="shared" ca="1" si="156"/>
        <v>432969.84180795308</v>
      </c>
      <c r="R391">
        <f t="shared" ca="1" si="143"/>
        <v>78900.079952632281</v>
      </c>
      <c r="S391">
        <f t="shared" ca="1" si="157"/>
        <v>20223</v>
      </c>
      <c r="T391">
        <f t="shared" ca="1" si="139"/>
        <v>10605.99911125536</v>
      </c>
      <c r="U391">
        <f t="shared" ca="1" si="140"/>
        <v>96336.079650823172</v>
      </c>
      <c r="V391">
        <f t="shared" ca="1" si="141"/>
        <v>620094.15960345545</v>
      </c>
      <c r="W391">
        <f t="shared" ca="1" si="142"/>
        <v>463798.84091920842</v>
      </c>
      <c r="Z391" s="4">
        <f t="shared" ca="1" si="158"/>
        <v>1</v>
      </c>
      <c r="AA391">
        <f t="shared" ca="1" si="159"/>
        <v>0</v>
      </c>
      <c r="AC391" s="5"/>
      <c r="AX391" s="10">
        <f ca="1">Table1[[#This Row],[Car Value]]/Table1[[#This Row],[No. of Vehicles]]</f>
        <v>39450.03997631614</v>
      </c>
      <c r="AZ391">
        <f ca="1">IF(Table1[[#This Row],[Debts]]&gt;$BA$3,1,0)</f>
        <v>0</v>
      </c>
      <c r="BC391" s="12">
        <f ca="1">Table1[[#This Row],[Mortage left]]/Table1[[#This Row],[Value of The House]]</f>
        <v>0.97327651027508344</v>
      </c>
      <c r="BD391" s="4">
        <f t="shared" ca="1" si="160"/>
        <v>0</v>
      </c>
      <c r="BE391" s="5"/>
    </row>
    <row r="392" spans="4:57" x14ac:dyDescent="0.3">
      <c r="D392">
        <f t="shared" ca="1" si="144"/>
        <v>1</v>
      </c>
      <c r="E392" t="str">
        <f t="shared" ca="1" si="145"/>
        <v>Male</v>
      </c>
      <c r="F392">
        <f t="shared" ca="1" si="146"/>
        <v>31</v>
      </c>
      <c r="G392">
        <f t="shared" ca="1" si="147"/>
        <v>6</v>
      </c>
      <c r="H392" t="str">
        <f t="shared" ca="1" si="148"/>
        <v>General Work</v>
      </c>
      <c r="I392">
        <f t="shared" ca="1" si="149"/>
        <v>3</v>
      </c>
      <c r="J392" t="str">
        <f t="shared" ca="1" si="150"/>
        <v>University</v>
      </c>
      <c r="K392">
        <f t="shared" ca="1" si="151"/>
        <v>4</v>
      </c>
      <c r="L392">
        <f t="shared" ca="1" si="152"/>
        <v>2</v>
      </c>
      <c r="M392">
        <f t="shared" ca="1" si="153"/>
        <v>78869</v>
      </c>
      <c r="N392">
        <f t="shared" ca="1" si="154"/>
        <v>9</v>
      </c>
      <c r="O392" t="str">
        <f t="shared" ca="1" si="155"/>
        <v>Quebec</v>
      </c>
      <c r="P392">
        <f t="shared" ca="1" si="138"/>
        <v>394345</v>
      </c>
      <c r="Q392">
        <f t="shared" ca="1" si="156"/>
        <v>174570.71561795496</v>
      </c>
      <c r="R392">
        <f t="shared" ca="1" si="143"/>
        <v>83485.253661615192</v>
      </c>
      <c r="S392">
        <f t="shared" ca="1" si="157"/>
        <v>58132</v>
      </c>
      <c r="T392">
        <f t="shared" ca="1" si="139"/>
        <v>14571.18415414893</v>
      </c>
      <c r="U392">
        <f t="shared" ca="1" si="140"/>
        <v>37531.18618634934</v>
      </c>
      <c r="V392">
        <f t="shared" ca="1" si="141"/>
        <v>515361.43984796456</v>
      </c>
      <c r="W392">
        <f t="shared" ca="1" si="142"/>
        <v>247273.8997721039</v>
      </c>
      <c r="Z392" s="4">
        <f t="shared" ca="1" si="158"/>
        <v>1</v>
      </c>
      <c r="AA392">
        <f t="shared" ca="1" si="159"/>
        <v>0</v>
      </c>
      <c r="AC392" s="5"/>
      <c r="AX392" s="10">
        <f ca="1">Table1[[#This Row],[Car Value]]/Table1[[#This Row],[No. of Vehicles]]</f>
        <v>41742.626830807596</v>
      </c>
      <c r="AZ392">
        <f ca="1">IF(Table1[[#This Row],[Debts]]&gt;$BA$3,1,0)</f>
        <v>0</v>
      </c>
      <c r="BC392" s="12">
        <f ca="1">Table1[[#This Row],[Mortage left]]/Table1[[#This Row],[Value of The House]]</f>
        <v>0.44268525179209822</v>
      </c>
      <c r="BD392" s="4">
        <f t="shared" ca="1" si="160"/>
        <v>0</v>
      </c>
      <c r="BE392" s="5"/>
    </row>
    <row r="393" spans="4:57" x14ac:dyDescent="0.3">
      <c r="D393">
        <f t="shared" ca="1" si="144"/>
        <v>2</v>
      </c>
      <c r="E393" t="str">
        <f t="shared" ca="1" si="145"/>
        <v>Female</v>
      </c>
      <c r="F393">
        <f t="shared" ca="1" si="146"/>
        <v>41</v>
      </c>
      <c r="G393">
        <f t="shared" ca="1" si="147"/>
        <v>2</v>
      </c>
      <c r="H393" t="str">
        <f t="shared" ca="1" si="148"/>
        <v>Construction</v>
      </c>
      <c r="I393">
        <f t="shared" ca="1" si="149"/>
        <v>1</v>
      </c>
      <c r="J393" t="str">
        <f t="shared" ca="1" si="150"/>
        <v>High School</v>
      </c>
      <c r="K393">
        <f t="shared" ca="1" si="151"/>
        <v>0</v>
      </c>
      <c r="L393">
        <f t="shared" ca="1" si="152"/>
        <v>1</v>
      </c>
      <c r="M393">
        <f t="shared" ca="1" si="153"/>
        <v>51192</v>
      </c>
      <c r="N393">
        <f t="shared" ca="1" si="154"/>
        <v>3</v>
      </c>
      <c r="O393" t="str">
        <f t="shared" ca="1" si="155"/>
        <v>Northwest Ter</v>
      </c>
      <c r="P393">
        <f t="shared" ca="1" si="138"/>
        <v>255960</v>
      </c>
      <c r="Q393">
        <f t="shared" ca="1" si="156"/>
        <v>245288.2836849211</v>
      </c>
      <c r="R393">
        <f t="shared" ca="1" si="143"/>
        <v>49072.723297232245</v>
      </c>
      <c r="S393">
        <f t="shared" ca="1" si="157"/>
        <v>20331</v>
      </c>
      <c r="T393">
        <f t="shared" ca="1" si="139"/>
        <v>7456.7692459934087</v>
      </c>
      <c r="U393">
        <f t="shared" ca="1" si="140"/>
        <v>32838.513872253781</v>
      </c>
      <c r="V393">
        <f t="shared" ca="1" si="141"/>
        <v>337871.237169486</v>
      </c>
      <c r="W393">
        <f t="shared" ca="1" si="142"/>
        <v>273076.05293091451</v>
      </c>
      <c r="Z393" s="4">
        <f t="shared" ca="1" si="158"/>
        <v>0</v>
      </c>
      <c r="AA393">
        <f t="shared" ca="1" si="159"/>
        <v>1</v>
      </c>
      <c r="AC393" s="5"/>
      <c r="AX393" s="10">
        <f ca="1">Table1[[#This Row],[Car Value]]/Table1[[#This Row],[No. of Vehicles]]</f>
        <v>49072.723297232245</v>
      </c>
      <c r="AZ393">
        <f ca="1">IF(Table1[[#This Row],[Debts]]&gt;$BA$3,1,0)</f>
        <v>0</v>
      </c>
      <c r="BC393" s="12">
        <f ca="1">Table1[[#This Row],[Mortage left]]/Table1[[#This Row],[Value of The House]]</f>
        <v>0.95830709362760236</v>
      </c>
      <c r="BD393" s="4">
        <f t="shared" ca="1" si="160"/>
        <v>0</v>
      </c>
      <c r="BE393" s="5"/>
    </row>
    <row r="394" spans="4:57" x14ac:dyDescent="0.3">
      <c r="D394">
        <f t="shared" ca="1" si="144"/>
        <v>1</v>
      </c>
      <c r="E394" t="str">
        <f t="shared" ca="1" si="145"/>
        <v>Male</v>
      </c>
      <c r="F394">
        <f t="shared" ca="1" si="146"/>
        <v>37</v>
      </c>
      <c r="G394">
        <f t="shared" ca="1" si="147"/>
        <v>3</v>
      </c>
      <c r="H394" t="str">
        <f t="shared" ca="1" si="148"/>
        <v>Teaching</v>
      </c>
      <c r="I394">
        <f t="shared" ca="1" si="149"/>
        <v>4</v>
      </c>
      <c r="J394" t="str">
        <f t="shared" ca="1" si="150"/>
        <v>Technical</v>
      </c>
      <c r="K394">
        <f t="shared" ca="1" si="151"/>
        <v>1</v>
      </c>
      <c r="L394">
        <f t="shared" ca="1" si="152"/>
        <v>2</v>
      </c>
      <c r="M394">
        <f t="shared" ca="1" si="153"/>
        <v>55787</v>
      </c>
      <c r="N394">
        <f t="shared" ca="1" si="154"/>
        <v>4</v>
      </c>
      <c r="O394" t="str">
        <f t="shared" ca="1" si="155"/>
        <v>Alberta</v>
      </c>
      <c r="P394">
        <f t="shared" ca="1" si="138"/>
        <v>223148</v>
      </c>
      <c r="Q394">
        <f t="shared" ca="1" si="156"/>
        <v>151227.6925098387</v>
      </c>
      <c r="R394">
        <f t="shared" ca="1" si="143"/>
        <v>25238.297250859669</v>
      </c>
      <c r="S394">
        <f t="shared" ca="1" si="157"/>
        <v>21312</v>
      </c>
      <c r="T394">
        <f t="shared" ca="1" si="139"/>
        <v>95299.771800793184</v>
      </c>
      <c r="U394">
        <f t="shared" ca="1" si="140"/>
        <v>64989.379397007637</v>
      </c>
      <c r="V394">
        <f t="shared" ca="1" si="141"/>
        <v>313375.67664786731</v>
      </c>
      <c r="W394">
        <f t="shared" ca="1" si="142"/>
        <v>267839.46431063185</v>
      </c>
      <c r="Z394" s="4">
        <f t="shared" ca="1" si="158"/>
        <v>1</v>
      </c>
      <c r="AA394">
        <f t="shared" ca="1" si="159"/>
        <v>0</v>
      </c>
      <c r="AC394" s="5"/>
      <c r="AX394" s="10">
        <f ca="1">Table1[[#This Row],[Car Value]]/Table1[[#This Row],[No. of Vehicles]]</f>
        <v>12619.148625429834</v>
      </c>
      <c r="AZ394">
        <f ca="1">IF(Table1[[#This Row],[Debts]]&gt;$BA$3,1,0)</f>
        <v>1</v>
      </c>
      <c r="BC394" s="12">
        <f ca="1">Table1[[#This Row],[Mortage left]]/Table1[[#This Row],[Value of The House]]</f>
        <v>0.67770131262587474</v>
      </c>
      <c r="BD394" s="4">
        <f t="shared" ca="1" si="160"/>
        <v>0</v>
      </c>
      <c r="BE394" s="5"/>
    </row>
    <row r="395" spans="4:57" x14ac:dyDescent="0.3">
      <c r="D395">
        <f t="shared" ca="1" si="144"/>
        <v>2</v>
      </c>
      <c r="E395" t="str">
        <f t="shared" ca="1" si="145"/>
        <v>Female</v>
      </c>
      <c r="F395">
        <f t="shared" ca="1" si="146"/>
        <v>25</v>
      </c>
      <c r="G395">
        <f t="shared" ca="1" si="147"/>
        <v>1</v>
      </c>
      <c r="H395" t="str">
        <f t="shared" ca="1" si="148"/>
        <v>Health</v>
      </c>
      <c r="I395">
        <f t="shared" ca="1" si="149"/>
        <v>1</v>
      </c>
      <c r="J395" t="str">
        <f t="shared" ca="1" si="150"/>
        <v>High School</v>
      </c>
      <c r="K395">
        <f t="shared" ca="1" si="151"/>
        <v>2</v>
      </c>
      <c r="L395">
        <f t="shared" ca="1" si="152"/>
        <v>1</v>
      </c>
      <c r="M395">
        <f t="shared" ca="1" si="153"/>
        <v>73305</v>
      </c>
      <c r="N395">
        <f t="shared" ca="1" si="154"/>
        <v>11</v>
      </c>
      <c r="O395" t="str">
        <f t="shared" ca="1" si="155"/>
        <v>New bruncwick</v>
      </c>
      <c r="P395">
        <f t="shared" ca="1" si="138"/>
        <v>366525</v>
      </c>
      <c r="Q395">
        <f t="shared" ca="1" si="156"/>
        <v>363014.89539494959</v>
      </c>
      <c r="R395">
        <f t="shared" ca="1" si="143"/>
        <v>41330.095255690561</v>
      </c>
      <c r="S395">
        <f t="shared" ca="1" si="157"/>
        <v>25338</v>
      </c>
      <c r="T395">
        <f t="shared" ca="1" si="139"/>
        <v>77577.008004575575</v>
      </c>
      <c r="U395">
        <f t="shared" ca="1" si="140"/>
        <v>65353.499050341612</v>
      </c>
      <c r="V395">
        <f t="shared" ca="1" si="141"/>
        <v>473208.59430603217</v>
      </c>
      <c r="W395">
        <f t="shared" ca="1" si="142"/>
        <v>465929.90339952515</v>
      </c>
      <c r="Z395" s="4">
        <f t="shared" ca="1" si="158"/>
        <v>0</v>
      </c>
      <c r="AA395">
        <f t="shared" ca="1" si="159"/>
        <v>1</v>
      </c>
      <c r="AC395" s="5"/>
      <c r="AX395" s="10">
        <f ca="1">Table1[[#This Row],[Car Value]]/Table1[[#This Row],[No. of Vehicles]]</f>
        <v>41330.095255690561</v>
      </c>
      <c r="AZ395">
        <f ca="1">IF(Table1[[#This Row],[Debts]]&gt;$BA$3,1,0)</f>
        <v>1</v>
      </c>
      <c r="BC395" s="12">
        <f ca="1">Table1[[#This Row],[Mortage left]]/Table1[[#This Row],[Value of The House]]</f>
        <v>0.99042328734724672</v>
      </c>
      <c r="BD395" s="4">
        <f t="shared" ca="1" si="160"/>
        <v>0</v>
      </c>
      <c r="BE395" s="5"/>
    </row>
    <row r="396" spans="4:57" x14ac:dyDescent="0.3">
      <c r="D396">
        <f t="shared" ca="1" si="144"/>
        <v>1</v>
      </c>
      <c r="E396" t="str">
        <f t="shared" ca="1" si="145"/>
        <v>Male</v>
      </c>
      <c r="F396">
        <f t="shared" ca="1" si="146"/>
        <v>31</v>
      </c>
      <c r="G396">
        <f t="shared" ca="1" si="147"/>
        <v>4</v>
      </c>
      <c r="H396" t="str">
        <f t="shared" ca="1" si="148"/>
        <v>IT</v>
      </c>
      <c r="I396">
        <f t="shared" ca="1" si="149"/>
        <v>4</v>
      </c>
      <c r="J396" t="str">
        <f t="shared" ca="1" si="150"/>
        <v>Technical</v>
      </c>
      <c r="K396">
        <f t="shared" ca="1" si="151"/>
        <v>3</v>
      </c>
      <c r="L396">
        <f t="shared" ca="1" si="152"/>
        <v>2</v>
      </c>
      <c r="M396">
        <f t="shared" ca="1" si="153"/>
        <v>60584</v>
      </c>
      <c r="N396">
        <f t="shared" ca="1" si="154"/>
        <v>5</v>
      </c>
      <c r="O396" t="str">
        <f t="shared" ca="1" si="155"/>
        <v>Nunavut</v>
      </c>
      <c r="P396">
        <f t="shared" ca="1" si="138"/>
        <v>242336</v>
      </c>
      <c r="Q396">
        <f t="shared" ca="1" si="156"/>
        <v>15792.800665277931</v>
      </c>
      <c r="R396">
        <f t="shared" ca="1" si="143"/>
        <v>38223.45058593744</v>
      </c>
      <c r="S396">
        <f t="shared" ca="1" si="157"/>
        <v>23805</v>
      </c>
      <c r="T396">
        <f t="shared" ca="1" si="139"/>
        <v>66034.206493685051</v>
      </c>
      <c r="U396">
        <f t="shared" ca="1" si="140"/>
        <v>46852.892381142796</v>
      </c>
      <c r="V396">
        <f t="shared" ca="1" si="141"/>
        <v>327412.34296708019</v>
      </c>
      <c r="W396">
        <f t="shared" ca="1" si="142"/>
        <v>105632.00715896298</v>
      </c>
      <c r="Z396" s="4">
        <f t="shared" ca="1" si="158"/>
        <v>1</v>
      </c>
      <c r="AA396">
        <f t="shared" ca="1" si="159"/>
        <v>0</v>
      </c>
      <c r="AC396" s="5"/>
      <c r="AX396" s="10">
        <f ca="1">Table1[[#This Row],[Car Value]]/Table1[[#This Row],[No. of Vehicles]]</f>
        <v>19111.72529296872</v>
      </c>
      <c r="AZ396">
        <f ca="1">IF(Table1[[#This Row],[Debts]]&gt;$BA$3,1,0)</f>
        <v>1</v>
      </c>
      <c r="BC396" s="12">
        <f ca="1">Table1[[#This Row],[Mortage left]]/Table1[[#This Row],[Value of The House]]</f>
        <v>6.5169024269105424E-2</v>
      </c>
      <c r="BD396" s="4">
        <f t="shared" ca="1" si="160"/>
        <v>1</v>
      </c>
      <c r="BE396" s="5"/>
    </row>
    <row r="397" spans="4:57" x14ac:dyDescent="0.3">
      <c r="D397">
        <f t="shared" ca="1" si="144"/>
        <v>1</v>
      </c>
      <c r="E397" t="str">
        <f t="shared" ca="1" si="145"/>
        <v>Male</v>
      </c>
      <c r="F397">
        <f t="shared" ca="1" si="146"/>
        <v>41</v>
      </c>
      <c r="G397">
        <f t="shared" ca="1" si="147"/>
        <v>4</v>
      </c>
      <c r="H397" t="str">
        <f t="shared" ca="1" si="148"/>
        <v>IT</v>
      </c>
      <c r="I397">
        <f t="shared" ca="1" si="149"/>
        <v>3</v>
      </c>
      <c r="J397" t="str">
        <f t="shared" ca="1" si="150"/>
        <v>University</v>
      </c>
      <c r="K397">
        <f t="shared" ca="1" si="151"/>
        <v>0</v>
      </c>
      <c r="L397">
        <f t="shared" ca="1" si="152"/>
        <v>1</v>
      </c>
      <c r="M397">
        <f t="shared" ca="1" si="153"/>
        <v>47068</v>
      </c>
      <c r="N397">
        <f t="shared" ca="1" si="154"/>
        <v>2</v>
      </c>
      <c r="O397" t="str">
        <f t="shared" ca="1" si="155"/>
        <v>BC</v>
      </c>
      <c r="P397">
        <f t="shared" ca="1" si="138"/>
        <v>188272</v>
      </c>
      <c r="Q397">
        <f t="shared" ca="1" si="156"/>
        <v>99019.374631932093</v>
      </c>
      <c r="R397">
        <f t="shared" ca="1" si="143"/>
        <v>20197.675400743334</v>
      </c>
      <c r="S397">
        <f t="shared" ca="1" si="157"/>
        <v>16653</v>
      </c>
      <c r="T397">
        <f t="shared" ca="1" si="139"/>
        <v>50354.430088274472</v>
      </c>
      <c r="U397">
        <f t="shared" ca="1" si="140"/>
        <v>22230.488362207034</v>
      </c>
      <c r="V397">
        <f t="shared" ca="1" si="141"/>
        <v>230700.16376295034</v>
      </c>
      <c r="W397">
        <f t="shared" ca="1" si="142"/>
        <v>166026.80472020656</v>
      </c>
      <c r="Z397" s="4">
        <f t="shared" ca="1" si="158"/>
        <v>1</v>
      </c>
      <c r="AA397">
        <f t="shared" ca="1" si="159"/>
        <v>0</v>
      </c>
      <c r="AC397" s="5"/>
      <c r="AX397" s="10">
        <f ca="1">Table1[[#This Row],[Car Value]]/Table1[[#This Row],[No. of Vehicles]]</f>
        <v>20197.675400743334</v>
      </c>
      <c r="AZ397">
        <f ca="1">IF(Table1[[#This Row],[Debts]]&gt;$BA$3,1,0)</f>
        <v>1</v>
      </c>
      <c r="BC397" s="12">
        <f ca="1">Table1[[#This Row],[Mortage left]]/Table1[[#This Row],[Value of The House]]</f>
        <v>0.525937869847519</v>
      </c>
      <c r="BD397" s="4">
        <f t="shared" ca="1" si="160"/>
        <v>0</v>
      </c>
      <c r="BE397" s="5"/>
    </row>
    <row r="398" spans="4:57" x14ac:dyDescent="0.3">
      <c r="D398">
        <f t="shared" ca="1" si="144"/>
        <v>1</v>
      </c>
      <c r="E398" t="str">
        <f t="shared" ca="1" si="145"/>
        <v>Male</v>
      </c>
      <c r="F398">
        <f t="shared" ca="1" si="146"/>
        <v>39</v>
      </c>
      <c r="G398">
        <f t="shared" ca="1" si="147"/>
        <v>6</v>
      </c>
      <c r="H398" t="str">
        <f t="shared" ca="1" si="148"/>
        <v>General Work</v>
      </c>
      <c r="I398">
        <f t="shared" ca="1" si="149"/>
        <v>4</v>
      </c>
      <c r="J398" t="str">
        <f t="shared" ca="1" si="150"/>
        <v>Technical</v>
      </c>
      <c r="K398">
        <f t="shared" ca="1" si="151"/>
        <v>4</v>
      </c>
      <c r="L398">
        <f t="shared" ca="1" si="152"/>
        <v>2</v>
      </c>
      <c r="M398">
        <f t="shared" ca="1" si="153"/>
        <v>29787</v>
      </c>
      <c r="N398">
        <f t="shared" ca="1" si="154"/>
        <v>12</v>
      </c>
      <c r="O398" t="str">
        <f t="shared" ca="1" si="155"/>
        <v>Nova scotia</v>
      </c>
      <c r="P398">
        <f t="shared" ca="1" si="138"/>
        <v>119148</v>
      </c>
      <c r="Q398">
        <f t="shared" ca="1" si="156"/>
        <v>54343.203302526745</v>
      </c>
      <c r="R398">
        <f t="shared" ca="1" si="143"/>
        <v>30834.782797393222</v>
      </c>
      <c r="S398">
        <f t="shared" ca="1" si="157"/>
        <v>25979</v>
      </c>
      <c r="T398">
        <f t="shared" ca="1" si="139"/>
        <v>35597.702708951882</v>
      </c>
      <c r="U398">
        <f t="shared" ca="1" si="140"/>
        <v>8061.8918338170633</v>
      </c>
      <c r="V398">
        <f t="shared" ca="1" si="141"/>
        <v>158044.67463121028</v>
      </c>
      <c r="W398">
        <f t="shared" ca="1" si="142"/>
        <v>115919.90601147863</v>
      </c>
      <c r="Z398" s="4">
        <f t="shared" ca="1" si="158"/>
        <v>1</v>
      </c>
      <c r="AA398">
        <f t="shared" ca="1" si="159"/>
        <v>0</v>
      </c>
      <c r="AC398" s="5"/>
      <c r="AX398" s="10">
        <f ca="1">Table1[[#This Row],[Car Value]]/Table1[[#This Row],[No. of Vehicles]]</f>
        <v>15417.391398696611</v>
      </c>
      <c r="AZ398">
        <f ca="1">IF(Table1[[#This Row],[Debts]]&gt;$BA$3,1,0)</f>
        <v>1</v>
      </c>
      <c r="BC398" s="12">
        <f ca="1">Table1[[#This Row],[Mortage left]]/Table1[[#This Row],[Value of The House]]</f>
        <v>0.45609832563305086</v>
      </c>
      <c r="BD398" s="4">
        <f t="shared" ca="1" si="160"/>
        <v>0</v>
      </c>
      <c r="BE398" s="5"/>
    </row>
    <row r="399" spans="4:57" x14ac:dyDescent="0.3">
      <c r="D399">
        <f t="shared" ca="1" si="144"/>
        <v>1</v>
      </c>
      <c r="E399" t="str">
        <f t="shared" ca="1" si="145"/>
        <v>Male</v>
      </c>
      <c r="F399">
        <f t="shared" ca="1" si="146"/>
        <v>33</v>
      </c>
      <c r="G399">
        <f t="shared" ca="1" si="147"/>
        <v>5</v>
      </c>
      <c r="H399" t="str">
        <f t="shared" ca="1" si="148"/>
        <v>Agriculture</v>
      </c>
      <c r="I399">
        <f t="shared" ca="1" si="149"/>
        <v>4</v>
      </c>
      <c r="J399" t="str">
        <f t="shared" ca="1" si="150"/>
        <v>Technical</v>
      </c>
      <c r="K399">
        <f t="shared" ca="1" si="151"/>
        <v>2</v>
      </c>
      <c r="L399">
        <f t="shared" ca="1" si="152"/>
        <v>1</v>
      </c>
      <c r="M399">
        <f t="shared" ca="1" si="153"/>
        <v>72599</v>
      </c>
      <c r="N399">
        <f t="shared" ca="1" si="154"/>
        <v>13</v>
      </c>
      <c r="O399" t="str">
        <f t="shared" ca="1" si="155"/>
        <v>Prince Edward Islnd</v>
      </c>
      <c r="P399">
        <f t="shared" ca="1" si="138"/>
        <v>290396</v>
      </c>
      <c r="Q399">
        <f t="shared" ca="1" si="156"/>
        <v>99978.17103566174</v>
      </c>
      <c r="R399">
        <f t="shared" ca="1" si="143"/>
        <v>67673.239947561422</v>
      </c>
      <c r="S399">
        <f t="shared" ca="1" si="157"/>
        <v>6792</v>
      </c>
      <c r="T399">
        <f t="shared" ca="1" si="139"/>
        <v>26138.078708697649</v>
      </c>
      <c r="U399">
        <f t="shared" ca="1" si="140"/>
        <v>33239.932080190774</v>
      </c>
      <c r="V399">
        <f t="shared" ca="1" si="141"/>
        <v>391309.17202775215</v>
      </c>
      <c r="W399">
        <f t="shared" ca="1" si="142"/>
        <v>132908.2497443594</v>
      </c>
      <c r="Z399" s="4">
        <f t="shared" ca="1" si="158"/>
        <v>1</v>
      </c>
      <c r="AA399">
        <f t="shared" ca="1" si="159"/>
        <v>0</v>
      </c>
      <c r="AC399" s="5"/>
      <c r="AX399" s="10">
        <f ca="1">Table1[[#This Row],[Car Value]]/Table1[[#This Row],[No. of Vehicles]]</f>
        <v>67673.239947561422</v>
      </c>
      <c r="AZ399">
        <f ca="1">IF(Table1[[#This Row],[Debts]]&gt;$BA$3,1,0)</f>
        <v>1</v>
      </c>
      <c r="BC399" s="12">
        <f ca="1">Table1[[#This Row],[Mortage left]]/Table1[[#This Row],[Value of The House]]</f>
        <v>0.34428219064884413</v>
      </c>
      <c r="BD399" s="4">
        <f t="shared" ca="1" si="160"/>
        <v>0</v>
      </c>
      <c r="BE399" s="5"/>
    </row>
    <row r="400" spans="4:57" x14ac:dyDescent="0.3">
      <c r="D400">
        <f t="shared" ca="1" si="144"/>
        <v>2</v>
      </c>
      <c r="E400" t="str">
        <f t="shared" ca="1" si="145"/>
        <v>Female</v>
      </c>
      <c r="F400">
        <f t="shared" ca="1" si="146"/>
        <v>25</v>
      </c>
      <c r="G400">
        <f t="shared" ca="1" si="147"/>
        <v>6</v>
      </c>
      <c r="H400" t="str">
        <f t="shared" ca="1" si="148"/>
        <v>General Work</v>
      </c>
      <c r="I400">
        <f t="shared" ca="1" si="149"/>
        <v>3</v>
      </c>
      <c r="J400" t="str">
        <f t="shared" ca="1" si="150"/>
        <v>University</v>
      </c>
      <c r="K400">
        <f t="shared" ca="1" si="151"/>
        <v>3</v>
      </c>
      <c r="L400">
        <f t="shared" ca="1" si="152"/>
        <v>1</v>
      </c>
      <c r="M400">
        <f t="shared" ca="1" si="153"/>
        <v>25343</v>
      </c>
      <c r="N400">
        <f t="shared" ca="1" si="154"/>
        <v>8</v>
      </c>
      <c r="O400" t="str">
        <f t="shared" ca="1" si="155"/>
        <v>Ontario</v>
      </c>
      <c r="P400">
        <f t="shared" ca="1" si="138"/>
        <v>152058</v>
      </c>
      <c r="Q400">
        <f t="shared" ca="1" si="156"/>
        <v>64828.814667707469</v>
      </c>
      <c r="R400">
        <f t="shared" ca="1" si="143"/>
        <v>17849.971772106313</v>
      </c>
      <c r="S400">
        <f t="shared" ca="1" si="157"/>
        <v>16962</v>
      </c>
      <c r="T400">
        <f t="shared" ca="1" si="139"/>
        <v>6489.9488325651837</v>
      </c>
      <c r="U400">
        <f t="shared" ca="1" si="140"/>
        <v>32618.715393624941</v>
      </c>
      <c r="V400">
        <f t="shared" ca="1" si="141"/>
        <v>202526.68716573124</v>
      </c>
      <c r="W400">
        <f t="shared" ca="1" si="142"/>
        <v>88280.763500272646</v>
      </c>
      <c r="Z400" s="4">
        <f t="shared" ca="1" si="158"/>
        <v>0</v>
      </c>
      <c r="AA400">
        <f t="shared" ca="1" si="159"/>
        <v>1</v>
      </c>
      <c r="AC400" s="5"/>
      <c r="AX400" s="10">
        <f ca="1">Table1[[#This Row],[Car Value]]/Table1[[#This Row],[No. of Vehicles]]</f>
        <v>17849.971772106313</v>
      </c>
      <c r="AZ400">
        <f ca="1">IF(Table1[[#This Row],[Debts]]&gt;$BA$3,1,0)</f>
        <v>0</v>
      </c>
      <c r="BC400" s="12">
        <f ca="1">Table1[[#This Row],[Mortage left]]/Table1[[#This Row],[Value of The House]]</f>
        <v>0.42634267626634226</v>
      </c>
      <c r="BD400" s="4">
        <f t="shared" ca="1" si="160"/>
        <v>0</v>
      </c>
      <c r="BE400" s="5"/>
    </row>
    <row r="401" spans="4:57" x14ac:dyDescent="0.3">
      <c r="D401">
        <f t="shared" ca="1" si="144"/>
        <v>2</v>
      </c>
      <c r="E401" t="str">
        <f t="shared" ca="1" si="145"/>
        <v>Female</v>
      </c>
      <c r="F401">
        <f t="shared" ca="1" si="146"/>
        <v>29</v>
      </c>
      <c r="G401">
        <f t="shared" ca="1" si="147"/>
        <v>3</v>
      </c>
      <c r="H401" t="str">
        <f t="shared" ca="1" si="148"/>
        <v>Teaching</v>
      </c>
      <c r="I401">
        <f t="shared" ca="1" si="149"/>
        <v>4</v>
      </c>
      <c r="J401" t="str">
        <f t="shared" ca="1" si="150"/>
        <v>Technical</v>
      </c>
      <c r="K401">
        <f t="shared" ca="1" si="151"/>
        <v>4</v>
      </c>
      <c r="L401">
        <f t="shared" ca="1" si="152"/>
        <v>2</v>
      </c>
      <c r="M401">
        <f t="shared" ca="1" si="153"/>
        <v>75676</v>
      </c>
      <c r="N401">
        <f t="shared" ca="1" si="154"/>
        <v>7</v>
      </c>
      <c r="O401" t="str">
        <f t="shared" ca="1" si="155"/>
        <v>Manitoba</v>
      </c>
      <c r="P401">
        <f t="shared" ca="1" si="138"/>
        <v>302704</v>
      </c>
      <c r="Q401">
        <f t="shared" ca="1" si="156"/>
        <v>258996.11074685931</v>
      </c>
      <c r="R401">
        <f t="shared" ca="1" si="143"/>
        <v>59112.44056940508</v>
      </c>
      <c r="S401">
        <f t="shared" ca="1" si="157"/>
        <v>14942</v>
      </c>
      <c r="T401">
        <f t="shared" ca="1" si="139"/>
        <v>125503.08167152203</v>
      </c>
      <c r="U401">
        <f t="shared" ca="1" si="140"/>
        <v>67549.488824317406</v>
      </c>
      <c r="V401">
        <f t="shared" ca="1" si="141"/>
        <v>429365.9293937225</v>
      </c>
      <c r="W401">
        <f t="shared" ca="1" si="142"/>
        <v>399441.19241838134</v>
      </c>
      <c r="Z401" s="4">
        <f t="shared" ca="1" si="158"/>
        <v>0</v>
      </c>
      <c r="AA401">
        <f t="shared" ca="1" si="159"/>
        <v>1</v>
      </c>
      <c r="AC401" s="5"/>
      <c r="AX401" s="10">
        <f ca="1">Table1[[#This Row],[Car Value]]/Table1[[#This Row],[No. of Vehicles]]</f>
        <v>29556.22028470254</v>
      </c>
      <c r="AZ401">
        <f ca="1">IF(Table1[[#This Row],[Debts]]&gt;$BA$3,1,0)</f>
        <v>1</v>
      </c>
      <c r="BC401" s="12">
        <f ca="1">Table1[[#This Row],[Mortage left]]/Table1[[#This Row],[Value of The House]]</f>
        <v>0.8556084846809402</v>
      </c>
      <c r="BD401" s="4">
        <f t="shared" ca="1" si="160"/>
        <v>0</v>
      </c>
      <c r="BE401" s="5"/>
    </row>
    <row r="402" spans="4:57" x14ac:dyDescent="0.3">
      <c r="D402">
        <f t="shared" ca="1" si="144"/>
        <v>1</v>
      </c>
      <c r="E402" t="str">
        <f t="shared" ca="1" si="145"/>
        <v>Male</v>
      </c>
      <c r="F402">
        <f t="shared" ca="1" si="146"/>
        <v>40</v>
      </c>
      <c r="G402">
        <f t="shared" ca="1" si="147"/>
        <v>2</v>
      </c>
      <c r="H402" t="str">
        <f t="shared" ca="1" si="148"/>
        <v>Construction</v>
      </c>
      <c r="I402">
        <f t="shared" ca="1" si="149"/>
        <v>1</v>
      </c>
      <c r="J402" t="str">
        <f t="shared" ca="1" si="150"/>
        <v>High School</v>
      </c>
      <c r="K402">
        <f t="shared" ca="1" si="151"/>
        <v>4</v>
      </c>
      <c r="L402">
        <f t="shared" ca="1" si="152"/>
        <v>1</v>
      </c>
      <c r="M402">
        <f t="shared" ca="1" si="153"/>
        <v>39718</v>
      </c>
      <c r="N402">
        <f t="shared" ca="1" si="154"/>
        <v>8</v>
      </c>
      <c r="O402" t="str">
        <f t="shared" ca="1" si="155"/>
        <v>Ontario</v>
      </c>
      <c r="P402">
        <f t="shared" ca="1" si="138"/>
        <v>158872</v>
      </c>
      <c r="Q402">
        <f t="shared" ca="1" si="156"/>
        <v>112334.22550509138</v>
      </c>
      <c r="R402">
        <f t="shared" ca="1" si="143"/>
        <v>15193.155662689631</v>
      </c>
      <c r="S402">
        <f t="shared" ca="1" si="157"/>
        <v>2592</v>
      </c>
      <c r="T402">
        <f t="shared" ca="1" si="139"/>
        <v>74274.297674490168</v>
      </c>
      <c r="U402">
        <f t="shared" ca="1" si="140"/>
        <v>45852.245224403887</v>
      </c>
      <c r="V402">
        <f t="shared" ca="1" si="141"/>
        <v>219917.40088709351</v>
      </c>
      <c r="W402">
        <f t="shared" ca="1" si="142"/>
        <v>189200.52317958156</v>
      </c>
      <c r="Z402" s="4">
        <f t="shared" ca="1" si="158"/>
        <v>1</v>
      </c>
      <c r="AA402">
        <f t="shared" ca="1" si="159"/>
        <v>0</v>
      </c>
      <c r="AC402" s="5"/>
      <c r="AX402" s="10">
        <f ca="1">Table1[[#This Row],[Car Value]]/Table1[[#This Row],[No. of Vehicles]]</f>
        <v>15193.155662689631</v>
      </c>
      <c r="AZ402">
        <f ca="1">IF(Table1[[#This Row],[Debts]]&gt;$BA$3,1,0)</f>
        <v>1</v>
      </c>
      <c r="BC402" s="12">
        <f ca="1">Table1[[#This Row],[Mortage left]]/Table1[[#This Row],[Value of The House]]</f>
        <v>0.70707377955266748</v>
      </c>
      <c r="BD402" s="4">
        <f t="shared" ca="1" si="160"/>
        <v>0</v>
      </c>
      <c r="BE402" s="5"/>
    </row>
    <row r="403" spans="4:57" x14ac:dyDescent="0.3">
      <c r="D403">
        <f t="shared" ca="1" si="144"/>
        <v>2</v>
      </c>
      <c r="E403" t="str">
        <f t="shared" ca="1" si="145"/>
        <v>Female</v>
      </c>
      <c r="F403">
        <f t="shared" ca="1" si="146"/>
        <v>26</v>
      </c>
      <c r="G403">
        <f t="shared" ca="1" si="147"/>
        <v>4</v>
      </c>
      <c r="H403" t="str">
        <f t="shared" ca="1" si="148"/>
        <v>IT</v>
      </c>
      <c r="I403">
        <f t="shared" ca="1" si="149"/>
        <v>5</v>
      </c>
      <c r="J403" t="str">
        <f t="shared" ca="1" si="150"/>
        <v>Other</v>
      </c>
      <c r="K403">
        <f t="shared" ca="1" si="151"/>
        <v>2</v>
      </c>
      <c r="L403">
        <f t="shared" ca="1" si="152"/>
        <v>1</v>
      </c>
      <c r="M403">
        <f t="shared" ca="1" si="153"/>
        <v>43615</v>
      </c>
      <c r="N403">
        <f t="shared" ca="1" si="154"/>
        <v>6</v>
      </c>
      <c r="O403" t="str">
        <f t="shared" ca="1" si="155"/>
        <v>Saskatchewan</v>
      </c>
      <c r="P403">
        <f t="shared" ca="1" si="138"/>
        <v>218075</v>
      </c>
      <c r="Q403">
        <f t="shared" ca="1" si="156"/>
        <v>87383.824842947724</v>
      </c>
      <c r="R403">
        <f t="shared" ca="1" si="143"/>
        <v>37085.676608446483</v>
      </c>
      <c r="S403">
        <f t="shared" ca="1" si="157"/>
        <v>9868</v>
      </c>
      <c r="T403">
        <f t="shared" ca="1" si="139"/>
        <v>17411.10087428083</v>
      </c>
      <c r="U403">
        <f t="shared" ca="1" si="140"/>
        <v>44640.405714350301</v>
      </c>
      <c r="V403">
        <f t="shared" ca="1" si="141"/>
        <v>299801.08232279681</v>
      </c>
      <c r="W403">
        <f t="shared" ca="1" si="142"/>
        <v>114662.92571722856</v>
      </c>
      <c r="Z403" s="4">
        <f t="shared" ca="1" si="158"/>
        <v>0</v>
      </c>
      <c r="AA403">
        <f t="shared" ca="1" si="159"/>
        <v>1</v>
      </c>
      <c r="AC403" s="5"/>
      <c r="AX403" s="10">
        <f ca="1">Table1[[#This Row],[Car Value]]/Table1[[#This Row],[No. of Vehicles]]</f>
        <v>37085.676608446483</v>
      </c>
      <c r="AZ403">
        <f ca="1">IF(Table1[[#This Row],[Debts]]&gt;$BA$3,1,0)</f>
        <v>0</v>
      </c>
      <c r="BC403" s="12">
        <f ca="1">Table1[[#This Row],[Mortage left]]/Table1[[#This Row],[Value of The House]]</f>
        <v>0.40070537587044697</v>
      </c>
      <c r="BD403" s="4">
        <f t="shared" ca="1" si="160"/>
        <v>0</v>
      </c>
      <c r="BE403" s="5"/>
    </row>
    <row r="404" spans="4:57" x14ac:dyDescent="0.3">
      <c r="D404">
        <f t="shared" ca="1" si="144"/>
        <v>1</v>
      </c>
      <c r="E404" t="str">
        <f t="shared" ca="1" si="145"/>
        <v>Male</v>
      </c>
      <c r="F404">
        <f t="shared" ca="1" si="146"/>
        <v>32</v>
      </c>
      <c r="G404">
        <f t="shared" ca="1" si="147"/>
        <v>4</v>
      </c>
      <c r="H404" t="str">
        <f t="shared" ca="1" si="148"/>
        <v>IT</v>
      </c>
      <c r="I404">
        <f t="shared" ca="1" si="149"/>
        <v>4</v>
      </c>
      <c r="J404" t="str">
        <f t="shared" ca="1" si="150"/>
        <v>Technical</v>
      </c>
      <c r="K404">
        <f t="shared" ca="1" si="151"/>
        <v>4</v>
      </c>
      <c r="L404">
        <f t="shared" ca="1" si="152"/>
        <v>1</v>
      </c>
      <c r="M404">
        <f t="shared" ca="1" si="153"/>
        <v>28778</v>
      </c>
      <c r="N404">
        <f t="shared" ca="1" si="154"/>
        <v>8</v>
      </c>
      <c r="O404" t="str">
        <f t="shared" ca="1" si="155"/>
        <v>Ontario</v>
      </c>
      <c r="P404">
        <f t="shared" ca="1" si="138"/>
        <v>172668</v>
      </c>
      <c r="Q404">
        <f t="shared" ca="1" si="156"/>
        <v>145185.99992741924</v>
      </c>
      <c r="R404">
        <f t="shared" ca="1" si="143"/>
        <v>7051.7534339392996</v>
      </c>
      <c r="S404">
        <f t="shared" ca="1" si="157"/>
        <v>1311</v>
      </c>
      <c r="T404">
        <f t="shared" ca="1" si="139"/>
        <v>29351.867593027568</v>
      </c>
      <c r="U404">
        <f t="shared" ca="1" si="140"/>
        <v>19804.990662467502</v>
      </c>
      <c r="V404">
        <f t="shared" ca="1" si="141"/>
        <v>199524.74409640679</v>
      </c>
      <c r="W404">
        <f t="shared" ca="1" si="142"/>
        <v>175848.8675204468</v>
      </c>
      <c r="Z404" s="4">
        <f t="shared" ca="1" si="158"/>
        <v>1</v>
      </c>
      <c r="AA404">
        <f t="shared" ca="1" si="159"/>
        <v>0</v>
      </c>
      <c r="AC404" s="5"/>
      <c r="AX404" s="10">
        <f ca="1">Table1[[#This Row],[Car Value]]/Table1[[#This Row],[No. of Vehicles]]</f>
        <v>7051.7534339392996</v>
      </c>
      <c r="AZ404">
        <f ca="1">IF(Table1[[#This Row],[Debts]]&gt;$BA$3,1,0)</f>
        <v>1</v>
      </c>
      <c r="BC404" s="12">
        <f ca="1">Table1[[#This Row],[Mortage left]]/Table1[[#This Row],[Value of The House]]</f>
        <v>0.84083906645944373</v>
      </c>
      <c r="BD404" s="4">
        <f t="shared" ca="1" si="160"/>
        <v>0</v>
      </c>
      <c r="BE404" s="5"/>
    </row>
    <row r="405" spans="4:57" x14ac:dyDescent="0.3">
      <c r="D405">
        <f t="shared" ca="1" si="144"/>
        <v>2</v>
      </c>
      <c r="E405" t="str">
        <f t="shared" ca="1" si="145"/>
        <v>Female</v>
      </c>
      <c r="F405">
        <f t="shared" ca="1" si="146"/>
        <v>26</v>
      </c>
      <c r="G405">
        <f t="shared" ca="1" si="147"/>
        <v>6</v>
      </c>
      <c r="H405" t="str">
        <f t="shared" ca="1" si="148"/>
        <v>General Work</v>
      </c>
      <c r="I405">
        <f t="shared" ca="1" si="149"/>
        <v>3</v>
      </c>
      <c r="J405" t="str">
        <f t="shared" ca="1" si="150"/>
        <v>University</v>
      </c>
      <c r="K405">
        <f t="shared" ca="1" si="151"/>
        <v>2</v>
      </c>
      <c r="L405">
        <f t="shared" ca="1" si="152"/>
        <v>2</v>
      </c>
      <c r="M405">
        <f t="shared" ca="1" si="153"/>
        <v>33305</v>
      </c>
      <c r="N405">
        <f t="shared" ca="1" si="154"/>
        <v>5</v>
      </c>
      <c r="O405" t="str">
        <f t="shared" ca="1" si="155"/>
        <v>Nunavut</v>
      </c>
      <c r="P405">
        <f t="shared" ca="1" si="138"/>
        <v>133220</v>
      </c>
      <c r="Q405">
        <f t="shared" ca="1" si="156"/>
        <v>125267.38003908143</v>
      </c>
      <c r="R405">
        <f t="shared" ca="1" si="143"/>
        <v>31694.119892528553</v>
      </c>
      <c r="S405">
        <f t="shared" ca="1" si="157"/>
        <v>17897</v>
      </c>
      <c r="T405">
        <f t="shared" ca="1" si="139"/>
        <v>58244.734208049027</v>
      </c>
      <c r="U405">
        <f t="shared" ca="1" si="140"/>
        <v>44525.316342388018</v>
      </c>
      <c r="V405">
        <f t="shared" ca="1" si="141"/>
        <v>209439.43623491656</v>
      </c>
      <c r="W405">
        <f t="shared" ca="1" si="142"/>
        <v>201409.11424713046</v>
      </c>
      <c r="Z405" s="4">
        <f t="shared" ca="1" si="158"/>
        <v>0</v>
      </c>
      <c r="AA405">
        <f t="shared" ca="1" si="159"/>
        <v>1</v>
      </c>
      <c r="AC405" s="5"/>
      <c r="AX405" s="10">
        <f ca="1">Table1[[#This Row],[Car Value]]/Table1[[#This Row],[No. of Vehicles]]</f>
        <v>15847.059946264277</v>
      </c>
      <c r="AZ405">
        <f ca="1">IF(Table1[[#This Row],[Debts]]&gt;$BA$3,1,0)</f>
        <v>1</v>
      </c>
      <c r="BC405" s="12">
        <f ca="1">Table1[[#This Row],[Mortage left]]/Table1[[#This Row],[Value of The House]]</f>
        <v>0.94030460921094006</v>
      </c>
      <c r="BD405" s="4">
        <f t="shared" ca="1" si="160"/>
        <v>0</v>
      </c>
      <c r="BE405" s="5"/>
    </row>
    <row r="406" spans="4:57" x14ac:dyDescent="0.3">
      <c r="D406">
        <f t="shared" ca="1" si="144"/>
        <v>1</v>
      </c>
      <c r="E406" t="str">
        <f t="shared" ca="1" si="145"/>
        <v>Male</v>
      </c>
      <c r="F406">
        <f t="shared" ca="1" si="146"/>
        <v>43</v>
      </c>
      <c r="G406">
        <f t="shared" ca="1" si="147"/>
        <v>2</v>
      </c>
      <c r="H406" t="str">
        <f t="shared" ca="1" si="148"/>
        <v>Construction</v>
      </c>
      <c r="I406">
        <f t="shared" ca="1" si="149"/>
        <v>2</v>
      </c>
      <c r="J406" t="str">
        <f t="shared" ca="1" si="150"/>
        <v>College</v>
      </c>
      <c r="K406">
        <f t="shared" ca="1" si="151"/>
        <v>1</v>
      </c>
      <c r="L406">
        <f t="shared" ca="1" si="152"/>
        <v>1</v>
      </c>
      <c r="M406">
        <f t="shared" ca="1" si="153"/>
        <v>77716</v>
      </c>
      <c r="N406">
        <f t="shared" ca="1" si="154"/>
        <v>9</v>
      </c>
      <c r="O406" t="str">
        <f t="shared" ca="1" si="155"/>
        <v>Quebec</v>
      </c>
      <c r="P406">
        <f t="shared" ca="1" si="138"/>
        <v>466296</v>
      </c>
      <c r="Q406">
        <f t="shared" ca="1" si="156"/>
        <v>8976.958257185448</v>
      </c>
      <c r="R406">
        <f t="shared" ca="1" si="143"/>
        <v>18139.259248767059</v>
      </c>
      <c r="S406">
        <f t="shared" ca="1" si="157"/>
        <v>3355</v>
      </c>
      <c r="T406">
        <f t="shared" ca="1" si="139"/>
        <v>11434.798762506662</v>
      </c>
      <c r="U406">
        <f t="shared" ca="1" si="140"/>
        <v>101566.18728606033</v>
      </c>
      <c r="V406">
        <f t="shared" ca="1" si="141"/>
        <v>586001.44653482735</v>
      </c>
      <c r="W406">
        <f t="shared" ca="1" si="142"/>
        <v>23766.757019692108</v>
      </c>
      <c r="Z406" s="4">
        <f t="shared" ca="1" si="158"/>
        <v>1</v>
      </c>
      <c r="AA406">
        <f t="shared" ca="1" si="159"/>
        <v>0</v>
      </c>
      <c r="AC406" s="5"/>
      <c r="AX406" s="10">
        <f ca="1">Table1[[#This Row],[Car Value]]/Table1[[#This Row],[No. of Vehicles]]</f>
        <v>18139.259248767059</v>
      </c>
      <c r="AZ406">
        <f ca="1">IF(Table1[[#This Row],[Debts]]&gt;$BA$3,1,0)</f>
        <v>0</v>
      </c>
      <c r="BC406" s="12">
        <f ca="1">Table1[[#This Row],[Mortage left]]/Table1[[#This Row],[Value of The House]]</f>
        <v>1.9251630417557619E-2</v>
      </c>
      <c r="BD406" s="4">
        <f t="shared" ca="1" si="160"/>
        <v>1</v>
      </c>
      <c r="BE406" s="5"/>
    </row>
    <row r="407" spans="4:57" x14ac:dyDescent="0.3">
      <c r="D407">
        <f t="shared" ca="1" si="144"/>
        <v>1</v>
      </c>
      <c r="E407" t="str">
        <f t="shared" ca="1" si="145"/>
        <v>Male</v>
      </c>
      <c r="F407">
        <f t="shared" ca="1" si="146"/>
        <v>37</v>
      </c>
      <c r="G407">
        <f t="shared" ca="1" si="147"/>
        <v>2</v>
      </c>
      <c r="H407" t="str">
        <f t="shared" ca="1" si="148"/>
        <v>Construction</v>
      </c>
      <c r="I407">
        <f t="shared" ca="1" si="149"/>
        <v>2</v>
      </c>
      <c r="J407" t="str">
        <f t="shared" ca="1" si="150"/>
        <v>College</v>
      </c>
      <c r="K407">
        <f t="shared" ca="1" si="151"/>
        <v>3</v>
      </c>
      <c r="L407">
        <f t="shared" ca="1" si="152"/>
        <v>2</v>
      </c>
      <c r="M407">
        <f t="shared" ca="1" si="153"/>
        <v>57164</v>
      </c>
      <c r="N407">
        <f t="shared" ca="1" si="154"/>
        <v>13</v>
      </c>
      <c r="O407" t="str">
        <f t="shared" ca="1" si="155"/>
        <v>Prince Edward Islnd</v>
      </c>
      <c r="P407">
        <f t="shared" ca="1" si="138"/>
        <v>285820</v>
      </c>
      <c r="Q407">
        <f t="shared" ca="1" si="156"/>
        <v>21137.02884619555</v>
      </c>
      <c r="R407">
        <f t="shared" ca="1" si="143"/>
        <v>78533.23850858747</v>
      </c>
      <c r="S407">
        <f t="shared" ca="1" si="157"/>
        <v>76675</v>
      </c>
      <c r="T407">
        <f t="shared" ca="1" si="139"/>
        <v>75765.142632908595</v>
      </c>
      <c r="U407">
        <f t="shared" ca="1" si="140"/>
        <v>83988.568175064604</v>
      </c>
      <c r="V407">
        <f t="shared" ca="1" si="141"/>
        <v>448341.8066836521</v>
      </c>
      <c r="W407">
        <f t="shared" ca="1" si="142"/>
        <v>173577.17147910414</v>
      </c>
      <c r="Z407" s="4">
        <f t="shared" ca="1" si="158"/>
        <v>1</v>
      </c>
      <c r="AA407">
        <f t="shared" ca="1" si="159"/>
        <v>0</v>
      </c>
      <c r="AC407" s="5"/>
      <c r="AX407" s="10">
        <f ca="1">Table1[[#This Row],[Car Value]]/Table1[[#This Row],[No. of Vehicles]]</f>
        <v>39266.619254293735</v>
      </c>
      <c r="AZ407">
        <f ca="1">IF(Table1[[#This Row],[Debts]]&gt;$BA$3,1,0)</f>
        <v>1</v>
      </c>
      <c r="BC407" s="12">
        <f ca="1">Table1[[#This Row],[Mortage left]]/Table1[[#This Row],[Value of The House]]</f>
        <v>7.3952238633390066E-2</v>
      </c>
      <c r="BD407" s="4">
        <f t="shared" ca="1" si="160"/>
        <v>1</v>
      </c>
      <c r="BE407" s="5"/>
    </row>
    <row r="408" spans="4:57" x14ac:dyDescent="0.3">
      <c r="D408">
        <f t="shared" ca="1" si="144"/>
        <v>1</v>
      </c>
      <c r="E408" t="str">
        <f t="shared" ca="1" si="145"/>
        <v>Male</v>
      </c>
      <c r="F408">
        <f t="shared" ca="1" si="146"/>
        <v>34</v>
      </c>
      <c r="G408">
        <f t="shared" ca="1" si="147"/>
        <v>3</v>
      </c>
      <c r="H408" t="str">
        <f t="shared" ca="1" si="148"/>
        <v>Teaching</v>
      </c>
      <c r="I408">
        <f t="shared" ca="1" si="149"/>
        <v>5</v>
      </c>
      <c r="J408" t="str">
        <f t="shared" ca="1" si="150"/>
        <v>Other</v>
      </c>
      <c r="K408">
        <f t="shared" ca="1" si="151"/>
        <v>2</v>
      </c>
      <c r="L408">
        <f t="shared" ca="1" si="152"/>
        <v>2</v>
      </c>
      <c r="M408">
        <f t="shared" ca="1" si="153"/>
        <v>80078</v>
      </c>
      <c r="N408">
        <f t="shared" ca="1" si="154"/>
        <v>11</v>
      </c>
      <c r="O408" t="str">
        <f t="shared" ca="1" si="155"/>
        <v>New bruncwick</v>
      </c>
      <c r="P408">
        <f t="shared" ca="1" si="138"/>
        <v>400390</v>
      </c>
      <c r="Q408">
        <f t="shared" ca="1" si="156"/>
        <v>61554.064637847667</v>
      </c>
      <c r="R408">
        <f t="shared" ca="1" si="143"/>
        <v>45476.647091730403</v>
      </c>
      <c r="S408">
        <f t="shared" ca="1" si="157"/>
        <v>38719</v>
      </c>
      <c r="T408">
        <f t="shared" ca="1" si="139"/>
        <v>26234.222306273012</v>
      </c>
      <c r="U408">
        <f t="shared" ca="1" si="140"/>
        <v>44285.429414736805</v>
      </c>
      <c r="V408">
        <f t="shared" ca="1" si="141"/>
        <v>490152.07650646719</v>
      </c>
      <c r="W408">
        <f t="shared" ca="1" si="142"/>
        <v>126507.28694412069</v>
      </c>
      <c r="Z408" s="4">
        <f t="shared" ca="1" si="158"/>
        <v>1</v>
      </c>
      <c r="AA408">
        <f t="shared" ca="1" si="159"/>
        <v>0</v>
      </c>
      <c r="AC408" s="5"/>
      <c r="AX408" s="10">
        <f ca="1">Table1[[#This Row],[Car Value]]/Table1[[#This Row],[No. of Vehicles]]</f>
        <v>22738.323545865202</v>
      </c>
      <c r="AZ408">
        <f ca="1">IF(Table1[[#This Row],[Debts]]&gt;$BA$3,1,0)</f>
        <v>1</v>
      </c>
      <c r="BC408" s="12">
        <f ca="1">Table1[[#This Row],[Mortage left]]/Table1[[#This Row],[Value of The House]]</f>
        <v>0.15373526970665519</v>
      </c>
      <c r="BD408" s="4">
        <f t="shared" ca="1" si="160"/>
        <v>1</v>
      </c>
      <c r="BE408" s="5"/>
    </row>
    <row r="409" spans="4:57" x14ac:dyDescent="0.3">
      <c r="D409">
        <f t="shared" ca="1" si="144"/>
        <v>1</v>
      </c>
      <c r="E409" t="str">
        <f t="shared" ca="1" si="145"/>
        <v>Male</v>
      </c>
      <c r="F409">
        <f t="shared" ca="1" si="146"/>
        <v>37</v>
      </c>
      <c r="G409">
        <f t="shared" ca="1" si="147"/>
        <v>3</v>
      </c>
      <c r="H409" t="str">
        <f t="shared" ca="1" si="148"/>
        <v>Teaching</v>
      </c>
      <c r="I409">
        <f t="shared" ca="1" si="149"/>
        <v>3</v>
      </c>
      <c r="J409" t="str">
        <f t="shared" ca="1" si="150"/>
        <v>University</v>
      </c>
      <c r="K409">
        <f t="shared" ca="1" si="151"/>
        <v>3</v>
      </c>
      <c r="L409">
        <f t="shared" ca="1" si="152"/>
        <v>1</v>
      </c>
      <c r="M409">
        <f t="shared" ca="1" si="153"/>
        <v>74852</v>
      </c>
      <c r="N409">
        <f t="shared" ca="1" si="154"/>
        <v>2</v>
      </c>
      <c r="O409" t="str">
        <f t="shared" ca="1" si="155"/>
        <v>BC</v>
      </c>
      <c r="P409">
        <f t="shared" ca="1" si="138"/>
        <v>374260</v>
      </c>
      <c r="Q409">
        <f t="shared" ca="1" si="156"/>
        <v>216563.06980633675</v>
      </c>
      <c r="R409">
        <f t="shared" ca="1" si="143"/>
        <v>62405.176382038117</v>
      </c>
      <c r="S409">
        <f t="shared" ca="1" si="157"/>
        <v>13500</v>
      </c>
      <c r="T409">
        <f t="shared" ca="1" si="139"/>
        <v>139932.70013226348</v>
      </c>
      <c r="U409">
        <f t="shared" ca="1" si="140"/>
        <v>44476.576601750348</v>
      </c>
      <c r="V409">
        <f t="shared" ca="1" si="141"/>
        <v>481141.75298378844</v>
      </c>
      <c r="W409">
        <f t="shared" ca="1" si="142"/>
        <v>369995.76993860025</v>
      </c>
      <c r="Z409" s="4">
        <f t="shared" ca="1" si="158"/>
        <v>1</v>
      </c>
      <c r="AA409">
        <f t="shared" ca="1" si="159"/>
        <v>0</v>
      </c>
      <c r="AC409" s="5"/>
      <c r="AX409" s="10">
        <f ca="1">Table1[[#This Row],[Car Value]]/Table1[[#This Row],[No. of Vehicles]]</f>
        <v>62405.176382038117</v>
      </c>
      <c r="AZ409">
        <f ca="1">IF(Table1[[#This Row],[Debts]]&gt;$BA$3,1,0)</f>
        <v>1</v>
      </c>
      <c r="BC409" s="12">
        <f ca="1">Table1[[#This Row],[Mortage left]]/Table1[[#This Row],[Value of The House]]</f>
        <v>0.57864337574503488</v>
      </c>
      <c r="BD409" s="4">
        <f t="shared" ca="1" si="160"/>
        <v>0</v>
      </c>
      <c r="BE409" s="5"/>
    </row>
    <row r="410" spans="4:57" x14ac:dyDescent="0.3">
      <c r="D410">
        <f t="shared" ca="1" si="144"/>
        <v>1</v>
      </c>
      <c r="E410" t="str">
        <f t="shared" ca="1" si="145"/>
        <v>Male</v>
      </c>
      <c r="F410">
        <f t="shared" ca="1" si="146"/>
        <v>41</v>
      </c>
      <c r="G410">
        <f t="shared" ca="1" si="147"/>
        <v>4</v>
      </c>
      <c r="H410" t="str">
        <f t="shared" ca="1" si="148"/>
        <v>IT</v>
      </c>
      <c r="I410">
        <f t="shared" ca="1" si="149"/>
        <v>5</v>
      </c>
      <c r="J410" t="str">
        <f t="shared" ca="1" si="150"/>
        <v>Other</v>
      </c>
      <c r="K410">
        <f t="shared" ca="1" si="151"/>
        <v>1</v>
      </c>
      <c r="L410">
        <f t="shared" ca="1" si="152"/>
        <v>1</v>
      </c>
      <c r="M410">
        <f t="shared" ca="1" si="153"/>
        <v>44428</v>
      </c>
      <c r="N410">
        <f t="shared" ca="1" si="154"/>
        <v>13</v>
      </c>
      <c r="O410" t="str">
        <f t="shared" ca="1" si="155"/>
        <v>Prince Edward Islnd</v>
      </c>
      <c r="P410">
        <f t="shared" ca="1" si="138"/>
        <v>177712</v>
      </c>
      <c r="Q410">
        <f t="shared" ca="1" si="156"/>
        <v>128459.94439964129</v>
      </c>
      <c r="R410">
        <f t="shared" ca="1" si="143"/>
        <v>42887.371198667061</v>
      </c>
      <c r="S410">
        <f t="shared" ca="1" si="157"/>
        <v>28520</v>
      </c>
      <c r="T410">
        <f t="shared" ca="1" si="139"/>
        <v>67021.706859581682</v>
      </c>
      <c r="U410">
        <f t="shared" ca="1" si="140"/>
        <v>25044.035107280921</v>
      </c>
      <c r="V410">
        <f t="shared" ca="1" si="141"/>
        <v>245643.40630594798</v>
      </c>
      <c r="W410">
        <f t="shared" ca="1" si="142"/>
        <v>224001.651259223</v>
      </c>
      <c r="Z410" s="4">
        <f t="shared" ca="1" si="158"/>
        <v>1</v>
      </c>
      <c r="AA410">
        <f t="shared" ca="1" si="159"/>
        <v>0</v>
      </c>
      <c r="AC410" s="5"/>
      <c r="AX410" s="10">
        <f ca="1">Table1[[#This Row],[Car Value]]/Table1[[#This Row],[No. of Vehicles]]</f>
        <v>42887.371198667061</v>
      </c>
      <c r="AZ410">
        <f ca="1">IF(Table1[[#This Row],[Debts]]&gt;$BA$3,1,0)</f>
        <v>1</v>
      </c>
      <c r="BC410" s="12">
        <f ca="1">Table1[[#This Row],[Mortage left]]/Table1[[#This Row],[Value of The House]]</f>
        <v>0.72285464346606465</v>
      </c>
      <c r="BD410" s="4">
        <f t="shared" ca="1" si="160"/>
        <v>0</v>
      </c>
      <c r="BE410" s="5"/>
    </row>
    <row r="411" spans="4:57" x14ac:dyDescent="0.3">
      <c r="D411">
        <f t="shared" ca="1" si="144"/>
        <v>2</v>
      </c>
      <c r="E411" t="str">
        <f t="shared" ca="1" si="145"/>
        <v>Female</v>
      </c>
      <c r="F411">
        <f t="shared" ca="1" si="146"/>
        <v>31</v>
      </c>
      <c r="G411">
        <f t="shared" ca="1" si="147"/>
        <v>1</v>
      </c>
      <c r="H411" t="str">
        <f t="shared" ca="1" si="148"/>
        <v>Health</v>
      </c>
      <c r="I411">
        <f t="shared" ca="1" si="149"/>
        <v>2</v>
      </c>
      <c r="J411" t="str">
        <f t="shared" ca="1" si="150"/>
        <v>College</v>
      </c>
      <c r="K411">
        <f t="shared" ca="1" si="151"/>
        <v>4</v>
      </c>
      <c r="L411">
        <f t="shared" ca="1" si="152"/>
        <v>1</v>
      </c>
      <c r="M411">
        <f t="shared" ca="1" si="153"/>
        <v>49989</v>
      </c>
      <c r="N411">
        <f t="shared" ca="1" si="154"/>
        <v>13</v>
      </c>
      <c r="O411" t="str">
        <f t="shared" ca="1" si="155"/>
        <v>Prince Edward Islnd</v>
      </c>
      <c r="P411">
        <f t="shared" ca="1" si="138"/>
        <v>299934</v>
      </c>
      <c r="Q411">
        <f t="shared" ca="1" si="156"/>
        <v>88009.556540531936</v>
      </c>
      <c r="R411">
        <f t="shared" ca="1" si="143"/>
        <v>7100.4083440633185</v>
      </c>
      <c r="S411">
        <f t="shared" ca="1" si="157"/>
        <v>2036</v>
      </c>
      <c r="T411">
        <f t="shared" ca="1" si="139"/>
        <v>60023.525839526155</v>
      </c>
      <c r="U411">
        <f t="shared" ca="1" si="140"/>
        <v>36199.591895285295</v>
      </c>
      <c r="V411">
        <f t="shared" ca="1" si="141"/>
        <v>343234.00023934862</v>
      </c>
      <c r="W411">
        <f t="shared" ca="1" si="142"/>
        <v>150069.0823800581</v>
      </c>
      <c r="Z411" s="4">
        <f t="shared" ca="1" si="158"/>
        <v>0</v>
      </c>
      <c r="AA411">
        <f t="shared" ca="1" si="159"/>
        <v>1</v>
      </c>
      <c r="AC411" s="5"/>
      <c r="AX411" s="10">
        <f ca="1">Table1[[#This Row],[Car Value]]/Table1[[#This Row],[No. of Vehicles]]</f>
        <v>7100.4083440633185</v>
      </c>
      <c r="AZ411">
        <f ca="1">IF(Table1[[#This Row],[Debts]]&gt;$BA$3,1,0)</f>
        <v>1</v>
      </c>
      <c r="BC411" s="12">
        <f ca="1">Table1[[#This Row],[Mortage left]]/Table1[[#This Row],[Value of The House]]</f>
        <v>0.29342974301190239</v>
      </c>
      <c r="BD411" s="4">
        <f t="shared" ca="1" si="160"/>
        <v>0</v>
      </c>
      <c r="BE411" s="5"/>
    </row>
    <row r="412" spans="4:57" x14ac:dyDescent="0.3">
      <c r="D412">
        <f t="shared" ca="1" si="144"/>
        <v>2</v>
      </c>
      <c r="E412" t="str">
        <f t="shared" ca="1" si="145"/>
        <v>Female</v>
      </c>
      <c r="F412">
        <f t="shared" ca="1" si="146"/>
        <v>27</v>
      </c>
      <c r="G412">
        <f t="shared" ca="1" si="147"/>
        <v>3</v>
      </c>
      <c r="H412" t="str">
        <f t="shared" ca="1" si="148"/>
        <v>Teaching</v>
      </c>
      <c r="I412">
        <f t="shared" ca="1" si="149"/>
        <v>5</v>
      </c>
      <c r="J412" t="str">
        <f t="shared" ca="1" si="150"/>
        <v>Other</v>
      </c>
      <c r="K412">
        <f t="shared" ca="1" si="151"/>
        <v>2</v>
      </c>
      <c r="L412">
        <f t="shared" ca="1" si="152"/>
        <v>2</v>
      </c>
      <c r="M412">
        <f t="shared" ca="1" si="153"/>
        <v>67649</v>
      </c>
      <c r="N412">
        <f t="shared" ca="1" si="154"/>
        <v>10</v>
      </c>
      <c r="O412" t="str">
        <f t="shared" ca="1" si="155"/>
        <v>Newfouland</v>
      </c>
      <c r="P412">
        <f t="shared" ca="1" si="138"/>
        <v>405894</v>
      </c>
      <c r="Q412">
        <f t="shared" ca="1" si="156"/>
        <v>74963.709794766852</v>
      </c>
      <c r="R412">
        <f t="shared" ca="1" si="143"/>
        <v>67727.939767307107</v>
      </c>
      <c r="S412">
        <f t="shared" ca="1" si="157"/>
        <v>61793</v>
      </c>
      <c r="T412">
        <f t="shared" ca="1" si="139"/>
        <v>109781.6222090891</v>
      </c>
      <c r="U412">
        <f t="shared" ca="1" si="140"/>
        <v>65294.430172785636</v>
      </c>
      <c r="V412">
        <f t="shared" ca="1" si="141"/>
        <v>538916.36994009279</v>
      </c>
      <c r="W412">
        <f t="shared" ca="1" si="142"/>
        <v>246538.33200385596</v>
      </c>
      <c r="Z412" s="4">
        <f t="shared" ca="1" si="158"/>
        <v>0</v>
      </c>
      <c r="AA412">
        <f t="shared" ca="1" si="159"/>
        <v>1</v>
      </c>
      <c r="AC412" s="5"/>
      <c r="AX412" s="10">
        <f ca="1">Table1[[#This Row],[Car Value]]/Table1[[#This Row],[No. of Vehicles]]</f>
        <v>33863.969883653554</v>
      </c>
      <c r="AZ412">
        <f ca="1">IF(Table1[[#This Row],[Debts]]&gt;$BA$3,1,0)</f>
        <v>1</v>
      </c>
      <c r="BC412" s="12">
        <f ca="1">Table1[[#This Row],[Mortage left]]/Table1[[#This Row],[Value of The House]]</f>
        <v>0.18468789830538726</v>
      </c>
      <c r="BD412" s="4">
        <f t="shared" ca="1" si="160"/>
        <v>1</v>
      </c>
      <c r="BE412" s="5"/>
    </row>
    <row r="413" spans="4:57" x14ac:dyDescent="0.3">
      <c r="D413">
        <f t="shared" ca="1" si="144"/>
        <v>1</v>
      </c>
      <c r="E413" t="str">
        <f t="shared" ca="1" si="145"/>
        <v>Male</v>
      </c>
      <c r="F413">
        <f t="shared" ca="1" si="146"/>
        <v>33</v>
      </c>
      <c r="G413">
        <f t="shared" ca="1" si="147"/>
        <v>2</v>
      </c>
      <c r="H413" t="str">
        <f t="shared" ca="1" si="148"/>
        <v>Construction</v>
      </c>
      <c r="I413">
        <f t="shared" ca="1" si="149"/>
        <v>3</v>
      </c>
      <c r="J413" t="str">
        <f t="shared" ca="1" si="150"/>
        <v>University</v>
      </c>
      <c r="K413">
        <f t="shared" ca="1" si="151"/>
        <v>1</v>
      </c>
      <c r="L413">
        <f t="shared" ca="1" si="152"/>
        <v>1</v>
      </c>
      <c r="M413">
        <f t="shared" ca="1" si="153"/>
        <v>70673</v>
      </c>
      <c r="N413">
        <f t="shared" ca="1" si="154"/>
        <v>11</v>
      </c>
      <c r="O413" t="str">
        <f t="shared" ca="1" si="155"/>
        <v>New bruncwick</v>
      </c>
      <c r="P413">
        <f t="shared" ca="1" si="138"/>
        <v>282692</v>
      </c>
      <c r="Q413">
        <f t="shared" ca="1" si="156"/>
        <v>60789.033806223662</v>
      </c>
      <c r="R413">
        <f t="shared" ca="1" si="143"/>
        <v>62880.918154382111</v>
      </c>
      <c r="S413">
        <f t="shared" ca="1" si="157"/>
        <v>51241</v>
      </c>
      <c r="T413">
        <f t="shared" ca="1" si="139"/>
        <v>24879.614017572891</v>
      </c>
      <c r="U413">
        <f t="shared" ca="1" si="140"/>
        <v>83201.244222753667</v>
      </c>
      <c r="V413">
        <f t="shared" ca="1" si="141"/>
        <v>428774.16237713577</v>
      </c>
      <c r="W413">
        <f t="shared" ca="1" si="142"/>
        <v>136909.64782379655</v>
      </c>
      <c r="Z413" s="4">
        <f t="shared" ca="1" si="158"/>
        <v>1</v>
      </c>
      <c r="AA413">
        <f t="shared" ca="1" si="159"/>
        <v>0</v>
      </c>
      <c r="AC413" s="5"/>
      <c r="AX413" s="10">
        <f ca="1">Table1[[#This Row],[Car Value]]/Table1[[#This Row],[No. of Vehicles]]</f>
        <v>62880.918154382111</v>
      </c>
      <c r="AZ413">
        <f ca="1">IF(Table1[[#This Row],[Debts]]&gt;$BA$3,1,0)</f>
        <v>1</v>
      </c>
      <c r="BC413" s="12">
        <f ca="1">Table1[[#This Row],[Mortage left]]/Table1[[#This Row],[Value of The House]]</f>
        <v>0.21503627200707365</v>
      </c>
      <c r="BD413" s="4">
        <f t="shared" ca="1" si="160"/>
        <v>0</v>
      </c>
      <c r="BE413" s="5"/>
    </row>
    <row r="414" spans="4:57" x14ac:dyDescent="0.3">
      <c r="D414">
        <f t="shared" ca="1" si="144"/>
        <v>1</v>
      </c>
      <c r="E414" t="str">
        <f t="shared" ca="1" si="145"/>
        <v>Male</v>
      </c>
      <c r="F414">
        <f t="shared" ca="1" si="146"/>
        <v>29</v>
      </c>
      <c r="G414">
        <f t="shared" ca="1" si="147"/>
        <v>3</v>
      </c>
      <c r="H414" t="str">
        <f t="shared" ca="1" si="148"/>
        <v>Teaching</v>
      </c>
      <c r="I414">
        <f t="shared" ca="1" si="149"/>
        <v>5</v>
      </c>
      <c r="J414" t="str">
        <f t="shared" ca="1" si="150"/>
        <v>Other</v>
      </c>
      <c r="K414">
        <f t="shared" ca="1" si="151"/>
        <v>2</v>
      </c>
      <c r="L414">
        <f t="shared" ca="1" si="152"/>
        <v>1</v>
      </c>
      <c r="M414">
        <f t="shared" ca="1" si="153"/>
        <v>44443</v>
      </c>
      <c r="N414">
        <f t="shared" ca="1" si="154"/>
        <v>10</v>
      </c>
      <c r="O414" t="str">
        <f t="shared" ca="1" si="155"/>
        <v>Newfouland</v>
      </c>
      <c r="P414">
        <f t="shared" ca="1" si="138"/>
        <v>177772</v>
      </c>
      <c r="Q414">
        <f t="shared" ca="1" si="156"/>
        <v>149805.53748520397</v>
      </c>
      <c r="R414">
        <f t="shared" ca="1" si="143"/>
        <v>8246.4442814874765</v>
      </c>
      <c r="S414">
        <f t="shared" ca="1" si="157"/>
        <v>7470</v>
      </c>
      <c r="T414">
        <f t="shared" ca="1" si="139"/>
        <v>22595.942399762866</v>
      </c>
      <c r="U414">
        <f t="shared" ca="1" si="140"/>
        <v>26401.196242629303</v>
      </c>
      <c r="V414">
        <f t="shared" ca="1" si="141"/>
        <v>212419.64052411675</v>
      </c>
      <c r="W414">
        <f t="shared" ca="1" si="142"/>
        <v>179871.47988496683</v>
      </c>
      <c r="Z414" s="4">
        <f t="shared" ca="1" si="158"/>
        <v>1</v>
      </c>
      <c r="AA414">
        <f t="shared" ca="1" si="159"/>
        <v>0</v>
      </c>
      <c r="AC414" s="5"/>
      <c r="AX414" s="10">
        <f ca="1">Table1[[#This Row],[Car Value]]/Table1[[#This Row],[No. of Vehicles]]</f>
        <v>8246.4442814874765</v>
      </c>
      <c r="AZ414">
        <f ca="1">IF(Table1[[#This Row],[Debts]]&gt;$BA$3,1,0)</f>
        <v>1</v>
      </c>
      <c r="BC414" s="12">
        <f ca="1">Table1[[#This Row],[Mortage left]]/Table1[[#This Row],[Value of The House]]</f>
        <v>0.8426835355691783</v>
      </c>
      <c r="BD414" s="4">
        <f t="shared" ca="1" si="160"/>
        <v>0</v>
      </c>
      <c r="BE414" s="5"/>
    </row>
    <row r="415" spans="4:57" x14ac:dyDescent="0.3">
      <c r="D415">
        <f t="shared" ca="1" si="144"/>
        <v>2</v>
      </c>
      <c r="E415" t="str">
        <f t="shared" ca="1" si="145"/>
        <v>Female</v>
      </c>
      <c r="F415">
        <f t="shared" ca="1" si="146"/>
        <v>41</v>
      </c>
      <c r="G415">
        <f t="shared" ca="1" si="147"/>
        <v>4</v>
      </c>
      <c r="H415" t="str">
        <f t="shared" ca="1" si="148"/>
        <v>IT</v>
      </c>
      <c r="I415">
        <f t="shared" ca="1" si="149"/>
        <v>1</v>
      </c>
      <c r="J415" t="str">
        <f t="shared" ca="1" si="150"/>
        <v>High School</v>
      </c>
      <c r="K415">
        <f t="shared" ca="1" si="151"/>
        <v>1</v>
      </c>
      <c r="L415">
        <f t="shared" ca="1" si="152"/>
        <v>1</v>
      </c>
      <c r="M415">
        <f t="shared" ca="1" si="153"/>
        <v>58088</v>
      </c>
      <c r="N415">
        <f t="shared" ca="1" si="154"/>
        <v>3</v>
      </c>
      <c r="O415" t="str">
        <f t="shared" ca="1" si="155"/>
        <v>Northwest Ter</v>
      </c>
      <c r="P415">
        <f t="shared" ca="1" si="138"/>
        <v>290440</v>
      </c>
      <c r="Q415">
        <f t="shared" ca="1" si="156"/>
        <v>7145.3879482498587</v>
      </c>
      <c r="R415">
        <f t="shared" ca="1" si="143"/>
        <v>42682.173564242577</v>
      </c>
      <c r="S415">
        <f t="shared" ca="1" si="157"/>
        <v>25924</v>
      </c>
      <c r="T415">
        <f t="shared" ca="1" si="139"/>
        <v>104681.49841759454</v>
      </c>
      <c r="U415">
        <f t="shared" ca="1" si="140"/>
        <v>13233.532308299749</v>
      </c>
      <c r="V415">
        <f t="shared" ca="1" si="141"/>
        <v>346355.70587254228</v>
      </c>
      <c r="W415">
        <f t="shared" ca="1" si="142"/>
        <v>137750.8863658444</v>
      </c>
      <c r="Z415" s="4">
        <f t="shared" ca="1" si="158"/>
        <v>0</v>
      </c>
      <c r="AA415">
        <f t="shared" ca="1" si="159"/>
        <v>1</v>
      </c>
      <c r="AC415" s="5"/>
      <c r="AX415" s="10">
        <f ca="1">Table1[[#This Row],[Car Value]]/Table1[[#This Row],[No. of Vehicles]]</f>
        <v>42682.173564242577</v>
      </c>
      <c r="AZ415">
        <f ca="1">IF(Table1[[#This Row],[Debts]]&gt;$BA$3,1,0)</f>
        <v>1</v>
      </c>
      <c r="BC415" s="12">
        <f ca="1">Table1[[#This Row],[Mortage left]]/Table1[[#This Row],[Value of The House]]</f>
        <v>2.4601941703105146E-2</v>
      </c>
      <c r="BD415" s="4">
        <f t="shared" ca="1" si="160"/>
        <v>1</v>
      </c>
      <c r="BE415" s="5"/>
    </row>
    <row r="416" spans="4:57" x14ac:dyDescent="0.3">
      <c r="D416">
        <f t="shared" ca="1" si="144"/>
        <v>1</v>
      </c>
      <c r="E416" t="str">
        <f t="shared" ca="1" si="145"/>
        <v>Male</v>
      </c>
      <c r="F416">
        <f t="shared" ca="1" si="146"/>
        <v>32</v>
      </c>
      <c r="G416">
        <f t="shared" ca="1" si="147"/>
        <v>2</v>
      </c>
      <c r="H416" t="str">
        <f t="shared" ca="1" si="148"/>
        <v>Construction</v>
      </c>
      <c r="I416">
        <f t="shared" ca="1" si="149"/>
        <v>4</v>
      </c>
      <c r="J416" t="str">
        <f t="shared" ca="1" si="150"/>
        <v>Technical</v>
      </c>
      <c r="K416">
        <f t="shared" ca="1" si="151"/>
        <v>4</v>
      </c>
      <c r="L416">
        <f t="shared" ca="1" si="152"/>
        <v>2</v>
      </c>
      <c r="M416">
        <f t="shared" ca="1" si="153"/>
        <v>30553</v>
      </c>
      <c r="N416">
        <f t="shared" ca="1" si="154"/>
        <v>8</v>
      </c>
      <c r="O416" t="str">
        <f t="shared" ca="1" si="155"/>
        <v>Ontario</v>
      </c>
      <c r="P416">
        <f t="shared" ca="1" si="138"/>
        <v>183318</v>
      </c>
      <c r="Q416">
        <f t="shared" ca="1" si="156"/>
        <v>169286.38017007001</v>
      </c>
      <c r="R416">
        <f t="shared" ca="1" si="143"/>
        <v>53286.771394272284</v>
      </c>
      <c r="S416">
        <f t="shared" ca="1" si="157"/>
        <v>36502</v>
      </c>
      <c r="T416">
        <f t="shared" ca="1" si="139"/>
        <v>47018.215907760787</v>
      </c>
      <c r="U416">
        <f t="shared" ca="1" si="140"/>
        <v>21178.794761974357</v>
      </c>
      <c r="V416">
        <f t="shared" ca="1" si="141"/>
        <v>257783.56615624664</v>
      </c>
      <c r="W416">
        <f t="shared" ca="1" si="142"/>
        <v>252806.59607783079</v>
      </c>
      <c r="Z416" s="4">
        <f t="shared" ca="1" si="158"/>
        <v>1</v>
      </c>
      <c r="AA416">
        <f t="shared" ca="1" si="159"/>
        <v>0</v>
      </c>
      <c r="AC416" s="5"/>
      <c r="AX416" s="10">
        <f ca="1">Table1[[#This Row],[Car Value]]/Table1[[#This Row],[No. of Vehicles]]</f>
        <v>26643.385697136142</v>
      </c>
      <c r="AZ416">
        <f ca="1">IF(Table1[[#This Row],[Debts]]&gt;$BA$3,1,0)</f>
        <v>1</v>
      </c>
      <c r="BC416" s="12">
        <f ca="1">Table1[[#This Row],[Mortage left]]/Table1[[#This Row],[Value of The House]]</f>
        <v>0.9234574900995538</v>
      </c>
      <c r="BD416" s="4">
        <f t="shared" ca="1" si="160"/>
        <v>0</v>
      </c>
      <c r="BE416" s="5"/>
    </row>
    <row r="417" spans="4:57" x14ac:dyDescent="0.3">
      <c r="D417">
        <f t="shared" ca="1" si="144"/>
        <v>1</v>
      </c>
      <c r="E417" t="str">
        <f t="shared" ca="1" si="145"/>
        <v>Male</v>
      </c>
      <c r="F417">
        <f t="shared" ca="1" si="146"/>
        <v>37</v>
      </c>
      <c r="G417">
        <f t="shared" ca="1" si="147"/>
        <v>4</v>
      </c>
      <c r="H417" t="str">
        <f t="shared" ca="1" si="148"/>
        <v>IT</v>
      </c>
      <c r="I417">
        <f t="shared" ca="1" si="149"/>
        <v>3</v>
      </c>
      <c r="J417" t="str">
        <f t="shared" ca="1" si="150"/>
        <v>University</v>
      </c>
      <c r="K417">
        <f t="shared" ca="1" si="151"/>
        <v>3</v>
      </c>
      <c r="L417">
        <f t="shared" ca="1" si="152"/>
        <v>1</v>
      </c>
      <c r="M417">
        <f t="shared" ca="1" si="153"/>
        <v>87105</v>
      </c>
      <c r="N417">
        <f t="shared" ca="1" si="154"/>
        <v>5</v>
      </c>
      <c r="O417" t="str">
        <f t="shared" ca="1" si="155"/>
        <v>Nunavut</v>
      </c>
      <c r="P417">
        <f t="shared" ca="1" si="138"/>
        <v>522630</v>
      </c>
      <c r="Q417">
        <f t="shared" ca="1" si="156"/>
        <v>89333.947944973959</v>
      </c>
      <c r="R417">
        <f t="shared" ca="1" si="143"/>
        <v>3742.7751034962143</v>
      </c>
      <c r="S417">
        <f t="shared" ca="1" si="157"/>
        <v>1182</v>
      </c>
      <c r="T417">
        <f t="shared" ca="1" si="139"/>
        <v>46576.677800447127</v>
      </c>
      <c r="U417">
        <f t="shared" ca="1" si="140"/>
        <v>89563.928491224273</v>
      </c>
      <c r="V417">
        <f t="shared" ca="1" si="141"/>
        <v>615936.70359472057</v>
      </c>
      <c r="W417">
        <f t="shared" ca="1" si="142"/>
        <v>137092.6257454211</v>
      </c>
      <c r="Z417" s="4">
        <f t="shared" ca="1" si="158"/>
        <v>1</v>
      </c>
      <c r="AA417">
        <f t="shared" ca="1" si="159"/>
        <v>0</v>
      </c>
      <c r="AC417" s="5"/>
      <c r="AX417" s="10">
        <f ca="1">Table1[[#This Row],[Car Value]]/Table1[[#This Row],[No. of Vehicles]]</f>
        <v>3742.7751034962143</v>
      </c>
      <c r="AZ417">
        <f ca="1">IF(Table1[[#This Row],[Debts]]&gt;$BA$3,1,0)</f>
        <v>1</v>
      </c>
      <c r="BC417" s="12">
        <f ca="1">Table1[[#This Row],[Mortage left]]/Table1[[#This Row],[Value of The House]]</f>
        <v>0.17093153463248179</v>
      </c>
      <c r="BD417" s="4">
        <f t="shared" ca="1" si="160"/>
        <v>1</v>
      </c>
      <c r="BE417" s="5"/>
    </row>
    <row r="418" spans="4:57" x14ac:dyDescent="0.3">
      <c r="D418">
        <f t="shared" ca="1" si="144"/>
        <v>2</v>
      </c>
      <c r="E418" t="str">
        <f t="shared" ca="1" si="145"/>
        <v>Female</v>
      </c>
      <c r="F418">
        <f t="shared" ca="1" si="146"/>
        <v>26</v>
      </c>
      <c r="G418">
        <f t="shared" ca="1" si="147"/>
        <v>6</v>
      </c>
      <c r="H418" t="str">
        <f t="shared" ca="1" si="148"/>
        <v>General Work</v>
      </c>
      <c r="I418">
        <f t="shared" ca="1" si="149"/>
        <v>1</v>
      </c>
      <c r="J418" t="str">
        <f t="shared" ca="1" si="150"/>
        <v>High School</v>
      </c>
      <c r="K418">
        <f t="shared" ca="1" si="151"/>
        <v>4</v>
      </c>
      <c r="L418">
        <f t="shared" ca="1" si="152"/>
        <v>1</v>
      </c>
      <c r="M418">
        <f t="shared" ca="1" si="153"/>
        <v>51868</v>
      </c>
      <c r="N418">
        <f t="shared" ca="1" si="154"/>
        <v>12</v>
      </c>
      <c r="O418" t="str">
        <f t="shared" ca="1" si="155"/>
        <v>Nova scotia</v>
      </c>
      <c r="P418">
        <f t="shared" ca="1" si="138"/>
        <v>207472</v>
      </c>
      <c r="Q418">
        <f t="shared" ca="1" si="156"/>
        <v>195841.03321883804</v>
      </c>
      <c r="R418">
        <f t="shared" ca="1" si="143"/>
        <v>33225.574769965664</v>
      </c>
      <c r="S418">
        <f t="shared" ca="1" si="157"/>
        <v>21502</v>
      </c>
      <c r="T418">
        <f t="shared" ca="1" si="139"/>
        <v>73744.390046667642</v>
      </c>
      <c r="U418">
        <f t="shared" ca="1" si="140"/>
        <v>10857.412322494449</v>
      </c>
      <c r="V418">
        <f t="shared" ca="1" si="141"/>
        <v>251554.9870924601</v>
      </c>
      <c r="W418">
        <f t="shared" ca="1" si="142"/>
        <v>291087.4232655057</v>
      </c>
      <c r="Z418" s="4">
        <f t="shared" ca="1" si="158"/>
        <v>0</v>
      </c>
      <c r="AA418">
        <f t="shared" ca="1" si="159"/>
        <v>1</v>
      </c>
      <c r="AC418" s="5"/>
      <c r="AX418" s="10">
        <f ca="1">Table1[[#This Row],[Car Value]]/Table1[[#This Row],[No. of Vehicles]]</f>
        <v>33225.574769965664</v>
      </c>
      <c r="AZ418">
        <f ca="1">IF(Table1[[#This Row],[Debts]]&gt;$BA$3,1,0)</f>
        <v>1</v>
      </c>
      <c r="BC418" s="12">
        <f ca="1">Table1[[#This Row],[Mortage left]]/Table1[[#This Row],[Value of The House]]</f>
        <v>0.94393958326346705</v>
      </c>
      <c r="BD418" s="4">
        <f t="shared" ca="1" si="160"/>
        <v>0</v>
      </c>
      <c r="BE418" s="5"/>
    </row>
    <row r="419" spans="4:57" x14ac:dyDescent="0.3">
      <c r="D419">
        <f t="shared" ca="1" si="144"/>
        <v>2</v>
      </c>
      <c r="E419" t="str">
        <f t="shared" ca="1" si="145"/>
        <v>Female</v>
      </c>
      <c r="F419">
        <f t="shared" ca="1" si="146"/>
        <v>31</v>
      </c>
      <c r="G419">
        <f t="shared" ca="1" si="147"/>
        <v>3</v>
      </c>
      <c r="H419" t="str">
        <f t="shared" ca="1" si="148"/>
        <v>Teaching</v>
      </c>
      <c r="I419">
        <f t="shared" ca="1" si="149"/>
        <v>2</v>
      </c>
      <c r="J419" t="str">
        <f t="shared" ca="1" si="150"/>
        <v>College</v>
      </c>
      <c r="K419">
        <f t="shared" ca="1" si="151"/>
        <v>4</v>
      </c>
      <c r="L419">
        <f t="shared" ca="1" si="152"/>
        <v>2</v>
      </c>
      <c r="M419">
        <f t="shared" ca="1" si="153"/>
        <v>42727</v>
      </c>
      <c r="N419">
        <f t="shared" ca="1" si="154"/>
        <v>10</v>
      </c>
      <c r="O419" t="str">
        <f t="shared" ca="1" si="155"/>
        <v>Newfouland</v>
      </c>
      <c r="P419">
        <f t="shared" ca="1" si="138"/>
        <v>256362</v>
      </c>
      <c r="Q419">
        <f t="shared" ca="1" si="156"/>
        <v>237395.62963756997</v>
      </c>
      <c r="R419">
        <f t="shared" ca="1" si="143"/>
        <v>29637.536243152383</v>
      </c>
      <c r="S419">
        <f t="shared" ca="1" si="157"/>
        <v>6075</v>
      </c>
      <c r="T419">
        <f t="shared" ca="1" si="139"/>
        <v>17721.295571264822</v>
      </c>
      <c r="U419">
        <f t="shared" ca="1" si="140"/>
        <v>36508.159041953477</v>
      </c>
      <c r="V419">
        <f t="shared" ca="1" si="141"/>
        <v>322507.69528510584</v>
      </c>
      <c r="W419">
        <f t="shared" ca="1" si="142"/>
        <v>261191.92520883479</v>
      </c>
      <c r="Z419" s="4">
        <f t="shared" ca="1" si="158"/>
        <v>0</v>
      </c>
      <c r="AA419">
        <f t="shared" ca="1" si="159"/>
        <v>1</v>
      </c>
      <c r="AC419" s="5"/>
      <c r="AX419" s="10">
        <f ca="1">Table1[[#This Row],[Car Value]]/Table1[[#This Row],[No. of Vehicles]]</f>
        <v>14818.768121576191</v>
      </c>
      <c r="AZ419">
        <f ca="1">IF(Table1[[#This Row],[Debts]]&gt;$BA$3,1,0)</f>
        <v>0</v>
      </c>
      <c r="BC419" s="12">
        <f ca="1">Table1[[#This Row],[Mortage left]]/Table1[[#This Row],[Value of The House]]</f>
        <v>0.92601723202959085</v>
      </c>
      <c r="BD419" s="4">
        <f t="shared" ca="1" si="160"/>
        <v>0</v>
      </c>
      <c r="BE419" s="5"/>
    </row>
    <row r="420" spans="4:57" x14ac:dyDescent="0.3">
      <c r="D420">
        <f t="shared" ca="1" si="144"/>
        <v>2</v>
      </c>
      <c r="E420" t="str">
        <f t="shared" ca="1" si="145"/>
        <v>Female</v>
      </c>
      <c r="F420">
        <f t="shared" ca="1" si="146"/>
        <v>36</v>
      </c>
      <c r="G420">
        <f t="shared" ca="1" si="147"/>
        <v>5</v>
      </c>
      <c r="H420" t="str">
        <f t="shared" ca="1" si="148"/>
        <v>Agriculture</v>
      </c>
      <c r="I420">
        <f t="shared" ca="1" si="149"/>
        <v>2</v>
      </c>
      <c r="J420" t="str">
        <f t="shared" ca="1" si="150"/>
        <v>College</v>
      </c>
      <c r="K420">
        <f t="shared" ca="1" si="151"/>
        <v>2</v>
      </c>
      <c r="L420">
        <f t="shared" ca="1" si="152"/>
        <v>1</v>
      </c>
      <c r="M420">
        <f t="shared" ca="1" si="153"/>
        <v>82436</v>
      </c>
      <c r="N420">
        <f t="shared" ca="1" si="154"/>
        <v>8</v>
      </c>
      <c r="O420" t="str">
        <f t="shared" ca="1" si="155"/>
        <v>Ontario</v>
      </c>
      <c r="P420">
        <f t="shared" ca="1" si="138"/>
        <v>412180</v>
      </c>
      <c r="Q420">
        <f t="shared" ca="1" si="156"/>
        <v>351074.22687075799</v>
      </c>
      <c r="R420">
        <f t="shared" ca="1" si="143"/>
        <v>47940.464533030856</v>
      </c>
      <c r="S420">
        <f t="shared" ca="1" si="157"/>
        <v>25563</v>
      </c>
      <c r="T420">
        <f t="shared" ca="1" si="139"/>
        <v>35575.765094328621</v>
      </c>
      <c r="U420">
        <f t="shared" ca="1" si="140"/>
        <v>38213.19091806365</v>
      </c>
      <c r="V420">
        <f t="shared" ca="1" si="141"/>
        <v>498333.6554510945</v>
      </c>
      <c r="W420">
        <f t="shared" ca="1" si="142"/>
        <v>412212.99196508661</v>
      </c>
      <c r="Z420" s="4">
        <f t="shared" ca="1" si="158"/>
        <v>0</v>
      </c>
      <c r="AA420">
        <f t="shared" ca="1" si="159"/>
        <v>1</v>
      </c>
      <c r="AC420" s="5"/>
      <c r="AX420" s="10">
        <f ca="1">Table1[[#This Row],[Car Value]]/Table1[[#This Row],[No. of Vehicles]]</f>
        <v>47940.464533030856</v>
      </c>
      <c r="AZ420">
        <f ca="1">IF(Table1[[#This Row],[Debts]]&gt;$BA$3,1,0)</f>
        <v>1</v>
      </c>
      <c r="BC420" s="12">
        <f ca="1">Table1[[#This Row],[Mortage left]]/Table1[[#This Row],[Value of The House]]</f>
        <v>0.85174978618748598</v>
      </c>
      <c r="BD420" s="4">
        <f t="shared" ca="1" si="160"/>
        <v>0</v>
      </c>
      <c r="BE420" s="5"/>
    </row>
    <row r="421" spans="4:57" x14ac:dyDescent="0.3">
      <c r="D421">
        <f t="shared" ca="1" si="144"/>
        <v>1</v>
      </c>
      <c r="E421" t="str">
        <f t="shared" ca="1" si="145"/>
        <v>Male</v>
      </c>
      <c r="F421">
        <f t="shared" ca="1" si="146"/>
        <v>34</v>
      </c>
      <c r="G421">
        <f t="shared" ca="1" si="147"/>
        <v>2</v>
      </c>
      <c r="H421" t="str">
        <f t="shared" ca="1" si="148"/>
        <v>Construction</v>
      </c>
      <c r="I421">
        <f t="shared" ca="1" si="149"/>
        <v>4</v>
      </c>
      <c r="J421" t="str">
        <f t="shared" ca="1" si="150"/>
        <v>Technical</v>
      </c>
      <c r="K421">
        <f t="shared" ca="1" si="151"/>
        <v>1</v>
      </c>
      <c r="L421">
        <f t="shared" ca="1" si="152"/>
        <v>1</v>
      </c>
      <c r="M421">
        <f t="shared" ca="1" si="153"/>
        <v>88297</v>
      </c>
      <c r="N421">
        <f t="shared" ca="1" si="154"/>
        <v>11</v>
      </c>
      <c r="O421" t="str">
        <f t="shared" ca="1" si="155"/>
        <v>New bruncwick</v>
      </c>
      <c r="P421">
        <f t="shared" ref="P421:P484" ca="1" si="161">M421*RANDBETWEEN(4,6)</f>
        <v>441485</v>
      </c>
      <c r="Q421">
        <f t="shared" ca="1" si="156"/>
        <v>117255.0750794217</v>
      </c>
      <c r="R421">
        <f t="shared" ca="1" si="143"/>
        <v>16658.752805625158</v>
      </c>
      <c r="S421">
        <f t="shared" ca="1" si="157"/>
        <v>6858</v>
      </c>
      <c r="T421">
        <f t="shared" ref="T421:T484" ca="1" si="162">M421*RAND()*2</f>
        <v>57468.352611378614</v>
      </c>
      <c r="U421">
        <f t="shared" ref="U421:U484" ca="1" si="163">RAND()*M421*1.5</f>
        <v>1403.2040587922138</v>
      </c>
      <c r="V421">
        <f t="shared" ref="V421:V484" ca="1" si="164">P421+R421+U421</f>
        <v>459546.95686441736</v>
      </c>
      <c r="W421">
        <f t="shared" ref="W421:W484" ca="1" si="165">Q421+S421+T421</f>
        <v>181581.42769080031</v>
      </c>
      <c r="Z421" s="4">
        <f t="shared" ca="1" si="158"/>
        <v>1</v>
      </c>
      <c r="AA421">
        <f t="shared" ca="1" si="159"/>
        <v>0</v>
      </c>
      <c r="AC421" s="5"/>
      <c r="AX421" s="10">
        <f ca="1">Table1[[#This Row],[Car Value]]/Table1[[#This Row],[No. of Vehicles]]</f>
        <v>16658.752805625158</v>
      </c>
      <c r="AZ421">
        <f ca="1">IF(Table1[[#This Row],[Debts]]&gt;$BA$3,1,0)</f>
        <v>1</v>
      </c>
      <c r="BC421" s="12">
        <f ca="1">Table1[[#This Row],[Mortage left]]/Table1[[#This Row],[Value of The House]]</f>
        <v>0.265592432538867</v>
      </c>
      <c r="BD421" s="4">
        <f t="shared" ca="1" si="160"/>
        <v>0</v>
      </c>
      <c r="BE421" s="5"/>
    </row>
    <row r="422" spans="4:57" x14ac:dyDescent="0.3">
      <c r="D422">
        <f t="shared" ca="1" si="144"/>
        <v>1</v>
      </c>
      <c r="E422" t="str">
        <f t="shared" ca="1" si="145"/>
        <v>Male</v>
      </c>
      <c r="F422">
        <f t="shared" ca="1" si="146"/>
        <v>37</v>
      </c>
      <c r="G422">
        <f t="shared" ca="1" si="147"/>
        <v>6</v>
      </c>
      <c r="H422" t="str">
        <f t="shared" ca="1" si="148"/>
        <v>General Work</v>
      </c>
      <c r="I422">
        <f t="shared" ca="1" si="149"/>
        <v>2</v>
      </c>
      <c r="J422" t="str">
        <f t="shared" ca="1" si="150"/>
        <v>College</v>
      </c>
      <c r="K422">
        <f t="shared" ca="1" si="151"/>
        <v>4</v>
      </c>
      <c r="L422">
        <f t="shared" ca="1" si="152"/>
        <v>1</v>
      </c>
      <c r="M422">
        <f t="shared" ca="1" si="153"/>
        <v>83356</v>
      </c>
      <c r="N422">
        <f t="shared" ca="1" si="154"/>
        <v>13</v>
      </c>
      <c r="O422" t="str">
        <f t="shared" ca="1" si="155"/>
        <v>Prince Edward Islnd</v>
      </c>
      <c r="P422">
        <f t="shared" ca="1" si="161"/>
        <v>333424</v>
      </c>
      <c r="Q422">
        <f t="shared" ca="1" si="156"/>
        <v>326707.64358351321</v>
      </c>
      <c r="R422">
        <f t="shared" ca="1" si="143"/>
        <v>51391.009359160831</v>
      </c>
      <c r="S422">
        <f t="shared" ca="1" si="157"/>
        <v>4781</v>
      </c>
      <c r="T422">
        <f t="shared" ca="1" si="162"/>
        <v>92122.190548597748</v>
      </c>
      <c r="U422">
        <f t="shared" ca="1" si="163"/>
        <v>117461.2096908145</v>
      </c>
      <c r="V422">
        <f t="shared" ca="1" si="164"/>
        <v>502276.21904997533</v>
      </c>
      <c r="W422">
        <f t="shared" ca="1" si="165"/>
        <v>423610.83413211093</v>
      </c>
      <c r="Z422" s="4">
        <f t="shared" ca="1" si="158"/>
        <v>1</v>
      </c>
      <c r="AA422">
        <f t="shared" ca="1" si="159"/>
        <v>0</v>
      </c>
      <c r="AC422" s="5"/>
      <c r="AX422" s="10">
        <f ca="1">Table1[[#This Row],[Car Value]]/Table1[[#This Row],[No. of Vehicles]]</f>
        <v>51391.009359160831</v>
      </c>
      <c r="AZ422">
        <f ca="1">IF(Table1[[#This Row],[Debts]]&gt;$BA$3,1,0)</f>
        <v>1</v>
      </c>
      <c r="BC422" s="12">
        <f ca="1">Table1[[#This Row],[Mortage left]]/Table1[[#This Row],[Value of The House]]</f>
        <v>0.97985640980707212</v>
      </c>
      <c r="BD422" s="4">
        <f t="shared" ca="1" si="160"/>
        <v>0</v>
      </c>
      <c r="BE422" s="5"/>
    </row>
    <row r="423" spans="4:57" x14ac:dyDescent="0.3">
      <c r="D423">
        <f t="shared" ca="1" si="144"/>
        <v>2</v>
      </c>
      <c r="E423" t="str">
        <f t="shared" ca="1" si="145"/>
        <v>Female</v>
      </c>
      <c r="F423">
        <f t="shared" ca="1" si="146"/>
        <v>42</v>
      </c>
      <c r="G423">
        <f t="shared" ca="1" si="147"/>
        <v>6</v>
      </c>
      <c r="H423" t="str">
        <f t="shared" ca="1" si="148"/>
        <v>General Work</v>
      </c>
      <c r="I423">
        <f t="shared" ca="1" si="149"/>
        <v>1</v>
      </c>
      <c r="J423" t="str">
        <f t="shared" ca="1" si="150"/>
        <v>High School</v>
      </c>
      <c r="K423">
        <f t="shared" ca="1" si="151"/>
        <v>4</v>
      </c>
      <c r="L423">
        <f t="shared" ca="1" si="152"/>
        <v>2</v>
      </c>
      <c r="M423">
        <f t="shared" ca="1" si="153"/>
        <v>42399</v>
      </c>
      <c r="N423">
        <f t="shared" ca="1" si="154"/>
        <v>5</v>
      </c>
      <c r="O423" t="str">
        <f t="shared" ca="1" si="155"/>
        <v>Nunavut</v>
      </c>
      <c r="P423">
        <f t="shared" ca="1" si="161"/>
        <v>254394</v>
      </c>
      <c r="Q423">
        <f t="shared" ca="1" si="156"/>
        <v>29066.52785551174</v>
      </c>
      <c r="R423">
        <f t="shared" ca="1" si="143"/>
        <v>43664.406182415078</v>
      </c>
      <c r="S423">
        <f t="shared" ca="1" si="157"/>
        <v>7395</v>
      </c>
      <c r="T423">
        <f t="shared" ca="1" si="162"/>
        <v>43230.505007760454</v>
      </c>
      <c r="U423">
        <f t="shared" ca="1" si="163"/>
        <v>58341.892643529223</v>
      </c>
      <c r="V423">
        <f t="shared" ca="1" si="164"/>
        <v>356400.29882594431</v>
      </c>
      <c r="W423">
        <f t="shared" ca="1" si="165"/>
        <v>79692.032863272194</v>
      </c>
      <c r="Z423" s="4">
        <f t="shared" ca="1" si="158"/>
        <v>0</v>
      </c>
      <c r="AA423">
        <f t="shared" ca="1" si="159"/>
        <v>1</v>
      </c>
      <c r="AC423" s="5"/>
      <c r="AX423" s="10">
        <f ca="1">Table1[[#This Row],[Car Value]]/Table1[[#This Row],[No. of Vehicles]]</f>
        <v>21832.203091207539</v>
      </c>
      <c r="AZ423">
        <f ca="1">IF(Table1[[#This Row],[Debts]]&gt;$BA$3,1,0)</f>
        <v>1</v>
      </c>
      <c r="BC423" s="12">
        <f ca="1">Table1[[#This Row],[Mortage left]]/Table1[[#This Row],[Value of The House]]</f>
        <v>0.11425791431995935</v>
      </c>
      <c r="BD423" s="4">
        <f t="shared" ca="1" si="160"/>
        <v>1</v>
      </c>
      <c r="BE423" s="5"/>
    </row>
    <row r="424" spans="4:57" x14ac:dyDescent="0.3">
      <c r="D424">
        <f t="shared" ca="1" si="144"/>
        <v>2</v>
      </c>
      <c r="E424" t="str">
        <f t="shared" ca="1" si="145"/>
        <v>Female</v>
      </c>
      <c r="F424">
        <f t="shared" ca="1" si="146"/>
        <v>43</v>
      </c>
      <c r="G424">
        <f t="shared" ca="1" si="147"/>
        <v>6</v>
      </c>
      <c r="H424" t="str">
        <f t="shared" ca="1" si="148"/>
        <v>General Work</v>
      </c>
      <c r="I424">
        <f t="shared" ca="1" si="149"/>
        <v>1</v>
      </c>
      <c r="J424" t="str">
        <f t="shared" ca="1" si="150"/>
        <v>High School</v>
      </c>
      <c r="K424">
        <f t="shared" ca="1" si="151"/>
        <v>0</v>
      </c>
      <c r="L424">
        <f t="shared" ca="1" si="152"/>
        <v>2</v>
      </c>
      <c r="M424">
        <f t="shared" ca="1" si="153"/>
        <v>87209</v>
      </c>
      <c r="N424">
        <f t="shared" ca="1" si="154"/>
        <v>4</v>
      </c>
      <c r="O424" t="str">
        <f t="shared" ca="1" si="155"/>
        <v>Alberta</v>
      </c>
      <c r="P424">
        <f t="shared" ca="1" si="161"/>
        <v>348836</v>
      </c>
      <c r="Q424">
        <f t="shared" ca="1" si="156"/>
        <v>134158.1493332411</v>
      </c>
      <c r="R424">
        <f t="shared" ca="1" si="143"/>
        <v>13358.733673587649</v>
      </c>
      <c r="S424">
        <f t="shared" ca="1" si="157"/>
        <v>10961</v>
      </c>
      <c r="T424">
        <f t="shared" ca="1" si="162"/>
        <v>57065.614156992015</v>
      </c>
      <c r="U424">
        <f t="shared" ca="1" si="163"/>
        <v>64797.142370934467</v>
      </c>
      <c r="V424">
        <f t="shared" ca="1" si="164"/>
        <v>426991.87604452216</v>
      </c>
      <c r="W424">
        <f t="shared" ca="1" si="165"/>
        <v>202184.7634902331</v>
      </c>
      <c r="Z424" s="4">
        <f t="shared" ca="1" si="158"/>
        <v>0</v>
      </c>
      <c r="AA424">
        <f t="shared" ca="1" si="159"/>
        <v>1</v>
      </c>
      <c r="AC424" s="5"/>
      <c r="AX424" s="10">
        <f ca="1">Table1[[#This Row],[Car Value]]/Table1[[#This Row],[No. of Vehicles]]</f>
        <v>6679.3668367938244</v>
      </c>
      <c r="AZ424">
        <f ca="1">IF(Table1[[#This Row],[Debts]]&gt;$BA$3,1,0)</f>
        <v>1</v>
      </c>
      <c r="BC424" s="12">
        <f ca="1">Table1[[#This Row],[Mortage left]]/Table1[[#This Row],[Value of The House]]</f>
        <v>0.38458802799378822</v>
      </c>
      <c r="BD424" s="4">
        <f t="shared" ca="1" si="160"/>
        <v>0</v>
      </c>
      <c r="BE424" s="5"/>
    </row>
    <row r="425" spans="4:57" x14ac:dyDescent="0.3">
      <c r="D425">
        <f t="shared" ca="1" si="144"/>
        <v>2</v>
      </c>
      <c r="E425" t="str">
        <f t="shared" ca="1" si="145"/>
        <v>Female</v>
      </c>
      <c r="F425">
        <f t="shared" ca="1" si="146"/>
        <v>27</v>
      </c>
      <c r="G425">
        <f t="shared" ca="1" si="147"/>
        <v>4</v>
      </c>
      <c r="H425" t="str">
        <f t="shared" ca="1" si="148"/>
        <v>IT</v>
      </c>
      <c r="I425">
        <f t="shared" ca="1" si="149"/>
        <v>3</v>
      </c>
      <c r="J425" t="str">
        <f t="shared" ca="1" si="150"/>
        <v>University</v>
      </c>
      <c r="K425">
        <f t="shared" ca="1" si="151"/>
        <v>2</v>
      </c>
      <c r="L425">
        <f t="shared" ca="1" si="152"/>
        <v>2</v>
      </c>
      <c r="M425">
        <f t="shared" ca="1" si="153"/>
        <v>64769</v>
      </c>
      <c r="N425">
        <f t="shared" ca="1" si="154"/>
        <v>10</v>
      </c>
      <c r="O425" t="str">
        <f t="shared" ca="1" si="155"/>
        <v>Newfouland</v>
      </c>
      <c r="P425">
        <f t="shared" ca="1" si="161"/>
        <v>323845</v>
      </c>
      <c r="Q425">
        <f t="shared" ca="1" si="156"/>
        <v>249303.77234222295</v>
      </c>
      <c r="R425">
        <f t="shared" ca="1" si="143"/>
        <v>21261.625029084731</v>
      </c>
      <c r="S425">
        <f t="shared" ca="1" si="157"/>
        <v>3230</v>
      </c>
      <c r="T425">
        <f t="shared" ca="1" si="162"/>
        <v>33400.226173177682</v>
      </c>
      <c r="U425">
        <f t="shared" ca="1" si="163"/>
        <v>64522.796743680417</v>
      </c>
      <c r="V425">
        <f t="shared" ca="1" si="164"/>
        <v>409629.42177276517</v>
      </c>
      <c r="W425">
        <f t="shared" ca="1" si="165"/>
        <v>285933.99851540063</v>
      </c>
      <c r="Z425" s="4">
        <f t="shared" ca="1" si="158"/>
        <v>0</v>
      </c>
      <c r="AA425">
        <f t="shared" ca="1" si="159"/>
        <v>1</v>
      </c>
      <c r="AC425" s="5"/>
      <c r="AX425" s="10">
        <f ca="1">Table1[[#This Row],[Car Value]]/Table1[[#This Row],[No. of Vehicles]]</f>
        <v>10630.812514542366</v>
      </c>
      <c r="AZ425">
        <f ca="1">IF(Table1[[#This Row],[Debts]]&gt;$BA$3,1,0)</f>
        <v>1</v>
      </c>
      <c r="BC425" s="12">
        <f ca="1">Table1[[#This Row],[Mortage left]]/Table1[[#This Row],[Value of The House]]</f>
        <v>0.76982436765187956</v>
      </c>
      <c r="BD425" s="4">
        <f t="shared" ca="1" si="160"/>
        <v>0</v>
      </c>
      <c r="BE425" s="5"/>
    </row>
    <row r="426" spans="4:57" x14ac:dyDescent="0.3">
      <c r="D426">
        <f t="shared" ca="1" si="144"/>
        <v>2</v>
      </c>
      <c r="E426" t="str">
        <f t="shared" ca="1" si="145"/>
        <v>Female</v>
      </c>
      <c r="F426">
        <f t="shared" ca="1" si="146"/>
        <v>43</v>
      </c>
      <c r="G426">
        <f t="shared" ca="1" si="147"/>
        <v>1</v>
      </c>
      <c r="H426" t="str">
        <f t="shared" ca="1" si="148"/>
        <v>Health</v>
      </c>
      <c r="I426">
        <f t="shared" ca="1" si="149"/>
        <v>2</v>
      </c>
      <c r="J426" t="str">
        <f t="shared" ca="1" si="150"/>
        <v>College</v>
      </c>
      <c r="K426">
        <f t="shared" ca="1" si="151"/>
        <v>4</v>
      </c>
      <c r="L426">
        <f t="shared" ca="1" si="152"/>
        <v>2</v>
      </c>
      <c r="M426">
        <f t="shared" ca="1" si="153"/>
        <v>52458</v>
      </c>
      <c r="N426">
        <f t="shared" ca="1" si="154"/>
        <v>4</v>
      </c>
      <c r="O426" t="str">
        <f t="shared" ca="1" si="155"/>
        <v>Alberta</v>
      </c>
      <c r="P426">
        <f t="shared" ca="1" si="161"/>
        <v>209832</v>
      </c>
      <c r="Q426">
        <f t="shared" ca="1" si="156"/>
        <v>26036.318800906654</v>
      </c>
      <c r="R426">
        <f t="shared" ca="1" si="143"/>
        <v>33763.879545029376</v>
      </c>
      <c r="S426">
        <f t="shared" ca="1" si="157"/>
        <v>10962</v>
      </c>
      <c r="T426">
        <f t="shared" ca="1" si="162"/>
        <v>23603.079832069365</v>
      </c>
      <c r="U426">
        <f t="shared" ca="1" si="163"/>
        <v>330.88769031105096</v>
      </c>
      <c r="V426">
        <f t="shared" ca="1" si="164"/>
        <v>243926.76723534043</v>
      </c>
      <c r="W426">
        <f t="shared" ca="1" si="165"/>
        <v>60601.398632976016</v>
      </c>
      <c r="Z426" s="4">
        <f t="shared" ca="1" si="158"/>
        <v>0</v>
      </c>
      <c r="AA426">
        <f t="shared" ca="1" si="159"/>
        <v>1</v>
      </c>
      <c r="AC426" s="5"/>
      <c r="AX426" s="10">
        <f ca="1">Table1[[#This Row],[Car Value]]/Table1[[#This Row],[No. of Vehicles]]</f>
        <v>16881.939772514688</v>
      </c>
      <c r="AZ426">
        <f ca="1">IF(Table1[[#This Row],[Debts]]&gt;$BA$3,1,0)</f>
        <v>1</v>
      </c>
      <c r="BC426" s="12">
        <f ca="1">Table1[[#This Row],[Mortage left]]/Table1[[#This Row],[Value of The House]]</f>
        <v>0.12408173586920324</v>
      </c>
      <c r="BD426" s="4">
        <f t="shared" ca="1" si="160"/>
        <v>1</v>
      </c>
      <c r="BE426" s="5"/>
    </row>
    <row r="427" spans="4:57" x14ac:dyDescent="0.3">
      <c r="D427">
        <f t="shared" ca="1" si="144"/>
        <v>2</v>
      </c>
      <c r="E427" t="str">
        <f t="shared" ca="1" si="145"/>
        <v>Female</v>
      </c>
      <c r="F427">
        <f t="shared" ca="1" si="146"/>
        <v>37</v>
      </c>
      <c r="G427">
        <f t="shared" ca="1" si="147"/>
        <v>6</v>
      </c>
      <c r="H427" t="str">
        <f t="shared" ca="1" si="148"/>
        <v>General Work</v>
      </c>
      <c r="I427">
        <f t="shared" ca="1" si="149"/>
        <v>4</v>
      </c>
      <c r="J427" t="str">
        <f t="shared" ca="1" si="150"/>
        <v>Technical</v>
      </c>
      <c r="K427">
        <f t="shared" ca="1" si="151"/>
        <v>2</v>
      </c>
      <c r="L427">
        <f t="shared" ca="1" si="152"/>
        <v>2</v>
      </c>
      <c r="M427">
        <f t="shared" ca="1" si="153"/>
        <v>50094</v>
      </c>
      <c r="N427">
        <f t="shared" ca="1" si="154"/>
        <v>6</v>
      </c>
      <c r="O427" t="str">
        <f t="shared" ca="1" si="155"/>
        <v>Saskatchewan</v>
      </c>
      <c r="P427">
        <f t="shared" ca="1" si="161"/>
        <v>200376</v>
      </c>
      <c r="Q427">
        <f t="shared" ca="1" si="156"/>
        <v>56785.842975011728</v>
      </c>
      <c r="R427">
        <f t="shared" ca="1" si="143"/>
        <v>5504.7063992285694</v>
      </c>
      <c r="S427">
        <f t="shared" ca="1" si="157"/>
        <v>2903</v>
      </c>
      <c r="T427">
        <f t="shared" ca="1" si="162"/>
        <v>67476.911799052672</v>
      </c>
      <c r="U427">
        <f t="shared" ca="1" si="163"/>
        <v>43565.965096930173</v>
      </c>
      <c r="V427">
        <f t="shared" ca="1" si="164"/>
        <v>249446.67149615876</v>
      </c>
      <c r="W427">
        <f t="shared" ca="1" si="165"/>
        <v>127165.75477406441</v>
      </c>
      <c r="Z427" s="4">
        <f t="shared" ca="1" si="158"/>
        <v>0</v>
      </c>
      <c r="AA427">
        <f t="shared" ca="1" si="159"/>
        <v>1</v>
      </c>
      <c r="AC427" s="5"/>
      <c r="AX427" s="10">
        <f ca="1">Table1[[#This Row],[Car Value]]/Table1[[#This Row],[No. of Vehicles]]</f>
        <v>2752.3531996142847</v>
      </c>
      <c r="AZ427">
        <f ca="1">IF(Table1[[#This Row],[Debts]]&gt;$BA$3,1,0)</f>
        <v>1</v>
      </c>
      <c r="BC427" s="12">
        <f ca="1">Table1[[#This Row],[Mortage left]]/Table1[[#This Row],[Value of The House]]</f>
        <v>0.28339642958743427</v>
      </c>
      <c r="BD427" s="4">
        <f t="shared" ca="1" si="160"/>
        <v>0</v>
      </c>
      <c r="BE427" s="5"/>
    </row>
    <row r="428" spans="4:57" x14ac:dyDescent="0.3">
      <c r="D428">
        <f t="shared" ca="1" si="144"/>
        <v>2</v>
      </c>
      <c r="E428" t="str">
        <f t="shared" ca="1" si="145"/>
        <v>Female</v>
      </c>
      <c r="F428">
        <f t="shared" ca="1" si="146"/>
        <v>28</v>
      </c>
      <c r="G428">
        <f t="shared" ca="1" si="147"/>
        <v>4</v>
      </c>
      <c r="H428" t="str">
        <f t="shared" ca="1" si="148"/>
        <v>IT</v>
      </c>
      <c r="I428">
        <f t="shared" ca="1" si="149"/>
        <v>5</v>
      </c>
      <c r="J428" t="str">
        <f t="shared" ca="1" si="150"/>
        <v>Other</v>
      </c>
      <c r="K428">
        <f t="shared" ca="1" si="151"/>
        <v>3</v>
      </c>
      <c r="L428">
        <f t="shared" ca="1" si="152"/>
        <v>2</v>
      </c>
      <c r="M428">
        <f t="shared" ca="1" si="153"/>
        <v>82456</v>
      </c>
      <c r="N428">
        <f t="shared" ca="1" si="154"/>
        <v>1</v>
      </c>
      <c r="O428" t="str">
        <f t="shared" ca="1" si="155"/>
        <v>Yukon</v>
      </c>
      <c r="P428">
        <f t="shared" ca="1" si="161"/>
        <v>412280</v>
      </c>
      <c r="Q428">
        <f t="shared" ca="1" si="156"/>
        <v>400188.73122257082</v>
      </c>
      <c r="R428">
        <f t="shared" ca="1" si="143"/>
        <v>36719.194353318009</v>
      </c>
      <c r="S428">
        <f t="shared" ca="1" si="157"/>
        <v>6899</v>
      </c>
      <c r="T428">
        <f t="shared" ca="1" si="162"/>
        <v>8440.5932026574956</v>
      </c>
      <c r="U428">
        <f t="shared" ca="1" si="163"/>
        <v>103930.57191046461</v>
      </c>
      <c r="V428">
        <f t="shared" ca="1" si="164"/>
        <v>552929.76626378263</v>
      </c>
      <c r="W428">
        <f t="shared" ca="1" si="165"/>
        <v>415528.32442522829</v>
      </c>
      <c r="Z428" s="4">
        <f t="shared" ca="1" si="158"/>
        <v>0</v>
      </c>
      <c r="AA428">
        <f t="shared" ca="1" si="159"/>
        <v>1</v>
      </c>
      <c r="AC428" s="5"/>
      <c r="AX428" s="10">
        <f ca="1">Table1[[#This Row],[Car Value]]/Table1[[#This Row],[No. of Vehicles]]</f>
        <v>18359.597176659005</v>
      </c>
      <c r="AZ428">
        <f ca="1">IF(Table1[[#This Row],[Debts]]&gt;$BA$3,1,0)</f>
        <v>0</v>
      </c>
      <c r="BC428" s="12">
        <f ca="1">Table1[[#This Row],[Mortage left]]/Table1[[#This Row],[Value of The House]]</f>
        <v>0.97067219176911523</v>
      </c>
      <c r="BD428" s="4">
        <f t="shared" ca="1" si="160"/>
        <v>0</v>
      </c>
      <c r="BE428" s="5"/>
    </row>
    <row r="429" spans="4:57" x14ac:dyDescent="0.3">
      <c r="D429">
        <f t="shared" ca="1" si="144"/>
        <v>1</v>
      </c>
      <c r="E429" t="str">
        <f t="shared" ca="1" si="145"/>
        <v>Male</v>
      </c>
      <c r="F429">
        <f t="shared" ca="1" si="146"/>
        <v>28</v>
      </c>
      <c r="G429">
        <f t="shared" ca="1" si="147"/>
        <v>5</v>
      </c>
      <c r="H429" t="str">
        <f t="shared" ca="1" si="148"/>
        <v>Agriculture</v>
      </c>
      <c r="I429">
        <f t="shared" ca="1" si="149"/>
        <v>5</v>
      </c>
      <c r="J429" t="str">
        <f t="shared" ca="1" si="150"/>
        <v>Other</v>
      </c>
      <c r="K429">
        <f t="shared" ca="1" si="151"/>
        <v>2</v>
      </c>
      <c r="L429">
        <f t="shared" ca="1" si="152"/>
        <v>1</v>
      </c>
      <c r="M429">
        <f t="shared" ca="1" si="153"/>
        <v>80992</v>
      </c>
      <c r="N429">
        <f t="shared" ca="1" si="154"/>
        <v>3</v>
      </c>
      <c r="O429" t="str">
        <f t="shared" ca="1" si="155"/>
        <v>Northwest Ter</v>
      </c>
      <c r="P429">
        <f t="shared" ca="1" si="161"/>
        <v>485952</v>
      </c>
      <c r="Q429">
        <f t="shared" ca="1" si="156"/>
        <v>232078.95039939115</v>
      </c>
      <c r="R429">
        <f t="shared" ca="1" si="143"/>
        <v>64092.725111789681</v>
      </c>
      <c r="S429">
        <f t="shared" ca="1" si="157"/>
        <v>36423</v>
      </c>
      <c r="T429">
        <f t="shared" ca="1" si="162"/>
        <v>87404.328458797623</v>
      </c>
      <c r="U429">
        <f t="shared" ca="1" si="163"/>
        <v>36414.973000943639</v>
      </c>
      <c r="V429">
        <f t="shared" ca="1" si="164"/>
        <v>586459.69811273331</v>
      </c>
      <c r="W429">
        <f t="shared" ca="1" si="165"/>
        <v>355906.27885818877</v>
      </c>
      <c r="Z429" s="4">
        <f t="shared" ca="1" si="158"/>
        <v>1</v>
      </c>
      <c r="AA429">
        <f t="shared" ca="1" si="159"/>
        <v>0</v>
      </c>
      <c r="AC429" s="5"/>
      <c r="AX429" s="10">
        <f ca="1">Table1[[#This Row],[Car Value]]/Table1[[#This Row],[No. of Vehicles]]</f>
        <v>64092.725111789681</v>
      </c>
      <c r="AZ429">
        <f ca="1">IF(Table1[[#This Row],[Debts]]&gt;$BA$3,1,0)</f>
        <v>1</v>
      </c>
      <c r="BC429" s="12">
        <f ca="1">Table1[[#This Row],[Mortage left]]/Table1[[#This Row],[Value of The House]]</f>
        <v>0.4775758725129049</v>
      </c>
      <c r="BD429" s="4">
        <f t="shared" ca="1" si="160"/>
        <v>0</v>
      </c>
      <c r="BE429" s="5"/>
    </row>
    <row r="430" spans="4:57" x14ac:dyDescent="0.3">
      <c r="D430">
        <f t="shared" ca="1" si="144"/>
        <v>2</v>
      </c>
      <c r="E430" t="str">
        <f t="shared" ca="1" si="145"/>
        <v>Female</v>
      </c>
      <c r="F430">
        <f t="shared" ca="1" si="146"/>
        <v>27</v>
      </c>
      <c r="G430">
        <f t="shared" ca="1" si="147"/>
        <v>3</v>
      </c>
      <c r="H430" t="str">
        <f t="shared" ca="1" si="148"/>
        <v>Teaching</v>
      </c>
      <c r="I430">
        <f t="shared" ca="1" si="149"/>
        <v>5</v>
      </c>
      <c r="J430" t="str">
        <f t="shared" ca="1" si="150"/>
        <v>Other</v>
      </c>
      <c r="K430">
        <f t="shared" ca="1" si="151"/>
        <v>0</v>
      </c>
      <c r="L430">
        <f t="shared" ca="1" si="152"/>
        <v>1</v>
      </c>
      <c r="M430">
        <f t="shared" ca="1" si="153"/>
        <v>69454</v>
      </c>
      <c r="N430">
        <f t="shared" ca="1" si="154"/>
        <v>2</v>
      </c>
      <c r="O430" t="str">
        <f t="shared" ca="1" si="155"/>
        <v>BC</v>
      </c>
      <c r="P430">
        <f t="shared" ca="1" si="161"/>
        <v>277816</v>
      </c>
      <c r="Q430">
        <f t="shared" ca="1" si="156"/>
        <v>53318.488325335478</v>
      </c>
      <c r="R430">
        <f t="shared" ca="1" si="143"/>
        <v>7670.3009441940794</v>
      </c>
      <c r="S430">
        <f t="shared" ca="1" si="157"/>
        <v>2272</v>
      </c>
      <c r="T430">
        <f t="shared" ca="1" si="162"/>
        <v>35694.065620010719</v>
      </c>
      <c r="U430">
        <f t="shared" ca="1" si="163"/>
        <v>13048.880848057259</v>
      </c>
      <c r="V430">
        <f t="shared" ca="1" si="164"/>
        <v>298535.18179225136</v>
      </c>
      <c r="W430">
        <f t="shared" ca="1" si="165"/>
        <v>91284.553945346197</v>
      </c>
      <c r="Z430" s="4">
        <f t="shared" ca="1" si="158"/>
        <v>0</v>
      </c>
      <c r="AA430">
        <f t="shared" ca="1" si="159"/>
        <v>1</v>
      </c>
      <c r="AC430" s="5"/>
      <c r="AX430" s="10">
        <f ca="1">Table1[[#This Row],[Car Value]]/Table1[[#This Row],[No. of Vehicles]]</f>
        <v>7670.3009441940794</v>
      </c>
      <c r="AZ430">
        <f ca="1">IF(Table1[[#This Row],[Debts]]&gt;$BA$3,1,0)</f>
        <v>1</v>
      </c>
      <c r="BC430" s="12">
        <f ca="1">Table1[[#This Row],[Mortage left]]/Table1[[#This Row],[Value of The House]]</f>
        <v>0.19192014975860094</v>
      </c>
      <c r="BD430" s="4">
        <f t="shared" ca="1" si="160"/>
        <v>1</v>
      </c>
      <c r="BE430" s="5"/>
    </row>
    <row r="431" spans="4:57" x14ac:dyDescent="0.3">
      <c r="D431">
        <f t="shared" ca="1" si="144"/>
        <v>2</v>
      </c>
      <c r="E431" t="str">
        <f t="shared" ca="1" si="145"/>
        <v>Female</v>
      </c>
      <c r="F431">
        <f t="shared" ca="1" si="146"/>
        <v>44</v>
      </c>
      <c r="G431">
        <f t="shared" ca="1" si="147"/>
        <v>2</v>
      </c>
      <c r="H431" t="str">
        <f t="shared" ca="1" si="148"/>
        <v>Construction</v>
      </c>
      <c r="I431">
        <f t="shared" ca="1" si="149"/>
        <v>2</v>
      </c>
      <c r="J431" t="str">
        <f t="shared" ca="1" si="150"/>
        <v>College</v>
      </c>
      <c r="K431">
        <f t="shared" ca="1" si="151"/>
        <v>3</v>
      </c>
      <c r="L431">
        <f t="shared" ca="1" si="152"/>
        <v>1</v>
      </c>
      <c r="M431">
        <f t="shared" ca="1" si="153"/>
        <v>30421</v>
      </c>
      <c r="N431">
        <f t="shared" ca="1" si="154"/>
        <v>13</v>
      </c>
      <c r="O431" t="str">
        <f t="shared" ca="1" si="155"/>
        <v>Prince Edward Islnd</v>
      </c>
      <c r="P431">
        <f t="shared" ca="1" si="161"/>
        <v>121684</v>
      </c>
      <c r="Q431">
        <f t="shared" ca="1" si="156"/>
        <v>54804.530211908146</v>
      </c>
      <c r="R431">
        <f t="shared" ca="1" si="143"/>
        <v>5545.8830400438665</v>
      </c>
      <c r="S431">
        <f t="shared" ca="1" si="157"/>
        <v>513</v>
      </c>
      <c r="T431">
        <f t="shared" ca="1" si="162"/>
        <v>7897.7394713860012</v>
      </c>
      <c r="U431">
        <f t="shared" ca="1" si="163"/>
        <v>33368.024614853966</v>
      </c>
      <c r="V431">
        <f t="shared" ca="1" si="164"/>
        <v>160597.90765489783</v>
      </c>
      <c r="W431">
        <f t="shared" ca="1" si="165"/>
        <v>63215.269683294144</v>
      </c>
      <c r="Z431" s="4">
        <f t="shared" ca="1" si="158"/>
        <v>0</v>
      </c>
      <c r="AA431">
        <f t="shared" ca="1" si="159"/>
        <v>1</v>
      </c>
      <c r="AC431" s="5"/>
      <c r="AX431" s="10">
        <f ca="1">Table1[[#This Row],[Car Value]]/Table1[[#This Row],[No. of Vehicles]]</f>
        <v>5545.8830400438665</v>
      </c>
      <c r="AZ431">
        <f ca="1">IF(Table1[[#This Row],[Debts]]&gt;$BA$3,1,0)</f>
        <v>0</v>
      </c>
      <c r="BC431" s="12">
        <f ca="1">Table1[[#This Row],[Mortage left]]/Table1[[#This Row],[Value of The House]]</f>
        <v>0.45038402922247911</v>
      </c>
      <c r="BD431" s="4">
        <f t="shared" ca="1" si="160"/>
        <v>0</v>
      </c>
      <c r="BE431" s="5"/>
    </row>
    <row r="432" spans="4:57" x14ac:dyDescent="0.3">
      <c r="D432">
        <f t="shared" ca="1" si="144"/>
        <v>1</v>
      </c>
      <c r="E432" t="str">
        <f t="shared" ca="1" si="145"/>
        <v>Male</v>
      </c>
      <c r="F432">
        <f t="shared" ca="1" si="146"/>
        <v>31</v>
      </c>
      <c r="G432">
        <f t="shared" ca="1" si="147"/>
        <v>2</v>
      </c>
      <c r="H432" t="str">
        <f t="shared" ca="1" si="148"/>
        <v>Construction</v>
      </c>
      <c r="I432">
        <f t="shared" ca="1" si="149"/>
        <v>3</v>
      </c>
      <c r="J432" t="str">
        <f t="shared" ca="1" si="150"/>
        <v>University</v>
      </c>
      <c r="K432">
        <f t="shared" ca="1" si="151"/>
        <v>1</v>
      </c>
      <c r="L432">
        <f t="shared" ca="1" si="152"/>
        <v>1</v>
      </c>
      <c r="M432">
        <f t="shared" ca="1" si="153"/>
        <v>78745</v>
      </c>
      <c r="N432">
        <f t="shared" ca="1" si="154"/>
        <v>13</v>
      </c>
      <c r="O432" t="str">
        <f t="shared" ca="1" si="155"/>
        <v>Prince Edward Islnd</v>
      </c>
      <c r="P432">
        <f t="shared" ca="1" si="161"/>
        <v>472470</v>
      </c>
      <c r="Q432">
        <f t="shared" ca="1" si="156"/>
        <v>382490.66667216818</v>
      </c>
      <c r="R432">
        <f t="shared" ca="1" si="143"/>
        <v>8267.7696395396088</v>
      </c>
      <c r="S432">
        <f t="shared" ca="1" si="157"/>
        <v>5862</v>
      </c>
      <c r="T432">
        <f t="shared" ca="1" si="162"/>
        <v>102475.26336405073</v>
      </c>
      <c r="U432">
        <f t="shared" ca="1" si="163"/>
        <v>93909.806304477635</v>
      </c>
      <c r="V432">
        <f t="shared" ca="1" si="164"/>
        <v>574647.57594401727</v>
      </c>
      <c r="W432">
        <f t="shared" ca="1" si="165"/>
        <v>490827.9300362189</v>
      </c>
      <c r="Z432" s="4">
        <f t="shared" ca="1" si="158"/>
        <v>1</v>
      </c>
      <c r="AA432">
        <f t="shared" ca="1" si="159"/>
        <v>0</v>
      </c>
      <c r="AC432" s="5"/>
      <c r="AX432" s="10">
        <f ca="1">Table1[[#This Row],[Car Value]]/Table1[[#This Row],[No. of Vehicles]]</f>
        <v>8267.7696395396088</v>
      </c>
      <c r="AZ432">
        <f ca="1">IF(Table1[[#This Row],[Debts]]&gt;$BA$3,1,0)</f>
        <v>1</v>
      </c>
      <c r="BC432" s="12">
        <f ca="1">Table1[[#This Row],[Mortage left]]/Table1[[#This Row],[Value of The House]]</f>
        <v>0.80955545679549645</v>
      </c>
      <c r="BD432" s="4">
        <f t="shared" ca="1" si="160"/>
        <v>0</v>
      </c>
      <c r="BE432" s="5"/>
    </row>
    <row r="433" spans="4:57" x14ac:dyDescent="0.3">
      <c r="D433">
        <f t="shared" ca="1" si="144"/>
        <v>2</v>
      </c>
      <c r="E433" t="str">
        <f t="shared" ca="1" si="145"/>
        <v>Female</v>
      </c>
      <c r="F433">
        <f t="shared" ca="1" si="146"/>
        <v>43</v>
      </c>
      <c r="G433">
        <f t="shared" ca="1" si="147"/>
        <v>2</v>
      </c>
      <c r="H433" t="str">
        <f t="shared" ca="1" si="148"/>
        <v>Construction</v>
      </c>
      <c r="I433">
        <f t="shared" ca="1" si="149"/>
        <v>4</v>
      </c>
      <c r="J433" t="str">
        <f t="shared" ca="1" si="150"/>
        <v>Technical</v>
      </c>
      <c r="K433">
        <f t="shared" ca="1" si="151"/>
        <v>4</v>
      </c>
      <c r="L433">
        <f t="shared" ca="1" si="152"/>
        <v>1</v>
      </c>
      <c r="M433">
        <f t="shared" ca="1" si="153"/>
        <v>78381</v>
      </c>
      <c r="N433">
        <f t="shared" ca="1" si="154"/>
        <v>2</v>
      </c>
      <c r="O433" t="str">
        <f t="shared" ca="1" si="155"/>
        <v>BC</v>
      </c>
      <c r="P433">
        <f t="shared" ca="1" si="161"/>
        <v>470286</v>
      </c>
      <c r="Q433">
        <f t="shared" ca="1" si="156"/>
        <v>130842.82150996871</v>
      </c>
      <c r="R433">
        <f t="shared" ca="1" si="143"/>
        <v>38009.105339130314</v>
      </c>
      <c r="S433">
        <f t="shared" ca="1" si="157"/>
        <v>2842</v>
      </c>
      <c r="T433">
        <f t="shared" ca="1" si="162"/>
        <v>37659.418422613016</v>
      </c>
      <c r="U433">
        <f t="shared" ca="1" si="163"/>
        <v>114614.5393026488</v>
      </c>
      <c r="V433">
        <f t="shared" ca="1" si="164"/>
        <v>622909.64464177913</v>
      </c>
      <c r="W433">
        <f t="shared" ca="1" si="165"/>
        <v>171344.23993258172</v>
      </c>
      <c r="Z433" s="4">
        <f t="shared" ca="1" si="158"/>
        <v>0</v>
      </c>
      <c r="AA433">
        <f t="shared" ca="1" si="159"/>
        <v>1</v>
      </c>
      <c r="AC433" s="5"/>
      <c r="AX433" s="10">
        <f ca="1">Table1[[#This Row],[Car Value]]/Table1[[#This Row],[No. of Vehicles]]</f>
        <v>38009.105339130314</v>
      </c>
      <c r="AZ433">
        <f ca="1">IF(Table1[[#This Row],[Debts]]&gt;$BA$3,1,0)</f>
        <v>1</v>
      </c>
      <c r="BC433" s="12">
        <f ca="1">Table1[[#This Row],[Mortage left]]/Table1[[#This Row],[Value of The House]]</f>
        <v>0.27821968229964045</v>
      </c>
      <c r="BD433" s="4">
        <f t="shared" ca="1" si="160"/>
        <v>0</v>
      </c>
      <c r="BE433" s="5"/>
    </row>
    <row r="434" spans="4:57" x14ac:dyDescent="0.3">
      <c r="D434">
        <f t="shared" ca="1" si="144"/>
        <v>2</v>
      </c>
      <c r="E434" t="str">
        <f t="shared" ca="1" si="145"/>
        <v>Female</v>
      </c>
      <c r="F434">
        <f t="shared" ca="1" si="146"/>
        <v>44</v>
      </c>
      <c r="G434">
        <f t="shared" ca="1" si="147"/>
        <v>5</v>
      </c>
      <c r="H434" t="str">
        <f t="shared" ca="1" si="148"/>
        <v>Agriculture</v>
      </c>
      <c r="I434">
        <f t="shared" ca="1" si="149"/>
        <v>2</v>
      </c>
      <c r="J434" t="str">
        <f t="shared" ca="1" si="150"/>
        <v>College</v>
      </c>
      <c r="K434">
        <f t="shared" ca="1" si="151"/>
        <v>4</v>
      </c>
      <c r="L434">
        <f t="shared" ca="1" si="152"/>
        <v>1</v>
      </c>
      <c r="M434">
        <f t="shared" ca="1" si="153"/>
        <v>73431</v>
      </c>
      <c r="N434">
        <f t="shared" ca="1" si="154"/>
        <v>1</v>
      </c>
      <c r="O434" t="str">
        <f t="shared" ca="1" si="155"/>
        <v>Yukon</v>
      </c>
      <c r="P434">
        <f t="shared" ca="1" si="161"/>
        <v>367155</v>
      </c>
      <c r="Q434">
        <f t="shared" ca="1" si="156"/>
        <v>159564.65991318136</v>
      </c>
      <c r="R434">
        <f t="shared" ca="1" si="143"/>
        <v>22515.667495069712</v>
      </c>
      <c r="S434">
        <f t="shared" ca="1" si="157"/>
        <v>8984</v>
      </c>
      <c r="T434">
        <f t="shared" ca="1" si="162"/>
        <v>89696.100743620002</v>
      </c>
      <c r="U434">
        <f t="shared" ca="1" si="163"/>
        <v>75339.256608647353</v>
      </c>
      <c r="V434">
        <f t="shared" ca="1" si="164"/>
        <v>465009.92410371709</v>
      </c>
      <c r="W434">
        <f t="shared" ca="1" si="165"/>
        <v>258244.76065680134</v>
      </c>
      <c r="Z434" s="4">
        <f t="shared" ca="1" si="158"/>
        <v>0</v>
      </c>
      <c r="AA434">
        <f t="shared" ca="1" si="159"/>
        <v>1</v>
      </c>
      <c r="AC434" s="5"/>
      <c r="AX434" s="10">
        <f ca="1">Table1[[#This Row],[Car Value]]/Table1[[#This Row],[No. of Vehicles]]</f>
        <v>22515.667495069712</v>
      </c>
      <c r="AZ434">
        <f ca="1">IF(Table1[[#This Row],[Debts]]&gt;$BA$3,1,0)</f>
        <v>1</v>
      </c>
      <c r="BC434" s="12">
        <f ca="1">Table1[[#This Row],[Mortage left]]/Table1[[#This Row],[Value of The House]]</f>
        <v>0.43459754031180658</v>
      </c>
      <c r="BD434" s="4">
        <f t="shared" ca="1" si="160"/>
        <v>0</v>
      </c>
      <c r="BE434" s="5"/>
    </row>
    <row r="435" spans="4:57" x14ac:dyDescent="0.3">
      <c r="D435">
        <f t="shared" ca="1" si="144"/>
        <v>1</v>
      </c>
      <c r="E435" t="str">
        <f t="shared" ca="1" si="145"/>
        <v>Male</v>
      </c>
      <c r="F435">
        <f t="shared" ca="1" si="146"/>
        <v>36</v>
      </c>
      <c r="G435">
        <f t="shared" ca="1" si="147"/>
        <v>3</v>
      </c>
      <c r="H435" t="str">
        <f t="shared" ca="1" si="148"/>
        <v>Teaching</v>
      </c>
      <c r="I435">
        <f t="shared" ca="1" si="149"/>
        <v>1</v>
      </c>
      <c r="J435" t="str">
        <f t="shared" ca="1" si="150"/>
        <v>High School</v>
      </c>
      <c r="K435">
        <f t="shared" ca="1" si="151"/>
        <v>3</v>
      </c>
      <c r="L435">
        <f t="shared" ca="1" si="152"/>
        <v>2</v>
      </c>
      <c r="M435">
        <f t="shared" ca="1" si="153"/>
        <v>34652</v>
      </c>
      <c r="N435">
        <f t="shared" ca="1" si="154"/>
        <v>3</v>
      </c>
      <c r="O435" t="str">
        <f t="shared" ca="1" si="155"/>
        <v>Northwest Ter</v>
      </c>
      <c r="P435">
        <f t="shared" ca="1" si="161"/>
        <v>207912</v>
      </c>
      <c r="Q435">
        <f t="shared" ca="1" si="156"/>
        <v>140726.2672248226</v>
      </c>
      <c r="R435">
        <f t="shared" ca="1" si="143"/>
        <v>36271.882001950275</v>
      </c>
      <c r="S435">
        <f t="shared" ca="1" si="157"/>
        <v>19190</v>
      </c>
      <c r="T435">
        <f t="shared" ca="1" si="162"/>
        <v>2658.1443237890594</v>
      </c>
      <c r="U435">
        <f t="shared" ca="1" si="163"/>
        <v>46976.768094681924</v>
      </c>
      <c r="V435">
        <f t="shared" ca="1" si="164"/>
        <v>291160.65009663219</v>
      </c>
      <c r="W435">
        <f t="shared" ca="1" si="165"/>
        <v>162574.41154861165</v>
      </c>
      <c r="Z435" s="4">
        <f t="shared" ca="1" si="158"/>
        <v>1</v>
      </c>
      <c r="AA435">
        <f t="shared" ca="1" si="159"/>
        <v>0</v>
      </c>
      <c r="AC435" s="5"/>
      <c r="AX435" s="10">
        <f ca="1">Table1[[#This Row],[Car Value]]/Table1[[#This Row],[No. of Vehicles]]</f>
        <v>18135.941000975137</v>
      </c>
      <c r="AZ435">
        <f ca="1">IF(Table1[[#This Row],[Debts]]&gt;$BA$3,1,0)</f>
        <v>0</v>
      </c>
      <c r="BC435" s="12">
        <f ca="1">Table1[[#This Row],[Mortage left]]/Table1[[#This Row],[Value of The House]]</f>
        <v>0.67685495413839802</v>
      </c>
      <c r="BD435" s="4">
        <f t="shared" ca="1" si="160"/>
        <v>0</v>
      </c>
      <c r="BE435" s="5"/>
    </row>
    <row r="436" spans="4:57" x14ac:dyDescent="0.3">
      <c r="D436">
        <f t="shared" ca="1" si="144"/>
        <v>2</v>
      </c>
      <c r="E436" t="str">
        <f t="shared" ca="1" si="145"/>
        <v>Female</v>
      </c>
      <c r="F436">
        <f t="shared" ca="1" si="146"/>
        <v>37</v>
      </c>
      <c r="G436">
        <f t="shared" ca="1" si="147"/>
        <v>4</v>
      </c>
      <c r="H436" t="str">
        <f t="shared" ca="1" si="148"/>
        <v>IT</v>
      </c>
      <c r="I436">
        <f t="shared" ca="1" si="149"/>
        <v>1</v>
      </c>
      <c r="J436" t="str">
        <f t="shared" ca="1" si="150"/>
        <v>High School</v>
      </c>
      <c r="K436">
        <f t="shared" ca="1" si="151"/>
        <v>3</v>
      </c>
      <c r="L436">
        <f t="shared" ca="1" si="152"/>
        <v>2</v>
      </c>
      <c r="M436">
        <f t="shared" ca="1" si="153"/>
        <v>64639</v>
      </c>
      <c r="N436">
        <f t="shared" ca="1" si="154"/>
        <v>8</v>
      </c>
      <c r="O436" t="str">
        <f t="shared" ca="1" si="155"/>
        <v>Ontario</v>
      </c>
      <c r="P436">
        <f t="shared" ca="1" si="161"/>
        <v>258556</v>
      </c>
      <c r="Q436">
        <f t="shared" ca="1" si="156"/>
        <v>234805.68286657397</v>
      </c>
      <c r="R436">
        <f t="shared" ca="1" si="143"/>
        <v>35590.481714834415</v>
      </c>
      <c r="S436">
        <f t="shared" ca="1" si="157"/>
        <v>33088</v>
      </c>
      <c r="T436">
        <f t="shared" ca="1" si="162"/>
        <v>120729.56542132435</v>
      </c>
      <c r="U436">
        <f t="shared" ca="1" si="163"/>
        <v>21970.356950095502</v>
      </c>
      <c r="V436">
        <f t="shared" ca="1" si="164"/>
        <v>316116.83866492991</v>
      </c>
      <c r="W436">
        <f t="shared" ca="1" si="165"/>
        <v>388623.24828789831</v>
      </c>
      <c r="Z436" s="4">
        <f t="shared" ca="1" si="158"/>
        <v>0</v>
      </c>
      <c r="AA436">
        <f t="shared" ca="1" si="159"/>
        <v>1</v>
      </c>
      <c r="AC436" s="5"/>
      <c r="AX436" s="10">
        <f ca="1">Table1[[#This Row],[Car Value]]/Table1[[#This Row],[No. of Vehicles]]</f>
        <v>17795.240857417208</v>
      </c>
      <c r="AZ436">
        <f ca="1">IF(Table1[[#This Row],[Debts]]&gt;$BA$3,1,0)</f>
        <v>1</v>
      </c>
      <c r="BC436" s="12">
        <f ca="1">Table1[[#This Row],[Mortage left]]/Table1[[#This Row],[Value of The House]]</f>
        <v>0.9081424637856943</v>
      </c>
      <c r="BD436" s="4">
        <f t="shared" ca="1" si="160"/>
        <v>0</v>
      </c>
      <c r="BE436" s="5"/>
    </row>
    <row r="437" spans="4:57" x14ac:dyDescent="0.3">
      <c r="D437">
        <f t="shared" ca="1" si="144"/>
        <v>1</v>
      </c>
      <c r="E437" t="str">
        <f t="shared" ca="1" si="145"/>
        <v>Male</v>
      </c>
      <c r="F437">
        <f t="shared" ca="1" si="146"/>
        <v>39</v>
      </c>
      <c r="G437">
        <f t="shared" ca="1" si="147"/>
        <v>1</v>
      </c>
      <c r="H437" t="str">
        <f t="shared" ca="1" si="148"/>
        <v>Health</v>
      </c>
      <c r="I437">
        <f t="shared" ca="1" si="149"/>
        <v>3</v>
      </c>
      <c r="J437" t="str">
        <f t="shared" ca="1" si="150"/>
        <v>University</v>
      </c>
      <c r="K437">
        <f t="shared" ca="1" si="151"/>
        <v>4</v>
      </c>
      <c r="L437">
        <f t="shared" ca="1" si="152"/>
        <v>2</v>
      </c>
      <c r="M437">
        <f t="shared" ca="1" si="153"/>
        <v>45808</v>
      </c>
      <c r="N437">
        <f t="shared" ca="1" si="154"/>
        <v>11</v>
      </c>
      <c r="O437" t="str">
        <f t="shared" ca="1" si="155"/>
        <v>New bruncwick</v>
      </c>
      <c r="P437">
        <f t="shared" ca="1" si="161"/>
        <v>229040</v>
      </c>
      <c r="Q437">
        <f t="shared" ca="1" si="156"/>
        <v>155513.29112996298</v>
      </c>
      <c r="R437">
        <f t="shared" ca="1" si="143"/>
        <v>49424.64632013948</v>
      </c>
      <c r="S437">
        <f t="shared" ca="1" si="157"/>
        <v>43438</v>
      </c>
      <c r="T437">
        <f t="shared" ca="1" si="162"/>
        <v>69546.144916989913</v>
      </c>
      <c r="U437">
        <f t="shared" ca="1" si="163"/>
        <v>54245.063301400034</v>
      </c>
      <c r="V437">
        <f t="shared" ca="1" si="164"/>
        <v>332709.70962153951</v>
      </c>
      <c r="W437">
        <f t="shared" ca="1" si="165"/>
        <v>268497.43604695291</v>
      </c>
      <c r="Z437" s="4">
        <f t="shared" ca="1" si="158"/>
        <v>1</v>
      </c>
      <c r="AA437">
        <f t="shared" ca="1" si="159"/>
        <v>0</v>
      </c>
      <c r="AC437" s="5"/>
      <c r="AX437" s="10">
        <f ca="1">Table1[[#This Row],[Car Value]]/Table1[[#This Row],[No. of Vehicles]]</f>
        <v>24712.32316006974</v>
      </c>
      <c r="AZ437">
        <f ca="1">IF(Table1[[#This Row],[Debts]]&gt;$BA$3,1,0)</f>
        <v>1</v>
      </c>
      <c r="BC437" s="12">
        <f ca="1">Table1[[#This Row],[Mortage left]]/Table1[[#This Row],[Value of The House]]</f>
        <v>0.67897874227193056</v>
      </c>
      <c r="BD437" s="4">
        <f t="shared" ca="1" si="160"/>
        <v>0</v>
      </c>
      <c r="BE437" s="5"/>
    </row>
    <row r="438" spans="4:57" x14ac:dyDescent="0.3">
      <c r="D438">
        <f t="shared" ca="1" si="144"/>
        <v>1</v>
      </c>
      <c r="E438" t="str">
        <f t="shared" ca="1" si="145"/>
        <v>Male</v>
      </c>
      <c r="F438">
        <f t="shared" ca="1" si="146"/>
        <v>41</v>
      </c>
      <c r="G438">
        <f t="shared" ca="1" si="147"/>
        <v>4</v>
      </c>
      <c r="H438" t="str">
        <f t="shared" ca="1" si="148"/>
        <v>IT</v>
      </c>
      <c r="I438">
        <f t="shared" ca="1" si="149"/>
        <v>3</v>
      </c>
      <c r="J438" t="str">
        <f t="shared" ca="1" si="150"/>
        <v>University</v>
      </c>
      <c r="K438">
        <f t="shared" ca="1" si="151"/>
        <v>1</v>
      </c>
      <c r="L438">
        <f t="shared" ca="1" si="152"/>
        <v>2</v>
      </c>
      <c r="M438">
        <f t="shared" ca="1" si="153"/>
        <v>37469</v>
      </c>
      <c r="N438">
        <f t="shared" ca="1" si="154"/>
        <v>13</v>
      </c>
      <c r="O438" t="str">
        <f t="shared" ca="1" si="155"/>
        <v>Prince Edward Islnd</v>
      </c>
      <c r="P438">
        <f t="shared" ca="1" si="161"/>
        <v>149876</v>
      </c>
      <c r="Q438">
        <f t="shared" ca="1" si="156"/>
        <v>133924.51100943837</v>
      </c>
      <c r="R438">
        <f t="shared" ca="1" si="143"/>
        <v>17117.464054431621</v>
      </c>
      <c r="S438">
        <f t="shared" ca="1" si="157"/>
        <v>12439</v>
      </c>
      <c r="T438">
        <f t="shared" ca="1" si="162"/>
        <v>8697.0325671703831</v>
      </c>
      <c r="U438">
        <f t="shared" ca="1" si="163"/>
        <v>30403.503821604936</v>
      </c>
      <c r="V438">
        <f t="shared" ca="1" si="164"/>
        <v>197396.96787603656</v>
      </c>
      <c r="W438">
        <f t="shared" ca="1" si="165"/>
        <v>155060.54357660876</v>
      </c>
      <c r="Z438" s="4">
        <f t="shared" ca="1" si="158"/>
        <v>1</v>
      </c>
      <c r="AA438">
        <f t="shared" ca="1" si="159"/>
        <v>0</v>
      </c>
      <c r="AC438" s="5"/>
      <c r="AX438" s="10">
        <f ca="1">Table1[[#This Row],[Car Value]]/Table1[[#This Row],[No. of Vehicles]]</f>
        <v>8558.7320272158104</v>
      </c>
      <c r="AZ438">
        <f ca="1">IF(Table1[[#This Row],[Debts]]&gt;$BA$3,1,0)</f>
        <v>0</v>
      </c>
      <c r="BC438" s="12">
        <f ca="1">Table1[[#This Row],[Mortage left]]/Table1[[#This Row],[Value of The House]]</f>
        <v>0.89356875690196147</v>
      </c>
      <c r="BD438" s="4">
        <f t="shared" ca="1" si="160"/>
        <v>0</v>
      </c>
      <c r="BE438" s="5"/>
    </row>
    <row r="439" spans="4:57" x14ac:dyDescent="0.3">
      <c r="D439">
        <f t="shared" ca="1" si="144"/>
        <v>1</v>
      </c>
      <c r="E439" t="str">
        <f t="shared" ca="1" si="145"/>
        <v>Male</v>
      </c>
      <c r="F439">
        <f t="shared" ca="1" si="146"/>
        <v>28</v>
      </c>
      <c r="G439">
        <f t="shared" ca="1" si="147"/>
        <v>1</v>
      </c>
      <c r="H439" t="str">
        <f t="shared" ca="1" si="148"/>
        <v>Health</v>
      </c>
      <c r="I439">
        <f t="shared" ca="1" si="149"/>
        <v>5</v>
      </c>
      <c r="J439" t="str">
        <f t="shared" ca="1" si="150"/>
        <v>Other</v>
      </c>
      <c r="K439">
        <f t="shared" ca="1" si="151"/>
        <v>0</v>
      </c>
      <c r="L439">
        <f t="shared" ca="1" si="152"/>
        <v>2</v>
      </c>
      <c r="M439">
        <f t="shared" ca="1" si="153"/>
        <v>55080</v>
      </c>
      <c r="N439">
        <f t="shared" ca="1" si="154"/>
        <v>11</v>
      </c>
      <c r="O439" t="str">
        <f t="shared" ca="1" si="155"/>
        <v>New bruncwick</v>
      </c>
      <c r="P439">
        <f t="shared" ca="1" si="161"/>
        <v>330480</v>
      </c>
      <c r="Q439">
        <f t="shared" ca="1" si="156"/>
        <v>99421.377997719552</v>
      </c>
      <c r="R439">
        <f t="shared" ca="1" si="143"/>
        <v>27808.267826172181</v>
      </c>
      <c r="S439">
        <f t="shared" ca="1" si="157"/>
        <v>6415</v>
      </c>
      <c r="T439">
        <f t="shared" ca="1" si="162"/>
        <v>29530.794381031676</v>
      </c>
      <c r="U439">
        <f t="shared" ca="1" si="163"/>
        <v>18074.671645486884</v>
      </c>
      <c r="V439">
        <f t="shared" ca="1" si="164"/>
        <v>376362.93947165908</v>
      </c>
      <c r="W439">
        <f t="shared" ca="1" si="165"/>
        <v>135367.17237875122</v>
      </c>
      <c r="Z439" s="4">
        <f t="shared" ca="1" si="158"/>
        <v>1</v>
      </c>
      <c r="AA439">
        <f t="shared" ca="1" si="159"/>
        <v>0</v>
      </c>
      <c r="AC439" s="5"/>
      <c r="AX439" s="10">
        <f ca="1">Table1[[#This Row],[Car Value]]/Table1[[#This Row],[No. of Vehicles]]</f>
        <v>13904.133913086091</v>
      </c>
      <c r="AZ439">
        <f ca="1">IF(Table1[[#This Row],[Debts]]&gt;$BA$3,1,0)</f>
        <v>1</v>
      </c>
      <c r="BC439" s="12">
        <f ca="1">Table1[[#This Row],[Mortage left]]/Table1[[#This Row],[Value of The House]]</f>
        <v>0.30083931856003254</v>
      </c>
      <c r="BD439" s="4">
        <f t="shared" ca="1" si="160"/>
        <v>0</v>
      </c>
      <c r="BE439" s="5"/>
    </row>
    <row r="440" spans="4:57" x14ac:dyDescent="0.3">
      <c r="D440">
        <f t="shared" ca="1" si="144"/>
        <v>2</v>
      </c>
      <c r="E440" t="str">
        <f t="shared" ca="1" si="145"/>
        <v>Female</v>
      </c>
      <c r="F440">
        <f t="shared" ca="1" si="146"/>
        <v>45</v>
      </c>
      <c r="G440">
        <f t="shared" ca="1" si="147"/>
        <v>5</v>
      </c>
      <c r="H440" t="str">
        <f t="shared" ca="1" si="148"/>
        <v>Agriculture</v>
      </c>
      <c r="I440">
        <f t="shared" ca="1" si="149"/>
        <v>5</v>
      </c>
      <c r="J440" t="str">
        <f t="shared" ca="1" si="150"/>
        <v>Other</v>
      </c>
      <c r="K440">
        <f t="shared" ca="1" si="151"/>
        <v>2</v>
      </c>
      <c r="L440">
        <f t="shared" ca="1" si="152"/>
        <v>1</v>
      </c>
      <c r="M440">
        <f t="shared" ca="1" si="153"/>
        <v>36881</v>
      </c>
      <c r="N440">
        <f t="shared" ca="1" si="154"/>
        <v>13</v>
      </c>
      <c r="O440" t="str">
        <f t="shared" ca="1" si="155"/>
        <v>Prince Edward Islnd</v>
      </c>
      <c r="P440">
        <f t="shared" ca="1" si="161"/>
        <v>184405</v>
      </c>
      <c r="Q440">
        <f t="shared" ca="1" si="156"/>
        <v>31473.467522130173</v>
      </c>
      <c r="R440">
        <f t="shared" ca="1" si="143"/>
        <v>14288.843535004495</v>
      </c>
      <c r="S440">
        <f t="shared" ca="1" si="157"/>
        <v>3118</v>
      </c>
      <c r="T440">
        <f t="shared" ca="1" si="162"/>
        <v>9123.9317884686207</v>
      </c>
      <c r="U440">
        <f t="shared" ca="1" si="163"/>
        <v>9323.3385059092507</v>
      </c>
      <c r="V440">
        <f t="shared" ca="1" si="164"/>
        <v>208017.18204091376</v>
      </c>
      <c r="W440">
        <f t="shared" ca="1" si="165"/>
        <v>43715.39931059879</v>
      </c>
      <c r="Z440" s="4">
        <f t="shared" ca="1" si="158"/>
        <v>0</v>
      </c>
      <c r="AA440">
        <f t="shared" ca="1" si="159"/>
        <v>1</v>
      </c>
      <c r="AC440" s="5"/>
      <c r="AX440" s="10">
        <f ca="1">Table1[[#This Row],[Car Value]]/Table1[[#This Row],[No. of Vehicles]]</f>
        <v>14288.843535004495</v>
      </c>
      <c r="AZ440">
        <f ca="1">IF(Table1[[#This Row],[Debts]]&gt;$BA$3,1,0)</f>
        <v>0</v>
      </c>
      <c r="BC440" s="12">
        <f ca="1">Table1[[#This Row],[Mortage left]]/Table1[[#This Row],[Value of The House]]</f>
        <v>0.17067578168775344</v>
      </c>
      <c r="BD440" s="4">
        <f t="shared" ca="1" si="160"/>
        <v>1</v>
      </c>
      <c r="BE440" s="5"/>
    </row>
    <row r="441" spans="4:57" x14ac:dyDescent="0.3">
      <c r="D441">
        <f t="shared" ca="1" si="144"/>
        <v>2</v>
      </c>
      <c r="E441" t="str">
        <f t="shared" ca="1" si="145"/>
        <v>Female</v>
      </c>
      <c r="F441">
        <f t="shared" ca="1" si="146"/>
        <v>37</v>
      </c>
      <c r="G441">
        <f t="shared" ca="1" si="147"/>
        <v>4</v>
      </c>
      <c r="H441" t="str">
        <f t="shared" ca="1" si="148"/>
        <v>IT</v>
      </c>
      <c r="I441">
        <f t="shared" ca="1" si="149"/>
        <v>4</v>
      </c>
      <c r="J441" t="str">
        <f t="shared" ca="1" si="150"/>
        <v>Technical</v>
      </c>
      <c r="K441">
        <f t="shared" ca="1" si="151"/>
        <v>4</v>
      </c>
      <c r="L441">
        <f t="shared" ca="1" si="152"/>
        <v>1</v>
      </c>
      <c r="M441">
        <f t="shared" ca="1" si="153"/>
        <v>73451</v>
      </c>
      <c r="N441">
        <f t="shared" ca="1" si="154"/>
        <v>6</v>
      </c>
      <c r="O441" t="str">
        <f t="shared" ca="1" si="155"/>
        <v>Saskatchewan</v>
      </c>
      <c r="P441">
        <f t="shared" ca="1" si="161"/>
        <v>367255</v>
      </c>
      <c r="Q441">
        <f t="shared" ca="1" si="156"/>
        <v>214801.80017712025</v>
      </c>
      <c r="R441">
        <f t="shared" ca="1" si="143"/>
        <v>17290.89337228287</v>
      </c>
      <c r="S441">
        <f t="shared" ca="1" si="157"/>
        <v>9252</v>
      </c>
      <c r="T441">
        <f t="shared" ca="1" si="162"/>
        <v>73059.013412171684</v>
      </c>
      <c r="U441">
        <f t="shared" ca="1" si="163"/>
        <v>53737.494798238637</v>
      </c>
      <c r="V441">
        <f t="shared" ca="1" si="164"/>
        <v>438283.38817052147</v>
      </c>
      <c r="W441">
        <f t="shared" ca="1" si="165"/>
        <v>297112.81358929194</v>
      </c>
      <c r="Z441" s="4">
        <f t="shared" ca="1" si="158"/>
        <v>0</v>
      </c>
      <c r="AA441">
        <f t="shared" ca="1" si="159"/>
        <v>1</v>
      </c>
      <c r="AC441" s="5"/>
      <c r="AX441" s="10">
        <f ca="1">Table1[[#This Row],[Car Value]]/Table1[[#This Row],[No. of Vehicles]]</f>
        <v>17290.89337228287</v>
      </c>
      <c r="AZ441">
        <f ca="1">IF(Table1[[#This Row],[Debts]]&gt;$BA$3,1,0)</f>
        <v>1</v>
      </c>
      <c r="BC441" s="12">
        <f ca="1">Table1[[#This Row],[Mortage left]]/Table1[[#This Row],[Value of The House]]</f>
        <v>0.58488461743780273</v>
      </c>
      <c r="BD441" s="4">
        <f t="shared" ca="1" si="160"/>
        <v>0</v>
      </c>
      <c r="BE441" s="5"/>
    </row>
    <row r="442" spans="4:57" x14ac:dyDescent="0.3">
      <c r="D442">
        <f t="shared" ca="1" si="144"/>
        <v>1</v>
      </c>
      <c r="E442" t="str">
        <f t="shared" ca="1" si="145"/>
        <v>Male</v>
      </c>
      <c r="F442">
        <f t="shared" ca="1" si="146"/>
        <v>45</v>
      </c>
      <c r="G442">
        <f t="shared" ca="1" si="147"/>
        <v>5</v>
      </c>
      <c r="H442" t="str">
        <f t="shared" ca="1" si="148"/>
        <v>Agriculture</v>
      </c>
      <c r="I442">
        <f t="shared" ca="1" si="149"/>
        <v>5</v>
      </c>
      <c r="J442" t="str">
        <f t="shared" ca="1" si="150"/>
        <v>Other</v>
      </c>
      <c r="K442">
        <f t="shared" ca="1" si="151"/>
        <v>3</v>
      </c>
      <c r="L442">
        <f t="shared" ca="1" si="152"/>
        <v>2</v>
      </c>
      <c r="M442">
        <f t="shared" ca="1" si="153"/>
        <v>84689</v>
      </c>
      <c r="N442">
        <f t="shared" ca="1" si="154"/>
        <v>3</v>
      </c>
      <c r="O442" t="str">
        <f t="shared" ca="1" si="155"/>
        <v>Northwest Ter</v>
      </c>
      <c r="P442">
        <f t="shared" ca="1" si="161"/>
        <v>508134</v>
      </c>
      <c r="Q442">
        <f t="shared" ca="1" si="156"/>
        <v>215775.27437556727</v>
      </c>
      <c r="R442">
        <f t="shared" ca="1" si="143"/>
        <v>7531.5362254188258</v>
      </c>
      <c r="S442">
        <f t="shared" ca="1" si="157"/>
        <v>3481</v>
      </c>
      <c r="T442">
        <f t="shared" ca="1" si="162"/>
        <v>121328.21873346946</v>
      </c>
      <c r="U442">
        <f t="shared" ca="1" si="163"/>
        <v>62097.488517087884</v>
      </c>
      <c r="V442">
        <f t="shared" ca="1" si="164"/>
        <v>577763.02474250668</v>
      </c>
      <c r="W442">
        <f t="shared" ca="1" si="165"/>
        <v>340584.4931090367</v>
      </c>
      <c r="Z442" s="4">
        <f t="shared" ca="1" si="158"/>
        <v>1</v>
      </c>
      <c r="AA442">
        <f t="shared" ca="1" si="159"/>
        <v>0</v>
      </c>
      <c r="AC442" s="5"/>
      <c r="AX442" s="10">
        <f ca="1">Table1[[#This Row],[Car Value]]/Table1[[#This Row],[No. of Vehicles]]</f>
        <v>3765.7681127094129</v>
      </c>
      <c r="AZ442">
        <f ca="1">IF(Table1[[#This Row],[Debts]]&gt;$BA$3,1,0)</f>
        <v>1</v>
      </c>
      <c r="BC442" s="12">
        <f ca="1">Table1[[#This Row],[Mortage left]]/Table1[[#This Row],[Value of The House]]</f>
        <v>0.42464246512842529</v>
      </c>
      <c r="BD442" s="4">
        <f t="shared" ca="1" si="160"/>
        <v>0</v>
      </c>
      <c r="BE442" s="5"/>
    </row>
    <row r="443" spans="4:57" x14ac:dyDescent="0.3">
      <c r="D443">
        <f t="shared" ca="1" si="144"/>
        <v>1</v>
      </c>
      <c r="E443" t="str">
        <f t="shared" ca="1" si="145"/>
        <v>Male</v>
      </c>
      <c r="F443">
        <f t="shared" ca="1" si="146"/>
        <v>43</v>
      </c>
      <c r="G443">
        <f t="shared" ca="1" si="147"/>
        <v>6</v>
      </c>
      <c r="H443" t="str">
        <f t="shared" ca="1" si="148"/>
        <v>General Work</v>
      </c>
      <c r="I443">
        <f t="shared" ca="1" si="149"/>
        <v>1</v>
      </c>
      <c r="J443" t="str">
        <f t="shared" ca="1" si="150"/>
        <v>High School</v>
      </c>
      <c r="K443">
        <f t="shared" ca="1" si="151"/>
        <v>2</v>
      </c>
      <c r="L443">
        <f t="shared" ca="1" si="152"/>
        <v>1</v>
      </c>
      <c r="M443">
        <f t="shared" ca="1" si="153"/>
        <v>49427</v>
      </c>
      <c r="N443">
        <f t="shared" ca="1" si="154"/>
        <v>7</v>
      </c>
      <c r="O443" t="str">
        <f t="shared" ca="1" si="155"/>
        <v>Manitoba</v>
      </c>
      <c r="P443">
        <f t="shared" ca="1" si="161"/>
        <v>247135</v>
      </c>
      <c r="Q443">
        <f t="shared" ca="1" si="156"/>
        <v>53605.424071208945</v>
      </c>
      <c r="R443">
        <f t="shared" ca="1" si="143"/>
        <v>31569.952543939777</v>
      </c>
      <c r="S443">
        <f t="shared" ca="1" si="157"/>
        <v>6107</v>
      </c>
      <c r="T443">
        <f t="shared" ca="1" si="162"/>
        <v>56240.564010358619</v>
      </c>
      <c r="U443">
        <f t="shared" ca="1" si="163"/>
        <v>58334.082936900704</v>
      </c>
      <c r="V443">
        <f t="shared" ca="1" si="164"/>
        <v>337039.03548084048</v>
      </c>
      <c r="W443">
        <f t="shared" ca="1" si="165"/>
        <v>115952.98808156757</v>
      </c>
      <c r="Z443" s="4">
        <f t="shared" ca="1" si="158"/>
        <v>1</v>
      </c>
      <c r="AA443">
        <f t="shared" ca="1" si="159"/>
        <v>0</v>
      </c>
      <c r="AC443" s="5"/>
      <c r="AX443" s="10">
        <f ca="1">Table1[[#This Row],[Car Value]]/Table1[[#This Row],[No. of Vehicles]]</f>
        <v>31569.952543939777</v>
      </c>
      <c r="AZ443">
        <f ca="1">IF(Table1[[#This Row],[Debts]]&gt;$BA$3,1,0)</f>
        <v>1</v>
      </c>
      <c r="BC443" s="12">
        <f ca="1">Table1[[#This Row],[Mortage left]]/Table1[[#This Row],[Value of The House]]</f>
        <v>0.21690745572747261</v>
      </c>
      <c r="BD443" s="4">
        <f t="shared" ca="1" si="160"/>
        <v>0</v>
      </c>
      <c r="BE443" s="5"/>
    </row>
    <row r="444" spans="4:57" x14ac:dyDescent="0.3">
      <c r="D444">
        <f t="shared" ca="1" si="144"/>
        <v>2</v>
      </c>
      <c r="E444" t="str">
        <f t="shared" ca="1" si="145"/>
        <v>Female</v>
      </c>
      <c r="F444">
        <f t="shared" ca="1" si="146"/>
        <v>44</v>
      </c>
      <c r="G444">
        <f t="shared" ca="1" si="147"/>
        <v>6</v>
      </c>
      <c r="H444" t="str">
        <f t="shared" ca="1" si="148"/>
        <v>General Work</v>
      </c>
      <c r="I444">
        <f t="shared" ca="1" si="149"/>
        <v>2</v>
      </c>
      <c r="J444" t="str">
        <f t="shared" ca="1" si="150"/>
        <v>College</v>
      </c>
      <c r="K444">
        <f t="shared" ca="1" si="151"/>
        <v>2</v>
      </c>
      <c r="L444">
        <f t="shared" ca="1" si="152"/>
        <v>2</v>
      </c>
      <c r="M444">
        <f t="shared" ca="1" si="153"/>
        <v>53194</v>
      </c>
      <c r="N444">
        <f t="shared" ca="1" si="154"/>
        <v>3</v>
      </c>
      <c r="O444" t="str">
        <f t="shared" ca="1" si="155"/>
        <v>Northwest Ter</v>
      </c>
      <c r="P444">
        <f t="shared" ca="1" si="161"/>
        <v>265970</v>
      </c>
      <c r="Q444">
        <f t="shared" ca="1" si="156"/>
        <v>27755.471635645761</v>
      </c>
      <c r="R444">
        <f t="shared" ca="1" si="143"/>
        <v>88434.640719051997</v>
      </c>
      <c r="S444">
        <f t="shared" ca="1" si="157"/>
        <v>84900</v>
      </c>
      <c r="T444">
        <f t="shared" ca="1" si="162"/>
        <v>16204.463419713256</v>
      </c>
      <c r="U444">
        <f t="shared" ca="1" si="163"/>
        <v>39482.151873330135</v>
      </c>
      <c r="V444">
        <f t="shared" ca="1" si="164"/>
        <v>393886.79259238212</v>
      </c>
      <c r="W444">
        <f t="shared" ca="1" si="165"/>
        <v>128859.93505535902</v>
      </c>
      <c r="Z444" s="4">
        <f t="shared" ca="1" si="158"/>
        <v>0</v>
      </c>
      <c r="AA444">
        <f t="shared" ca="1" si="159"/>
        <v>1</v>
      </c>
      <c r="AC444" s="5"/>
      <c r="AX444" s="10">
        <f ca="1">Table1[[#This Row],[Car Value]]/Table1[[#This Row],[No. of Vehicles]]</f>
        <v>44217.320359525998</v>
      </c>
      <c r="AZ444">
        <f ca="1">IF(Table1[[#This Row],[Debts]]&gt;$BA$3,1,0)</f>
        <v>0</v>
      </c>
      <c r="BC444" s="12">
        <f ca="1">Table1[[#This Row],[Mortage left]]/Table1[[#This Row],[Value of The House]]</f>
        <v>0.10435564776345363</v>
      </c>
      <c r="BD444" s="4">
        <f t="shared" ca="1" si="160"/>
        <v>1</v>
      </c>
      <c r="BE444" s="5"/>
    </row>
    <row r="445" spans="4:57" x14ac:dyDescent="0.3">
      <c r="D445">
        <f t="shared" ca="1" si="144"/>
        <v>1</v>
      </c>
      <c r="E445" t="str">
        <f t="shared" ca="1" si="145"/>
        <v>Male</v>
      </c>
      <c r="F445">
        <f t="shared" ca="1" si="146"/>
        <v>25</v>
      </c>
      <c r="G445">
        <f t="shared" ca="1" si="147"/>
        <v>4</v>
      </c>
      <c r="H445" t="str">
        <f t="shared" ca="1" si="148"/>
        <v>IT</v>
      </c>
      <c r="I445">
        <f t="shared" ca="1" si="149"/>
        <v>3</v>
      </c>
      <c r="J445" t="str">
        <f t="shared" ca="1" si="150"/>
        <v>University</v>
      </c>
      <c r="K445">
        <f t="shared" ca="1" si="151"/>
        <v>4</v>
      </c>
      <c r="L445">
        <f t="shared" ca="1" si="152"/>
        <v>1</v>
      </c>
      <c r="M445">
        <f t="shared" ca="1" si="153"/>
        <v>41775</v>
      </c>
      <c r="N445">
        <f t="shared" ca="1" si="154"/>
        <v>9</v>
      </c>
      <c r="O445" t="str">
        <f t="shared" ca="1" si="155"/>
        <v>Quebec</v>
      </c>
      <c r="P445">
        <f t="shared" ca="1" si="161"/>
        <v>208875</v>
      </c>
      <c r="Q445">
        <f t="shared" ca="1" si="156"/>
        <v>208700.79397024759</v>
      </c>
      <c r="R445">
        <f t="shared" ca="1" si="143"/>
        <v>12149.503755508518</v>
      </c>
      <c r="S445">
        <f t="shared" ca="1" si="157"/>
        <v>1324</v>
      </c>
      <c r="T445">
        <f t="shared" ca="1" si="162"/>
        <v>7306.7381088383727</v>
      </c>
      <c r="U445">
        <f t="shared" ca="1" si="163"/>
        <v>20034.71131675272</v>
      </c>
      <c r="V445">
        <f t="shared" ca="1" si="164"/>
        <v>241059.21507226123</v>
      </c>
      <c r="W445">
        <f t="shared" ca="1" si="165"/>
        <v>217331.53207908597</v>
      </c>
      <c r="Z445" s="4">
        <f t="shared" ca="1" si="158"/>
        <v>1</v>
      </c>
      <c r="AA445">
        <f t="shared" ca="1" si="159"/>
        <v>0</v>
      </c>
      <c r="AC445" s="5"/>
      <c r="AX445" s="10">
        <f ca="1">Table1[[#This Row],[Car Value]]/Table1[[#This Row],[No. of Vehicles]]</f>
        <v>12149.503755508518</v>
      </c>
      <c r="AZ445">
        <f ca="1">IF(Table1[[#This Row],[Debts]]&gt;$BA$3,1,0)</f>
        <v>0</v>
      </c>
      <c r="BC445" s="12">
        <f ca="1">Table1[[#This Row],[Mortage left]]/Table1[[#This Row],[Value of The House]]</f>
        <v>0.99916597951046116</v>
      </c>
      <c r="BD445" s="4">
        <f t="shared" ca="1" si="160"/>
        <v>0</v>
      </c>
      <c r="BE445" s="5"/>
    </row>
    <row r="446" spans="4:57" x14ac:dyDescent="0.3">
      <c r="D446">
        <f t="shared" ca="1" si="144"/>
        <v>1</v>
      </c>
      <c r="E446" t="str">
        <f t="shared" ca="1" si="145"/>
        <v>Male</v>
      </c>
      <c r="F446">
        <f t="shared" ca="1" si="146"/>
        <v>28</v>
      </c>
      <c r="G446">
        <f t="shared" ca="1" si="147"/>
        <v>6</v>
      </c>
      <c r="H446" t="str">
        <f t="shared" ca="1" si="148"/>
        <v>General Work</v>
      </c>
      <c r="I446">
        <f t="shared" ca="1" si="149"/>
        <v>4</v>
      </c>
      <c r="J446" t="str">
        <f t="shared" ca="1" si="150"/>
        <v>Technical</v>
      </c>
      <c r="K446">
        <f t="shared" ca="1" si="151"/>
        <v>0</v>
      </c>
      <c r="L446">
        <f t="shared" ca="1" si="152"/>
        <v>1</v>
      </c>
      <c r="M446">
        <f t="shared" ca="1" si="153"/>
        <v>82943</v>
      </c>
      <c r="N446">
        <f t="shared" ca="1" si="154"/>
        <v>3</v>
      </c>
      <c r="O446" t="str">
        <f t="shared" ca="1" si="155"/>
        <v>Northwest Ter</v>
      </c>
      <c r="P446">
        <f t="shared" ca="1" si="161"/>
        <v>331772</v>
      </c>
      <c r="Q446">
        <f t="shared" ca="1" si="156"/>
        <v>153644.81095414839</v>
      </c>
      <c r="R446">
        <f t="shared" ca="1" si="143"/>
        <v>44764.633415649238</v>
      </c>
      <c r="S446">
        <f t="shared" ca="1" si="157"/>
        <v>38704</v>
      </c>
      <c r="T446">
        <f t="shared" ca="1" si="162"/>
        <v>13575.390009648218</v>
      </c>
      <c r="U446">
        <f t="shared" ca="1" si="163"/>
        <v>33608.310608290572</v>
      </c>
      <c r="V446">
        <f t="shared" ca="1" si="164"/>
        <v>410144.94402393978</v>
      </c>
      <c r="W446">
        <f t="shared" ca="1" si="165"/>
        <v>205924.20096379661</v>
      </c>
      <c r="Z446" s="4">
        <f t="shared" ca="1" si="158"/>
        <v>1</v>
      </c>
      <c r="AA446">
        <f t="shared" ca="1" si="159"/>
        <v>0</v>
      </c>
      <c r="AC446" s="5"/>
      <c r="AX446" s="10">
        <f ca="1">Table1[[#This Row],[Car Value]]/Table1[[#This Row],[No. of Vehicles]]</f>
        <v>44764.633415649238</v>
      </c>
      <c r="AZ446">
        <f ca="1">IF(Table1[[#This Row],[Debts]]&gt;$BA$3,1,0)</f>
        <v>0</v>
      </c>
      <c r="BC446" s="12">
        <f ca="1">Table1[[#This Row],[Mortage left]]/Table1[[#This Row],[Value of The House]]</f>
        <v>0.46310361017249313</v>
      </c>
      <c r="BD446" s="4">
        <f t="shared" ca="1" si="160"/>
        <v>0</v>
      </c>
      <c r="BE446" s="5"/>
    </row>
    <row r="447" spans="4:57" x14ac:dyDescent="0.3">
      <c r="D447">
        <f t="shared" ca="1" si="144"/>
        <v>2</v>
      </c>
      <c r="E447" t="str">
        <f t="shared" ca="1" si="145"/>
        <v>Female</v>
      </c>
      <c r="F447">
        <f t="shared" ca="1" si="146"/>
        <v>28</v>
      </c>
      <c r="G447">
        <f t="shared" ca="1" si="147"/>
        <v>5</v>
      </c>
      <c r="H447" t="str">
        <f t="shared" ca="1" si="148"/>
        <v>Agriculture</v>
      </c>
      <c r="I447">
        <f t="shared" ca="1" si="149"/>
        <v>4</v>
      </c>
      <c r="J447" t="str">
        <f t="shared" ca="1" si="150"/>
        <v>Technical</v>
      </c>
      <c r="K447">
        <f t="shared" ca="1" si="151"/>
        <v>0</v>
      </c>
      <c r="L447">
        <f t="shared" ca="1" si="152"/>
        <v>1</v>
      </c>
      <c r="M447">
        <f t="shared" ca="1" si="153"/>
        <v>26231</v>
      </c>
      <c r="N447">
        <f t="shared" ca="1" si="154"/>
        <v>8</v>
      </c>
      <c r="O447" t="str">
        <f t="shared" ca="1" si="155"/>
        <v>Ontario</v>
      </c>
      <c r="P447">
        <f t="shared" ca="1" si="161"/>
        <v>104924</v>
      </c>
      <c r="Q447">
        <f t="shared" ca="1" si="156"/>
        <v>95991.673731090472</v>
      </c>
      <c r="R447">
        <f t="shared" ca="1" si="143"/>
        <v>6841.4668785013191</v>
      </c>
      <c r="S447">
        <f t="shared" ca="1" si="157"/>
        <v>3322</v>
      </c>
      <c r="T447">
        <f t="shared" ca="1" si="162"/>
        <v>15323.458680272166</v>
      </c>
      <c r="U447">
        <f t="shared" ca="1" si="163"/>
        <v>26532.260032856633</v>
      </c>
      <c r="V447">
        <f t="shared" ca="1" si="164"/>
        <v>138297.72691135795</v>
      </c>
      <c r="W447">
        <f t="shared" ca="1" si="165"/>
        <v>114637.13241136263</v>
      </c>
      <c r="Z447" s="4">
        <f t="shared" ca="1" si="158"/>
        <v>0</v>
      </c>
      <c r="AA447">
        <f t="shared" ca="1" si="159"/>
        <v>1</v>
      </c>
      <c r="AC447" s="5"/>
      <c r="AX447" s="10">
        <f ca="1">Table1[[#This Row],[Car Value]]/Table1[[#This Row],[No. of Vehicles]]</f>
        <v>6841.4668785013191</v>
      </c>
      <c r="AZ447">
        <f ca="1">IF(Table1[[#This Row],[Debts]]&gt;$BA$3,1,0)</f>
        <v>0</v>
      </c>
      <c r="BC447" s="12">
        <f ca="1">Table1[[#This Row],[Mortage left]]/Table1[[#This Row],[Value of The House]]</f>
        <v>0.91486860709742734</v>
      </c>
      <c r="BD447" s="4">
        <f t="shared" ca="1" si="160"/>
        <v>0</v>
      </c>
      <c r="BE447" s="5"/>
    </row>
    <row r="448" spans="4:57" x14ac:dyDescent="0.3">
      <c r="D448">
        <f t="shared" ca="1" si="144"/>
        <v>2</v>
      </c>
      <c r="E448" t="str">
        <f t="shared" ca="1" si="145"/>
        <v>Female</v>
      </c>
      <c r="F448">
        <f t="shared" ca="1" si="146"/>
        <v>30</v>
      </c>
      <c r="G448">
        <f t="shared" ca="1" si="147"/>
        <v>4</v>
      </c>
      <c r="H448" t="str">
        <f t="shared" ca="1" si="148"/>
        <v>IT</v>
      </c>
      <c r="I448">
        <f t="shared" ca="1" si="149"/>
        <v>5</v>
      </c>
      <c r="J448" t="str">
        <f t="shared" ca="1" si="150"/>
        <v>Other</v>
      </c>
      <c r="K448">
        <f t="shared" ca="1" si="151"/>
        <v>2</v>
      </c>
      <c r="L448">
        <f t="shared" ca="1" si="152"/>
        <v>2</v>
      </c>
      <c r="M448">
        <f t="shared" ca="1" si="153"/>
        <v>48184</v>
      </c>
      <c r="N448">
        <f t="shared" ca="1" si="154"/>
        <v>11</v>
      </c>
      <c r="O448" t="str">
        <f t="shared" ca="1" si="155"/>
        <v>New bruncwick</v>
      </c>
      <c r="P448">
        <f t="shared" ca="1" si="161"/>
        <v>240920</v>
      </c>
      <c r="Q448">
        <f t="shared" ca="1" si="156"/>
        <v>144625.06232369901</v>
      </c>
      <c r="R448">
        <f t="shared" ca="1" si="143"/>
        <v>6582.7658572700757</v>
      </c>
      <c r="S448">
        <f t="shared" ca="1" si="157"/>
        <v>6558</v>
      </c>
      <c r="T448">
        <f t="shared" ca="1" si="162"/>
        <v>44342.650116739562</v>
      </c>
      <c r="U448">
        <f t="shared" ca="1" si="163"/>
        <v>18039.286859433712</v>
      </c>
      <c r="V448">
        <f t="shared" ca="1" si="164"/>
        <v>265542.05271670379</v>
      </c>
      <c r="W448">
        <f t="shared" ca="1" si="165"/>
        <v>195525.71244043857</v>
      </c>
      <c r="Z448" s="4">
        <f t="shared" ca="1" si="158"/>
        <v>0</v>
      </c>
      <c r="AA448">
        <f t="shared" ca="1" si="159"/>
        <v>1</v>
      </c>
      <c r="AC448" s="5"/>
      <c r="AX448" s="10">
        <f ca="1">Table1[[#This Row],[Car Value]]/Table1[[#This Row],[No. of Vehicles]]</f>
        <v>3291.3829286350378</v>
      </c>
      <c r="AZ448">
        <f ca="1">IF(Table1[[#This Row],[Debts]]&gt;$BA$3,1,0)</f>
        <v>1</v>
      </c>
      <c r="BC448" s="12">
        <f ca="1">Table1[[#This Row],[Mortage left]]/Table1[[#This Row],[Value of The House]]</f>
        <v>0.60030326383736932</v>
      </c>
      <c r="BD448" s="4">
        <f t="shared" ca="1" si="160"/>
        <v>0</v>
      </c>
      <c r="BE448" s="5"/>
    </row>
    <row r="449" spans="4:57" x14ac:dyDescent="0.3">
      <c r="D449">
        <f t="shared" ca="1" si="144"/>
        <v>1</v>
      </c>
      <c r="E449" t="str">
        <f t="shared" ca="1" si="145"/>
        <v>Male</v>
      </c>
      <c r="F449">
        <f t="shared" ca="1" si="146"/>
        <v>38</v>
      </c>
      <c r="G449">
        <f t="shared" ca="1" si="147"/>
        <v>6</v>
      </c>
      <c r="H449" t="str">
        <f t="shared" ca="1" si="148"/>
        <v>General Work</v>
      </c>
      <c r="I449">
        <f t="shared" ca="1" si="149"/>
        <v>1</v>
      </c>
      <c r="J449" t="str">
        <f t="shared" ca="1" si="150"/>
        <v>High School</v>
      </c>
      <c r="K449">
        <f t="shared" ca="1" si="151"/>
        <v>1</v>
      </c>
      <c r="L449">
        <f t="shared" ca="1" si="152"/>
        <v>2</v>
      </c>
      <c r="M449">
        <f t="shared" ca="1" si="153"/>
        <v>83572</v>
      </c>
      <c r="N449">
        <f t="shared" ca="1" si="154"/>
        <v>6</v>
      </c>
      <c r="O449" t="str">
        <f t="shared" ca="1" si="155"/>
        <v>Saskatchewan</v>
      </c>
      <c r="P449">
        <f t="shared" ca="1" si="161"/>
        <v>501432</v>
      </c>
      <c r="Q449">
        <f t="shared" ca="1" si="156"/>
        <v>35410.451425238432</v>
      </c>
      <c r="R449">
        <f t="shared" ca="1" si="143"/>
        <v>8133.1906871341162</v>
      </c>
      <c r="S449">
        <f t="shared" ca="1" si="157"/>
        <v>4202</v>
      </c>
      <c r="T449">
        <f t="shared" ca="1" si="162"/>
        <v>113486.32455407971</v>
      </c>
      <c r="U449">
        <f t="shared" ca="1" si="163"/>
        <v>2395.3644760332299</v>
      </c>
      <c r="V449">
        <f t="shared" ca="1" si="164"/>
        <v>511960.55516316736</v>
      </c>
      <c r="W449">
        <f t="shared" ca="1" si="165"/>
        <v>153098.77597931813</v>
      </c>
      <c r="Z449" s="4">
        <f t="shared" ca="1" si="158"/>
        <v>1</v>
      </c>
      <c r="AA449">
        <f t="shared" ca="1" si="159"/>
        <v>0</v>
      </c>
      <c r="AC449" s="5"/>
      <c r="AX449" s="10">
        <f ca="1">Table1[[#This Row],[Car Value]]/Table1[[#This Row],[No. of Vehicles]]</f>
        <v>4066.5953435670581</v>
      </c>
      <c r="AZ449">
        <f ca="1">IF(Table1[[#This Row],[Debts]]&gt;$BA$3,1,0)</f>
        <v>1</v>
      </c>
      <c r="BC449" s="12">
        <f ca="1">Table1[[#This Row],[Mortage left]]/Table1[[#This Row],[Value of The House]]</f>
        <v>7.0618651033915736E-2</v>
      </c>
      <c r="BD449" s="4">
        <f t="shared" ca="1" si="160"/>
        <v>1</v>
      </c>
      <c r="BE449" s="5"/>
    </row>
    <row r="450" spans="4:57" x14ac:dyDescent="0.3">
      <c r="D450">
        <f t="shared" ca="1" si="144"/>
        <v>2</v>
      </c>
      <c r="E450" t="str">
        <f t="shared" ca="1" si="145"/>
        <v>Female</v>
      </c>
      <c r="F450">
        <f t="shared" ca="1" si="146"/>
        <v>42</v>
      </c>
      <c r="G450">
        <f t="shared" ca="1" si="147"/>
        <v>1</v>
      </c>
      <c r="H450" t="str">
        <f t="shared" ca="1" si="148"/>
        <v>Health</v>
      </c>
      <c r="I450">
        <f t="shared" ca="1" si="149"/>
        <v>5</v>
      </c>
      <c r="J450" t="str">
        <f t="shared" ca="1" si="150"/>
        <v>Other</v>
      </c>
      <c r="K450">
        <f t="shared" ca="1" si="151"/>
        <v>1</v>
      </c>
      <c r="L450">
        <f t="shared" ca="1" si="152"/>
        <v>2</v>
      </c>
      <c r="M450">
        <f t="shared" ca="1" si="153"/>
        <v>49433</v>
      </c>
      <c r="N450">
        <f t="shared" ca="1" si="154"/>
        <v>2</v>
      </c>
      <c r="O450" t="str">
        <f t="shared" ca="1" si="155"/>
        <v>BC</v>
      </c>
      <c r="P450">
        <f t="shared" ca="1" si="161"/>
        <v>296598</v>
      </c>
      <c r="Q450">
        <f t="shared" ca="1" si="156"/>
        <v>5565.6742508539883</v>
      </c>
      <c r="R450">
        <f t="shared" ca="1" si="143"/>
        <v>64813.193837593368</v>
      </c>
      <c r="S450">
        <f t="shared" ca="1" si="157"/>
        <v>41515</v>
      </c>
      <c r="T450">
        <f t="shared" ca="1" si="162"/>
        <v>29535.11877059544</v>
      </c>
      <c r="U450">
        <f t="shared" ca="1" si="163"/>
        <v>26949.68917329708</v>
      </c>
      <c r="V450">
        <f t="shared" ca="1" si="164"/>
        <v>388360.88301089045</v>
      </c>
      <c r="W450">
        <f t="shared" ca="1" si="165"/>
        <v>76615.793021449426</v>
      </c>
      <c r="Z450" s="4">
        <f t="shared" ca="1" si="158"/>
        <v>0</v>
      </c>
      <c r="AA450">
        <f t="shared" ca="1" si="159"/>
        <v>1</v>
      </c>
      <c r="AC450" s="5"/>
      <c r="AX450" s="10">
        <f ca="1">Table1[[#This Row],[Car Value]]/Table1[[#This Row],[No. of Vehicles]]</f>
        <v>32406.596918796684</v>
      </c>
      <c r="AZ450">
        <f ca="1">IF(Table1[[#This Row],[Debts]]&gt;$BA$3,1,0)</f>
        <v>1</v>
      </c>
      <c r="BC450" s="12">
        <f ca="1">Table1[[#This Row],[Mortage left]]/Table1[[#This Row],[Value of The House]]</f>
        <v>1.8765043091504285E-2</v>
      </c>
      <c r="BD450" s="4">
        <f t="shared" ca="1" si="160"/>
        <v>1</v>
      </c>
      <c r="BE450" s="5"/>
    </row>
    <row r="451" spans="4:57" x14ac:dyDescent="0.3">
      <c r="D451">
        <f t="shared" ca="1" si="144"/>
        <v>1</v>
      </c>
      <c r="E451" t="str">
        <f t="shared" ca="1" si="145"/>
        <v>Male</v>
      </c>
      <c r="F451">
        <f t="shared" ca="1" si="146"/>
        <v>45</v>
      </c>
      <c r="G451">
        <f t="shared" ca="1" si="147"/>
        <v>2</v>
      </c>
      <c r="H451" t="str">
        <f t="shared" ca="1" si="148"/>
        <v>Construction</v>
      </c>
      <c r="I451">
        <f t="shared" ca="1" si="149"/>
        <v>3</v>
      </c>
      <c r="J451" t="str">
        <f t="shared" ca="1" si="150"/>
        <v>University</v>
      </c>
      <c r="K451">
        <f t="shared" ca="1" si="151"/>
        <v>0</v>
      </c>
      <c r="L451">
        <f t="shared" ca="1" si="152"/>
        <v>1</v>
      </c>
      <c r="M451">
        <f t="shared" ca="1" si="153"/>
        <v>67316</v>
      </c>
      <c r="N451">
        <f t="shared" ca="1" si="154"/>
        <v>6</v>
      </c>
      <c r="O451" t="str">
        <f t="shared" ca="1" si="155"/>
        <v>Saskatchewan</v>
      </c>
      <c r="P451">
        <f t="shared" ca="1" si="161"/>
        <v>269264</v>
      </c>
      <c r="Q451">
        <f t="shared" ca="1" si="156"/>
        <v>78846.134083192039</v>
      </c>
      <c r="R451">
        <f t="shared" ref="R451:R500" ca="1" si="166">L451*RAND()*M451</f>
        <v>30223.78072541174</v>
      </c>
      <c r="S451">
        <f t="shared" ca="1" si="157"/>
        <v>25300</v>
      </c>
      <c r="T451">
        <f t="shared" ca="1" si="162"/>
        <v>35660.669419473168</v>
      </c>
      <c r="U451">
        <f t="shared" ca="1" si="163"/>
        <v>11040.158884216187</v>
      </c>
      <c r="V451">
        <f t="shared" ca="1" si="164"/>
        <v>310527.93960962794</v>
      </c>
      <c r="W451">
        <f t="shared" ca="1" si="165"/>
        <v>139806.80350266519</v>
      </c>
      <c r="Z451" s="4">
        <f t="shared" ca="1" si="158"/>
        <v>1</v>
      </c>
      <c r="AA451">
        <f t="shared" ca="1" si="159"/>
        <v>0</v>
      </c>
      <c r="AC451" s="5"/>
      <c r="AX451" s="10">
        <f ca="1">Table1[[#This Row],[Car Value]]/Table1[[#This Row],[No. of Vehicles]]</f>
        <v>30223.78072541174</v>
      </c>
      <c r="AZ451">
        <f ca="1">IF(Table1[[#This Row],[Debts]]&gt;$BA$3,1,0)</f>
        <v>1</v>
      </c>
      <c r="BC451" s="12">
        <f ca="1">Table1[[#This Row],[Mortage left]]/Table1[[#This Row],[Value of The House]]</f>
        <v>0.29282092698315421</v>
      </c>
      <c r="BD451" s="4">
        <f t="shared" ca="1" si="160"/>
        <v>0</v>
      </c>
      <c r="BE451" s="5"/>
    </row>
    <row r="452" spans="4:57" x14ac:dyDescent="0.3">
      <c r="D452">
        <f t="shared" ref="D452:D500" ca="1" si="167">RANDBETWEEN(1,2)</f>
        <v>1</v>
      </c>
      <c r="E452" t="str">
        <f t="shared" ref="E452:E500" ca="1" si="168">IF(D452=1,"Male","Female")</f>
        <v>Male</v>
      </c>
      <c r="F452">
        <f t="shared" ref="F452:F500" ca="1" si="169">RANDBETWEEN(25,45)</f>
        <v>42</v>
      </c>
      <c r="G452">
        <f t="shared" ref="G452:G500" ca="1" si="170">RANDBETWEEN(1,6)</f>
        <v>6</v>
      </c>
      <c r="H452" t="str">
        <f t="shared" ref="H452:H500" ca="1" si="171">VLOOKUP(G452,$AI$3:$AJ$8,2)</f>
        <v>General Work</v>
      </c>
      <c r="I452">
        <f t="shared" ref="I452:I500" ca="1" si="172">RANDBETWEEN(1,5)</f>
        <v>1</v>
      </c>
      <c r="J452" t="str">
        <f t="shared" ref="J452:J500" ca="1" si="173">+VLOOKUP(I452,$AK$3:$AL$7,2)</f>
        <v>High School</v>
      </c>
      <c r="K452">
        <f t="shared" ref="K452:K500" ca="1" si="174">RANDBETWEEN(0,4)</f>
        <v>0</v>
      </c>
      <c r="L452">
        <f t="shared" ref="L452:L500" ca="1" si="175">RANDBETWEEN(1,2)</f>
        <v>2</v>
      </c>
      <c r="M452">
        <f t="shared" ref="M452:M500" ca="1" si="176">RANDBETWEEN(25000,90000)</f>
        <v>64274</v>
      </c>
      <c r="N452">
        <f t="shared" ref="N452:N500" ca="1" si="177">RANDBETWEEN(1,13)</f>
        <v>11</v>
      </c>
      <c r="O452" t="str">
        <f t="shared" ref="O452:O500" ca="1" si="178">VLOOKUP(N452,$AN$3:$AP$15,2)</f>
        <v>New bruncwick</v>
      </c>
      <c r="P452">
        <f t="shared" ca="1" si="161"/>
        <v>385644</v>
      </c>
      <c r="Q452">
        <f t="shared" ref="Q452:Q500" ca="1" si="179">RAND()*P452</f>
        <v>17235.559236768178</v>
      </c>
      <c r="R452">
        <f t="shared" ca="1" si="166"/>
        <v>8059.5323757951874</v>
      </c>
      <c r="S452">
        <f t="shared" ref="S452:S500" ca="1" si="180">RANDBETWEEN(0,R452)</f>
        <v>7401</v>
      </c>
      <c r="T452">
        <f t="shared" ca="1" si="162"/>
        <v>89185.154525585516</v>
      </c>
      <c r="U452">
        <f t="shared" ca="1" si="163"/>
        <v>55594.3661065337</v>
      </c>
      <c r="V452">
        <f t="shared" ca="1" si="164"/>
        <v>449297.89848232886</v>
      </c>
      <c r="W452">
        <f t="shared" ca="1" si="165"/>
        <v>113821.7137623537</v>
      </c>
      <c r="Z452" s="4">
        <f t="shared" ref="Z452:Z500" ca="1" si="181">IF(E452="male",1,0)</f>
        <v>1</v>
      </c>
      <c r="AA452">
        <f t="shared" ref="AA452:AA500" ca="1" si="182">IF(E452="male",0,1)</f>
        <v>0</v>
      </c>
      <c r="AC452" s="5"/>
      <c r="AX452" s="10">
        <f ca="1">Table1[[#This Row],[Car Value]]/Table1[[#This Row],[No. of Vehicles]]</f>
        <v>4029.7661878975937</v>
      </c>
      <c r="AZ452">
        <f ca="1">IF(Table1[[#This Row],[Debts]]&gt;$BA$3,1,0)</f>
        <v>1</v>
      </c>
      <c r="BC452" s="12">
        <f ca="1">Table1[[#This Row],[Mortage left]]/Table1[[#This Row],[Value of The House]]</f>
        <v>4.4692927250957304E-2</v>
      </c>
      <c r="BD452" s="4">
        <f t="shared" ref="BD452:BD500" ca="1" si="183">IF(BC452&lt;$BE$2,1,0)</f>
        <v>1</v>
      </c>
      <c r="BE452" s="5"/>
    </row>
    <row r="453" spans="4:57" x14ac:dyDescent="0.3">
      <c r="D453">
        <f t="shared" ca="1" si="167"/>
        <v>1</v>
      </c>
      <c r="E453" t="str">
        <f t="shared" ca="1" si="168"/>
        <v>Male</v>
      </c>
      <c r="F453">
        <f t="shared" ca="1" si="169"/>
        <v>36</v>
      </c>
      <c r="G453">
        <f t="shared" ca="1" si="170"/>
        <v>3</v>
      </c>
      <c r="H453" t="str">
        <f t="shared" ca="1" si="171"/>
        <v>Teaching</v>
      </c>
      <c r="I453">
        <f t="shared" ca="1" si="172"/>
        <v>2</v>
      </c>
      <c r="J453" t="str">
        <f t="shared" ca="1" si="173"/>
        <v>College</v>
      </c>
      <c r="K453">
        <f t="shared" ca="1" si="174"/>
        <v>0</v>
      </c>
      <c r="L453">
        <f t="shared" ca="1" si="175"/>
        <v>2</v>
      </c>
      <c r="M453">
        <f t="shared" ca="1" si="176"/>
        <v>70593</v>
      </c>
      <c r="N453">
        <f t="shared" ca="1" si="177"/>
        <v>4</v>
      </c>
      <c r="O453" t="str">
        <f t="shared" ca="1" si="178"/>
        <v>Alberta</v>
      </c>
      <c r="P453">
        <f t="shared" ca="1" si="161"/>
        <v>282372</v>
      </c>
      <c r="Q453">
        <f t="shared" ca="1" si="179"/>
        <v>168233.4559600488</v>
      </c>
      <c r="R453">
        <f t="shared" ca="1" si="166"/>
        <v>97787.303931166796</v>
      </c>
      <c r="S453">
        <f t="shared" ca="1" si="180"/>
        <v>19567</v>
      </c>
      <c r="T453">
        <f t="shared" ca="1" si="162"/>
        <v>73344.870197778364</v>
      </c>
      <c r="U453">
        <f t="shared" ca="1" si="163"/>
        <v>79361.586893262429</v>
      </c>
      <c r="V453">
        <f t="shared" ca="1" si="164"/>
        <v>459520.89082442923</v>
      </c>
      <c r="W453">
        <f t="shared" ca="1" si="165"/>
        <v>261145.32615782716</v>
      </c>
      <c r="Z453" s="4">
        <f t="shared" ca="1" si="181"/>
        <v>1</v>
      </c>
      <c r="AA453">
        <f t="shared" ca="1" si="182"/>
        <v>0</v>
      </c>
      <c r="AC453" s="5"/>
      <c r="AX453" s="10">
        <f ca="1">Table1[[#This Row],[Car Value]]/Table1[[#This Row],[No. of Vehicles]]</f>
        <v>48893.651965583398</v>
      </c>
      <c r="AZ453">
        <f ca="1">IF(Table1[[#This Row],[Debts]]&gt;$BA$3,1,0)</f>
        <v>1</v>
      </c>
      <c r="BC453" s="12">
        <f ca="1">Table1[[#This Row],[Mortage left]]/Table1[[#This Row],[Value of The House]]</f>
        <v>0.5957866075958268</v>
      </c>
      <c r="BD453" s="4">
        <f t="shared" ca="1" si="183"/>
        <v>0</v>
      </c>
      <c r="BE453" s="5"/>
    </row>
    <row r="454" spans="4:57" x14ac:dyDescent="0.3">
      <c r="D454">
        <f t="shared" ca="1" si="167"/>
        <v>1</v>
      </c>
      <c r="E454" t="str">
        <f t="shared" ca="1" si="168"/>
        <v>Male</v>
      </c>
      <c r="F454">
        <f t="shared" ca="1" si="169"/>
        <v>41</v>
      </c>
      <c r="G454">
        <f t="shared" ca="1" si="170"/>
        <v>6</v>
      </c>
      <c r="H454" t="str">
        <f t="shared" ca="1" si="171"/>
        <v>General Work</v>
      </c>
      <c r="I454">
        <f t="shared" ca="1" si="172"/>
        <v>3</v>
      </c>
      <c r="J454" t="str">
        <f t="shared" ca="1" si="173"/>
        <v>University</v>
      </c>
      <c r="K454">
        <f t="shared" ca="1" si="174"/>
        <v>1</v>
      </c>
      <c r="L454">
        <f t="shared" ca="1" si="175"/>
        <v>2</v>
      </c>
      <c r="M454">
        <f t="shared" ca="1" si="176"/>
        <v>64897</v>
      </c>
      <c r="N454">
        <f t="shared" ca="1" si="177"/>
        <v>13</v>
      </c>
      <c r="O454" t="str">
        <f t="shared" ca="1" si="178"/>
        <v>Prince Edward Islnd</v>
      </c>
      <c r="P454">
        <f t="shared" ca="1" si="161"/>
        <v>324485</v>
      </c>
      <c r="Q454">
        <f t="shared" ca="1" si="179"/>
        <v>129454.95904601793</v>
      </c>
      <c r="R454">
        <f t="shared" ca="1" si="166"/>
        <v>104738.02556570353</v>
      </c>
      <c r="S454">
        <f t="shared" ca="1" si="180"/>
        <v>73121</v>
      </c>
      <c r="T454">
        <f t="shared" ca="1" si="162"/>
        <v>47119.855571791399</v>
      </c>
      <c r="U454">
        <f t="shared" ca="1" si="163"/>
        <v>18329.121728406379</v>
      </c>
      <c r="V454">
        <f t="shared" ca="1" si="164"/>
        <v>447552.14729410992</v>
      </c>
      <c r="W454">
        <f t="shared" ca="1" si="165"/>
        <v>249695.81461780932</v>
      </c>
      <c r="Z454" s="4">
        <f t="shared" ca="1" si="181"/>
        <v>1</v>
      </c>
      <c r="AA454">
        <f t="shared" ca="1" si="182"/>
        <v>0</v>
      </c>
      <c r="AC454" s="5"/>
      <c r="AX454" s="10">
        <f ca="1">Table1[[#This Row],[Car Value]]/Table1[[#This Row],[No. of Vehicles]]</f>
        <v>52369.012782851765</v>
      </c>
      <c r="AZ454">
        <f ca="1">IF(Table1[[#This Row],[Debts]]&gt;$BA$3,1,0)</f>
        <v>1</v>
      </c>
      <c r="BC454" s="12">
        <f ca="1">Table1[[#This Row],[Mortage left]]/Table1[[#This Row],[Value of The House]]</f>
        <v>0.39895514136560373</v>
      </c>
      <c r="BD454" s="4">
        <f t="shared" ca="1" si="183"/>
        <v>0</v>
      </c>
      <c r="BE454" s="5"/>
    </row>
    <row r="455" spans="4:57" x14ac:dyDescent="0.3">
      <c r="D455">
        <f t="shared" ca="1" si="167"/>
        <v>1</v>
      </c>
      <c r="E455" t="str">
        <f t="shared" ca="1" si="168"/>
        <v>Male</v>
      </c>
      <c r="F455">
        <f t="shared" ca="1" si="169"/>
        <v>39</v>
      </c>
      <c r="G455">
        <f t="shared" ca="1" si="170"/>
        <v>4</v>
      </c>
      <c r="H455" t="str">
        <f t="shared" ca="1" si="171"/>
        <v>IT</v>
      </c>
      <c r="I455">
        <f t="shared" ca="1" si="172"/>
        <v>5</v>
      </c>
      <c r="J455" t="str">
        <f t="shared" ca="1" si="173"/>
        <v>Other</v>
      </c>
      <c r="K455">
        <f t="shared" ca="1" si="174"/>
        <v>2</v>
      </c>
      <c r="L455">
        <f t="shared" ca="1" si="175"/>
        <v>2</v>
      </c>
      <c r="M455">
        <f t="shared" ca="1" si="176"/>
        <v>70843</v>
      </c>
      <c r="N455">
        <f t="shared" ca="1" si="177"/>
        <v>13</v>
      </c>
      <c r="O455" t="str">
        <f t="shared" ca="1" si="178"/>
        <v>Prince Edward Islnd</v>
      </c>
      <c r="P455">
        <f t="shared" ca="1" si="161"/>
        <v>354215</v>
      </c>
      <c r="Q455">
        <f t="shared" ca="1" si="179"/>
        <v>34086.712323146348</v>
      </c>
      <c r="R455">
        <f t="shared" ca="1" si="166"/>
        <v>86711.379383141684</v>
      </c>
      <c r="S455">
        <f t="shared" ca="1" si="180"/>
        <v>73821</v>
      </c>
      <c r="T455">
        <f t="shared" ca="1" si="162"/>
        <v>15175.495606349989</v>
      </c>
      <c r="U455">
        <f t="shared" ca="1" si="163"/>
        <v>42989.067731156327</v>
      </c>
      <c r="V455">
        <f t="shared" ca="1" si="164"/>
        <v>483915.447114298</v>
      </c>
      <c r="W455">
        <f t="shared" ca="1" si="165"/>
        <v>123083.20792949633</v>
      </c>
      <c r="Z455" s="4">
        <f t="shared" ca="1" si="181"/>
        <v>1</v>
      </c>
      <c r="AA455">
        <f t="shared" ca="1" si="182"/>
        <v>0</v>
      </c>
      <c r="AC455" s="5"/>
      <c r="AX455" s="10">
        <f ca="1">Table1[[#This Row],[Car Value]]/Table1[[#This Row],[No. of Vehicles]]</f>
        <v>43355.689691570842</v>
      </c>
      <c r="AZ455">
        <f ca="1">IF(Table1[[#This Row],[Debts]]&gt;$BA$3,1,0)</f>
        <v>0</v>
      </c>
      <c r="BC455" s="12">
        <f ca="1">Table1[[#This Row],[Mortage left]]/Table1[[#This Row],[Value of The House]]</f>
        <v>9.6231701997787633E-2</v>
      </c>
      <c r="BD455" s="4">
        <f t="shared" ca="1" si="183"/>
        <v>1</v>
      </c>
      <c r="BE455" s="5"/>
    </row>
    <row r="456" spans="4:57" x14ac:dyDescent="0.3">
      <c r="D456">
        <f t="shared" ca="1" si="167"/>
        <v>1</v>
      </c>
      <c r="E456" t="str">
        <f t="shared" ca="1" si="168"/>
        <v>Male</v>
      </c>
      <c r="F456">
        <f t="shared" ca="1" si="169"/>
        <v>41</v>
      </c>
      <c r="G456">
        <f t="shared" ca="1" si="170"/>
        <v>4</v>
      </c>
      <c r="H456" t="str">
        <f t="shared" ca="1" si="171"/>
        <v>IT</v>
      </c>
      <c r="I456">
        <f t="shared" ca="1" si="172"/>
        <v>3</v>
      </c>
      <c r="J456" t="str">
        <f t="shared" ca="1" si="173"/>
        <v>University</v>
      </c>
      <c r="K456">
        <f t="shared" ca="1" si="174"/>
        <v>0</v>
      </c>
      <c r="L456">
        <f t="shared" ca="1" si="175"/>
        <v>1</v>
      </c>
      <c r="M456">
        <f t="shared" ca="1" si="176"/>
        <v>70482</v>
      </c>
      <c r="N456">
        <f t="shared" ca="1" si="177"/>
        <v>1</v>
      </c>
      <c r="O456" t="str">
        <f t="shared" ca="1" si="178"/>
        <v>Yukon</v>
      </c>
      <c r="P456">
        <f t="shared" ca="1" si="161"/>
        <v>281928</v>
      </c>
      <c r="Q456">
        <f t="shared" ca="1" si="179"/>
        <v>179571.49464931359</v>
      </c>
      <c r="R456">
        <f t="shared" ca="1" si="166"/>
        <v>60363.642150881024</v>
      </c>
      <c r="S456">
        <f t="shared" ca="1" si="180"/>
        <v>56647</v>
      </c>
      <c r="T456">
        <f t="shared" ca="1" si="162"/>
        <v>43886.201309816817</v>
      </c>
      <c r="U456">
        <f t="shared" ca="1" si="163"/>
        <v>71988.942708095215</v>
      </c>
      <c r="V456">
        <f t="shared" ca="1" si="164"/>
        <v>414280.58485897619</v>
      </c>
      <c r="W456">
        <f t="shared" ca="1" si="165"/>
        <v>280104.69595913042</v>
      </c>
      <c r="Z456" s="4">
        <f t="shared" ca="1" si="181"/>
        <v>1</v>
      </c>
      <c r="AA456">
        <f t="shared" ca="1" si="182"/>
        <v>0</v>
      </c>
      <c r="AC456" s="5"/>
      <c r="AX456" s="10">
        <f ca="1">Table1[[#This Row],[Car Value]]/Table1[[#This Row],[No. of Vehicles]]</f>
        <v>60363.642150881024</v>
      </c>
      <c r="AZ456">
        <f ca="1">IF(Table1[[#This Row],[Debts]]&gt;$BA$3,1,0)</f>
        <v>1</v>
      </c>
      <c r="BC456" s="12">
        <f ca="1">Table1[[#This Row],[Mortage left]]/Table1[[#This Row],[Value of The House]]</f>
        <v>0.63694097304742203</v>
      </c>
      <c r="BD456" s="4">
        <f t="shared" ca="1" si="183"/>
        <v>0</v>
      </c>
      <c r="BE456" s="5"/>
    </row>
    <row r="457" spans="4:57" x14ac:dyDescent="0.3">
      <c r="D457">
        <f t="shared" ca="1" si="167"/>
        <v>1</v>
      </c>
      <c r="E457" t="str">
        <f t="shared" ca="1" si="168"/>
        <v>Male</v>
      </c>
      <c r="F457">
        <f t="shared" ca="1" si="169"/>
        <v>34</v>
      </c>
      <c r="G457">
        <f t="shared" ca="1" si="170"/>
        <v>5</v>
      </c>
      <c r="H457" t="str">
        <f t="shared" ca="1" si="171"/>
        <v>Agriculture</v>
      </c>
      <c r="I457">
        <f t="shared" ca="1" si="172"/>
        <v>3</v>
      </c>
      <c r="J457" t="str">
        <f t="shared" ca="1" si="173"/>
        <v>University</v>
      </c>
      <c r="K457">
        <f t="shared" ca="1" si="174"/>
        <v>2</v>
      </c>
      <c r="L457">
        <f t="shared" ca="1" si="175"/>
        <v>1</v>
      </c>
      <c r="M457">
        <f t="shared" ca="1" si="176"/>
        <v>82738</v>
      </c>
      <c r="N457">
        <f t="shared" ca="1" si="177"/>
        <v>3</v>
      </c>
      <c r="O457" t="str">
        <f t="shared" ca="1" si="178"/>
        <v>Northwest Ter</v>
      </c>
      <c r="P457">
        <f t="shared" ca="1" si="161"/>
        <v>496428</v>
      </c>
      <c r="Q457">
        <f t="shared" ca="1" si="179"/>
        <v>25257.680178050345</v>
      </c>
      <c r="R457">
        <f t="shared" ca="1" si="166"/>
        <v>1595.34915034135</v>
      </c>
      <c r="S457">
        <f t="shared" ca="1" si="180"/>
        <v>1371</v>
      </c>
      <c r="T457">
        <f t="shared" ca="1" si="162"/>
        <v>15486.776265251314</v>
      </c>
      <c r="U457">
        <f t="shared" ca="1" si="163"/>
        <v>45003.364944962203</v>
      </c>
      <c r="V457">
        <f t="shared" ca="1" si="164"/>
        <v>543026.71409530356</v>
      </c>
      <c r="W457">
        <f t="shared" ca="1" si="165"/>
        <v>42115.456443301657</v>
      </c>
      <c r="Z457" s="4">
        <f t="shared" ca="1" si="181"/>
        <v>1</v>
      </c>
      <c r="AA457">
        <f t="shared" ca="1" si="182"/>
        <v>0</v>
      </c>
      <c r="AC457" s="5"/>
      <c r="AX457" s="10">
        <f ca="1">Table1[[#This Row],[Car Value]]/Table1[[#This Row],[No. of Vehicles]]</f>
        <v>1595.34915034135</v>
      </c>
      <c r="AZ457">
        <f ca="1">IF(Table1[[#This Row],[Debts]]&gt;$BA$3,1,0)</f>
        <v>0</v>
      </c>
      <c r="BC457" s="12">
        <f ca="1">Table1[[#This Row],[Mortage left]]/Table1[[#This Row],[Value of The House]]</f>
        <v>5.0878838780347491E-2</v>
      </c>
      <c r="BD457" s="4">
        <f t="shared" ca="1" si="183"/>
        <v>1</v>
      </c>
      <c r="BE457" s="5"/>
    </row>
    <row r="458" spans="4:57" x14ac:dyDescent="0.3">
      <c r="D458">
        <f t="shared" ca="1" si="167"/>
        <v>2</v>
      </c>
      <c r="E458" t="str">
        <f t="shared" ca="1" si="168"/>
        <v>Female</v>
      </c>
      <c r="F458">
        <f t="shared" ca="1" si="169"/>
        <v>35</v>
      </c>
      <c r="G458">
        <f t="shared" ca="1" si="170"/>
        <v>1</v>
      </c>
      <c r="H458" t="str">
        <f t="shared" ca="1" si="171"/>
        <v>Health</v>
      </c>
      <c r="I458">
        <f t="shared" ca="1" si="172"/>
        <v>4</v>
      </c>
      <c r="J458" t="str">
        <f t="shared" ca="1" si="173"/>
        <v>Technical</v>
      </c>
      <c r="K458">
        <f t="shared" ca="1" si="174"/>
        <v>2</v>
      </c>
      <c r="L458">
        <f t="shared" ca="1" si="175"/>
        <v>1</v>
      </c>
      <c r="M458">
        <f t="shared" ca="1" si="176"/>
        <v>40644</v>
      </c>
      <c r="N458">
        <f t="shared" ca="1" si="177"/>
        <v>6</v>
      </c>
      <c r="O458" t="str">
        <f t="shared" ca="1" si="178"/>
        <v>Saskatchewan</v>
      </c>
      <c r="P458">
        <f t="shared" ca="1" si="161"/>
        <v>162576</v>
      </c>
      <c r="Q458">
        <f t="shared" ca="1" si="179"/>
        <v>134635.07855785545</v>
      </c>
      <c r="R458">
        <f t="shared" ca="1" si="166"/>
        <v>23783.746637119304</v>
      </c>
      <c r="S458">
        <f t="shared" ca="1" si="180"/>
        <v>12953</v>
      </c>
      <c r="T458">
        <f t="shared" ca="1" si="162"/>
        <v>58996.917429409805</v>
      </c>
      <c r="U458">
        <f t="shared" ca="1" si="163"/>
        <v>55701.648652797856</v>
      </c>
      <c r="V458">
        <f t="shared" ca="1" si="164"/>
        <v>242061.39528991716</v>
      </c>
      <c r="W458">
        <f t="shared" ca="1" si="165"/>
        <v>206584.99598726525</v>
      </c>
      <c r="Z458" s="4">
        <f t="shared" ca="1" si="181"/>
        <v>0</v>
      </c>
      <c r="AA458">
        <f t="shared" ca="1" si="182"/>
        <v>1</v>
      </c>
      <c r="AC458" s="5"/>
      <c r="AX458" s="10">
        <f ca="1">Table1[[#This Row],[Car Value]]/Table1[[#This Row],[No. of Vehicles]]</f>
        <v>23783.746637119304</v>
      </c>
      <c r="AZ458">
        <f ca="1">IF(Table1[[#This Row],[Debts]]&gt;$BA$3,1,0)</f>
        <v>1</v>
      </c>
      <c r="BC458" s="12">
        <f ca="1">Table1[[#This Row],[Mortage left]]/Table1[[#This Row],[Value of The House]]</f>
        <v>0.82813624740340175</v>
      </c>
      <c r="BD458" s="4">
        <f t="shared" ca="1" si="183"/>
        <v>0</v>
      </c>
      <c r="BE458" s="5"/>
    </row>
    <row r="459" spans="4:57" x14ac:dyDescent="0.3">
      <c r="D459">
        <f t="shared" ca="1" si="167"/>
        <v>2</v>
      </c>
      <c r="E459" t="str">
        <f t="shared" ca="1" si="168"/>
        <v>Female</v>
      </c>
      <c r="F459">
        <f t="shared" ca="1" si="169"/>
        <v>39</v>
      </c>
      <c r="G459">
        <f t="shared" ca="1" si="170"/>
        <v>4</v>
      </c>
      <c r="H459" t="str">
        <f t="shared" ca="1" si="171"/>
        <v>IT</v>
      </c>
      <c r="I459">
        <f t="shared" ca="1" si="172"/>
        <v>1</v>
      </c>
      <c r="J459" t="str">
        <f t="shared" ca="1" si="173"/>
        <v>High School</v>
      </c>
      <c r="K459">
        <f t="shared" ca="1" si="174"/>
        <v>3</v>
      </c>
      <c r="L459">
        <f t="shared" ca="1" si="175"/>
        <v>1</v>
      </c>
      <c r="M459">
        <f t="shared" ca="1" si="176"/>
        <v>72532</v>
      </c>
      <c r="N459">
        <f t="shared" ca="1" si="177"/>
        <v>13</v>
      </c>
      <c r="O459" t="str">
        <f t="shared" ca="1" si="178"/>
        <v>Prince Edward Islnd</v>
      </c>
      <c r="P459">
        <f t="shared" ca="1" si="161"/>
        <v>290128</v>
      </c>
      <c r="Q459">
        <f t="shared" ca="1" si="179"/>
        <v>257636.69873708356</v>
      </c>
      <c r="R459">
        <f t="shared" ca="1" si="166"/>
        <v>65799.708837905942</v>
      </c>
      <c r="S459">
        <f t="shared" ca="1" si="180"/>
        <v>146</v>
      </c>
      <c r="T459">
        <f t="shared" ca="1" si="162"/>
        <v>46791.760398147278</v>
      </c>
      <c r="U459">
        <f t="shared" ca="1" si="163"/>
        <v>45511.906944063958</v>
      </c>
      <c r="V459">
        <f t="shared" ca="1" si="164"/>
        <v>401439.61578196991</v>
      </c>
      <c r="W459">
        <f t="shared" ca="1" si="165"/>
        <v>304574.45913523086</v>
      </c>
      <c r="Z459" s="4">
        <f t="shared" ca="1" si="181"/>
        <v>0</v>
      </c>
      <c r="AA459">
        <f t="shared" ca="1" si="182"/>
        <v>1</v>
      </c>
      <c r="AC459" s="5"/>
      <c r="AX459" s="10">
        <f ca="1">Table1[[#This Row],[Car Value]]/Table1[[#This Row],[No. of Vehicles]]</f>
        <v>65799.708837905942</v>
      </c>
      <c r="AZ459">
        <f ca="1">IF(Table1[[#This Row],[Debts]]&gt;$BA$3,1,0)</f>
        <v>1</v>
      </c>
      <c r="BC459" s="12">
        <f ca="1">Table1[[#This Row],[Mortage left]]/Table1[[#This Row],[Value of The House]]</f>
        <v>0.88801045999380812</v>
      </c>
      <c r="BD459" s="4">
        <f t="shared" ca="1" si="183"/>
        <v>0</v>
      </c>
      <c r="BE459" s="5"/>
    </row>
    <row r="460" spans="4:57" x14ac:dyDescent="0.3">
      <c r="D460">
        <f t="shared" ca="1" si="167"/>
        <v>2</v>
      </c>
      <c r="E460" t="str">
        <f t="shared" ca="1" si="168"/>
        <v>Female</v>
      </c>
      <c r="F460">
        <f t="shared" ca="1" si="169"/>
        <v>26</v>
      </c>
      <c r="G460">
        <f t="shared" ca="1" si="170"/>
        <v>4</v>
      </c>
      <c r="H460" t="str">
        <f t="shared" ca="1" si="171"/>
        <v>IT</v>
      </c>
      <c r="I460">
        <f t="shared" ca="1" si="172"/>
        <v>4</v>
      </c>
      <c r="J460" t="str">
        <f t="shared" ca="1" si="173"/>
        <v>Technical</v>
      </c>
      <c r="K460">
        <f t="shared" ca="1" si="174"/>
        <v>2</v>
      </c>
      <c r="L460">
        <f t="shared" ca="1" si="175"/>
        <v>1</v>
      </c>
      <c r="M460">
        <f t="shared" ca="1" si="176"/>
        <v>68635</v>
      </c>
      <c r="N460">
        <f t="shared" ca="1" si="177"/>
        <v>9</v>
      </c>
      <c r="O460" t="str">
        <f t="shared" ca="1" si="178"/>
        <v>Quebec</v>
      </c>
      <c r="P460">
        <f t="shared" ca="1" si="161"/>
        <v>411810</v>
      </c>
      <c r="Q460">
        <f t="shared" ca="1" si="179"/>
        <v>117269.70737700532</v>
      </c>
      <c r="R460">
        <f t="shared" ca="1" si="166"/>
        <v>43728.089394984097</v>
      </c>
      <c r="S460">
        <f t="shared" ca="1" si="180"/>
        <v>34933</v>
      </c>
      <c r="T460">
        <f t="shared" ca="1" si="162"/>
        <v>45232.058336996408</v>
      </c>
      <c r="U460">
        <f t="shared" ca="1" si="163"/>
        <v>12017.137351590916</v>
      </c>
      <c r="V460">
        <f t="shared" ca="1" si="164"/>
        <v>467555.22674657498</v>
      </c>
      <c r="W460">
        <f t="shared" ca="1" si="165"/>
        <v>197434.76571400173</v>
      </c>
      <c r="Z460" s="4">
        <f t="shared" ca="1" si="181"/>
        <v>0</v>
      </c>
      <c r="AA460">
        <f t="shared" ca="1" si="182"/>
        <v>1</v>
      </c>
      <c r="AC460" s="5"/>
      <c r="AX460" s="10">
        <f ca="1">Table1[[#This Row],[Car Value]]/Table1[[#This Row],[No. of Vehicles]]</f>
        <v>43728.089394984097</v>
      </c>
      <c r="AZ460">
        <f ca="1">IF(Table1[[#This Row],[Debts]]&gt;$BA$3,1,0)</f>
        <v>1</v>
      </c>
      <c r="BC460" s="12">
        <f ca="1">Table1[[#This Row],[Mortage left]]/Table1[[#This Row],[Value of The House]]</f>
        <v>0.2847665364537173</v>
      </c>
      <c r="BD460" s="4">
        <f t="shared" ca="1" si="183"/>
        <v>0</v>
      </c>
      <c r="BE460" s="5"/>
    </row>
    <row r="461" spans="4:57" x14ac:dyDescent="0.3">
      <c r="D461">
        <f t="shared" ca="1" si="167"/>
        <v>1</v>
      </c>
      <c r="E461" t="str">
        <f t="shared" ca="1" si="168"/>
        <v>Male</v>
      </c>
      <c r="F461">
        <f t="shared" ca="1" si="169"/>
        <v>44</v>
      </c>
      <c r="G461">
        <f t="shared" ca="1" si="170"/>
        <v>6</v>
      </c>
      <c r="H461" t="str">
        <f t="shared" ca="1" si="171"/>
        <v>General Work</v>
      </c>
      <c r="I461">
        <f t="shared" ca="1" si="172"/>
        <v>3</v>
      </c>
      <c r="J461" t="str">
        <f t="shared" ca="1" si="173"/>
        <v>University</v>
      </c>
      <c r="K461">
        <f t="shared" ca="1" si="174"/>
        <v>2</v>
      </c>
      <c r="L461">
        <f t="shared" ca="1" si="175"/>
        <v>1</v>
      </c>
      <c r="M461">
        <f t="shared" ca="1" si="176"/>
        <v>73315</v>
      </c>
      <c r="N461">
        <f t="shared" ca="1" si="177"/>
        <v>10</v>
      </c>
      <c r="O461" t="str">
        <f t="shared" ca="1" si="178"/>
        <v>Newfouland</v>
      </c>
      <c r="P461">
        <f t="shared" ca="1" si="161"/>
        <v>366575</v>
      </c>
      <c r="Q461">
        <f t="shared" ca="1" si="179"/>
        <v>126106.15711102185</v>
      </c>
      <c r="R461">
        <f t="shared" ca="1" si="166"/>
        <v>47456.518255617135</v>
      </c>
      <c r="S461">
        <f t="shared" ca="1" si="180"/>
        <v>30103</v>
      </c>
      <c r="T461">
        <f t="shared" ca="1" si="162"/>
        <v>109884.25883553928</v>
      </c>
      <c r="U461">
        <f t="shared" ca="1" si="163"/>
        <v>55872.98529341651</v>
      </c>
      <c r="V461">
        <f t="shared" ca="1" si="164"/>
        <v>469904.50354903366</v>
      </c>
      <c r="W461">
        <f t="shared" ca="1" si="165"/>
        <v>266093.41594656114</v>
      </c>
      <c r="Z461" s="4">
        <f t="shared" ca="1" si="181"/>
        <v>1</v>
      </c>
      <c r="AA461">
        <f t="shared" ca="1" si="182"/>
        <v>0</v>
      </c>
      <c r="AC461" s="5"/>
      <c r="AX461" s="10">
        <f ca="1">Table1[[#This Row],[Car Value]]/Table1[[#This Row],[No. of Vehicles]]</f>
        <v>47456.518255617135</v>
      </c>
      <c r="AZ461">
        <f ca="1">IF(Table1[[#This Row],[Debts]]&gt;$BA$3,1,0)</f>
        <v>1</v>
      </c>
      <c r="BC461" s="12">
        <f ca="1">Table1[[#This Row],[Mortage left]]/Table1[[#This Row],[Value of The House]]</f>
        <v>0.34401188600155996</v>
      </c>
      <c r="BD461" s="4">
        <f t="shared" ca="1" si="183"/>
        <v>0</v>
      </c>
      <c r="BE461" s="5"/>
    </row>
    <row r="462" spans="4:57" x14ac:dyDescent="0.3">
      <c r="D462">
        <f t="shared" ca="1" si="167"/>
        <v>1</v>
      </c>
      <c r="E462" t="str">
        <f t="shared" ca="1" si="168"/>
        <v>Male</v>
      </c>
      <c r="F462">
        <f t="shared" ca="1" si="169"/>
        <v>35</v>
      </c>
      <c r="G462">
        <f t="shared" ca="1" si="170"/>
        <v>3</v>
      </c>
      <c r="H462" t="str">
        <f t="shared" ca="1" si="171"/>
        <v>Teaching</v>
      </c>
      <c r="I462">
        <f t="shared" ca="1" si="172"/>
        <v>4</v>
      </c>
      <c r="J462" t="str">
        <f t="shared" ca="1" si="173"/>
        <v>Technical</v>
      </c>
      <c r="K462">
        <f t="shared" ca="1" si="174"/>
        <v>3</v>
      </c>
      <c r="L462">
        <f t="shared" ca="1" si="175"/>
        <v>2</v>
      </c>
      <c r="M462">
        <f t="shared" ca="1" si="176"/>
        <v>73051</v>
      </c>
      <c r="N462">
        <f t="shared" ca="1" si="177"/>
        <v>9</v>
      </c>
      <c r="O462" t="str">
        <f t="shared" ca="1" si="178"/>
        <v>Quebec</v>
      </c>
      <c r="P462">
        <f t="shared" ca="1" si="161"/>
        <v>365255</v>
      </c>
      <c r="Q462">
        <f t="shared" ca="1" si="179"/>
        <v>93613.216418831755</v>
      </c>
      <c r="R462">
        <f t="shared" ca="1" si="166"/>
        <v>103541.85475521084</v>
      </c>
      <c r="S462">
        <f t="shared" ca="1" si="180"/>
        <v>30606</v>
      </c>
      <c r="T462">
        <f t="shared" ca="1" si="162"/>
        <v>318.99069164766399</v>
      </c>
      <c r="U462">
        <f t="shared" ca="1" si="163"/>
        <v>24672.649298879503</v>
      </c>
      <c r="V462">
        <f t="shared" ca="1" si="164"/>
        <v>493469.5040540903</v>
      </c>
      <c r="W462">
        <f t="shared" ca="1" si="165"/>
        <v>124538.20711047942</v>
      </c>
      <c r="Z462" s="4">
        <f t="shared" ca="1" si="181"/>
        <v>1</v>
      </c>
      <c r="AA462">
        <f t="shared" ca="1" si="182"/>
        <v>0</v>
      </c>
      <c r="AC462" s="5"/>
      <c r="AX462" s="10">
        <f ca="1">Table1[[#This Row],[Car Value]]/Table1[[#This Row],[No. of Vehicles]]</f>
        <v>51770.927377605418</v>
      </c>
      <c r="AZ462">
        <f ca="1">IF(Table1[[#This Row],[Debts]]&gt;$BA$3,1,0)</f>
        <v>0</v>
      </c>
      <c r="BC462" s="12">
        <f ca="1">Table1[[#This Row],[Mortage left]]/Table1[[#This Row],[Value of The House]]</f>
        <v>0.25629550976395055</v>
      </c>
      <c r="BD462" s="4">
        <f t="shared" ca="1" si="183"/>
        <v>0</v>
      </c>
      <c r="BE462" s="5"/>
    </row>
    <row r="463" spans="4:57" x14ac:dyDescent="0.3">
      <c r="D463">
        <f t="shared" ca="1" si="167"/>
        <v>2</v>
      </c>
      <c r="E463" t="str">
        <f t="shared" ca="1" si="168"/>
        <v>Female</v>
      </c>
      <c r="F463">
        <f t="shared" ca="1" si="169"/>
        <v>27</v>
      </c>
      <c r="G463">
        <f t="shared" ca="1" si="170"/>
        <v>2</v>
      </c>
      <c r="H463" t="str">
        <f t="shared" ca="1" si="171"/>
        <v>Construction</v>
      </c>
      <c r="I463">
        <f t="shared" ca="1" si="172"/>
        <v>2</v>
      </c>
      <c r="J463" t="str">
        <f t="shared" ca="1" si="173"/>
        <v>College</v>
      </c>
      <c r="K463">
        <f t="shared" ca="1" si="174"/>
        <v>0</v>
      </c>
      <c r="L463">
        <f t="shared" ca="1" si="175"/>
        <v>1</v>
      </c>
      <c r="M463">
        <f t="shared" ca="1" si="176"/>
        <v>35572</v>
      </c>
      <c r="N463">
        <f t="shared" ca="1" si="177"/>
        <v>8</v>
      </c>
      <c r="O463" t="str">
        <f t="shared" ca="1" si="178"/>
        <v>Ontario</v>
      </c>
      <c r="P463">
        <f t="shared" ca="1" si="161"/>
        <v>213432</v>
      </c>
      <c r="Q463">
        <f t="shared" ca="1" si="179"/>
        <v>66380.86263845503</v>
      </c>
      <c r="R463">
        <f t="shared" ca="1" si="166"/>
        <v>4600.3649006002961</v>
      </c>
      <c r="S463">
        <f t="shared" ca="1" si="180"/>
        <v>709</v>
      </c>
      <c r="T463">
        <f t="shared" ca="1" si="162"/>
        <v>15422.935865883814</v>
      </c>
      <c r="U463">
        <f t="shared" ca="1" si="163"/>
        <v>22359.860680529324</v>
      </c>
      <c r="V463">
        <f t="shared" ca="1" si="164"/>
        <v>240392.22558112961</v>
      </c>
      <c r="W463">
        <f t="shared" ca="1" si="165"/>
        <v>82512.798504338847</v>
      </c>
      <c r="Z463" s="4">
        <f t="shared" ca="1" si="181"/>
        <v>0</v>
      </c>
      <c r="AA463">
        <f t="shared" ca="1" si="182"/>
        <v>1</v>
      </c>
      <c r="AC463" s="5"/>
      <c r="AX463" s="10">
        <f ca="1">Table1[[#This Row],[Car Value]]/Table1[[#This Row],[No. of Vehicles]]</f>
        <v>4600.3649006002961</v>
      </c>
      <c r="AZ463">
        <f ca="1">IF(Table1[[#This Row],[Debts]]&gt;$BA$3,1,0)</f>
        <v>0</v>
      </c>
      <c r="BC463" s="12">
        <f ca="1">Table1[[#This Row],[Mortage left]]/Table1[[#This Row],[Value of The House]]</f>
        <v>0.31101644851032195</v>
      </c>
      <c r="BD463" s="4">
        <f t="shared" ca="1" si="183"/>
        <v>0</v>
      </c>
      <c r="BE463" s="5"/>
    </row>
    <row r="464" spans="4:57" x14ac:dyDescent="0.3">
      <c r="D464">
        <f t="shared" ca="1" si="167"/>
        <v>2</v>
      </c>
      <c r="E464" t="str">
        <f t="shared" ca="1" si="168"/>
        <v>Female</v>
      </c>
      <c r="F464">
        <f t="shared" ca="1" si="169"/>
        <v>34</v>
      </c>
      <c r="G464">
        <f t="shared" ca="1" si="170"/>
        <v>5</v>
      </c>
      <c r="H464" t="str">
        <f t="shared" ca="1" si="171"/>
        <v>Agriculture</v>
      </c>
      <c r="I464">
        <f t="shared" ca="1" si="172"/>
        <v>2</v>
      </c>
      <c r="J464" t="str">
        <f t="shared" ca="1" si="173"/>
        <v>College</v>
      </c>
      <c r="K464">
        <f t="shared" ca="1" si="174"/>
        <v>2</v>
      </c>
      <c r="L464">
        <f t="shared" ca="1" si="175"/>
        <v>2</v>
      </c>
      <c r="M464">
        <f t="shared" ca="1" si="176"/>
        <v>70114</v>
      </c>
      <c r="N464">
        <f t="shared" ca="1" si="177"/>
        <v>13</v>
      </c>
      <c r="O464" t="str">
        <f t="shared" ca="1" si="178"/>
        <v>Prince Edward Islnd</v>
      </c>
      <c r="P464">
        <f t="shared" ca="1" si="161"/>
        <v>420684</v>
      </c>
      <c r="Q464">
        <f t="shared" ca="1" si="179"/>
        <v>315151.99838480994</v>
      </c>
      <c r="R464">
        <f t="shared" ca="1" si="166"/>
        <v>75153.34162766434</v>
      </c>
      <c r="S464">
        <f t="shared" ca="1" si="180"/>
        <v>19215</v>
      </c>
      <c r="T464">
        <f t="shared" ca="1" si="162"/>
        <v>52701.301021010775</v>
      </c>
      <c r="U464">
        <f t="shared" ca="1" si="163"/>
        <v>35045.281741460189</v>
      </c>
      <c r="V464">
        <f t="shared" ca="1" si="164"/>
        <v>530882.62336912449</v>
      </c>
      <c r="W464">
        <f t="shared" ca="1" si="165"/>
        <v>387068.29940582073</v>
      </c>
      <c r="Z464" s="4">
        <f t="shared" ca="1" si="181"/>
        <v>0</v>
      </c>
      <c r="AA464">
        <f t="shared" ca="1" si="182"/>
        <v>1</v>
      </c>
      <c r="AC464" s="5"/>
      <c r="AX464" s="10">
        <f ca="1">Table1[[#This Row],[Car Value]]/Table1[[#This Row],[No. of Vehicles]]</f>
        <v>37576.67081383217</v>
      </c>
      <c r="AZ464">
        <f ca="1">IF(Table1[[#This Row],[Debts]]&gt;$BA$3,1,0)</f>
        <v>1</v>
      </c>
      <c r="BC464" s="12">
        <f ca="1">Table1[[#This Row],[Mortage left]]/Table1[[#This Row],[Value of The House]]</f>
        <v>0.74914186987099562</v>
      </c>
      <c r="BD464" s="4">
        <f t="shared" ca="1" si="183"/>
        <v>0</v>
      </c>
      <c r="BE464" s="5"/>
    </row>
    <row r="465" spans="4:57" x14ac:dyDescent="0.3">
      <c r="D465">
        <f t="shared" ca="1" si="167"/>
        <v>1</v>
      </c>
      <c r="E465" t="str">
        <f t="shared" ca="1" si="168"/>
        <v>Male</v>
      </c>
      <c r="F465">
        <f t="shared" ca="1" si="169"/>
        <v>30</v>
      </c>
      <c r="G465">
        <f t="shared" ca="1" si="170"/>
        <v>4</v>
      </c>
      <c r="H465" t="str">
        <f t="shared" ca="1" si="171"/>
        <v>IT</v>
      </c>
      <c r="I465">
        <f t="shared" ca="1" si="172"/>
        <v>1</v>
      </c>
      <c r="J465" t="str">
        <f t="shared" ca="1" si="173"/>
        <v>High School</v>
      </c>
      <c r="K465">
        <f t="shared" ca="1" si="174"/>
        <v>4</v>
      </c>
      <c r="L465">
        <f t="shared" ca="1" si="175"/>
        <v>2</v>
      </c>
      <c r="M465">
        <f t="shared" ca="1" si="176"/>
        <v>46994</v>
      </c>
      <c r="N465">
        <f t="shared" ca="1" si="177"/>
        <v>11</v>
      </c>
      <c r="O465" t="str">
        <f t="shared" ca="1" si="178"/>
        <v>New bruncwick</v>
      </c>
      <c r="P465">
        <f t="shared" ca="1" si="161"/>
        <v>234970</v>
      </c>
      <c r="Q465">
        <f t="shared" ca="1" si="179"/>
        <v>182039.06604042189</v>
      </c>
      <c r="R465">
        <f t="shared" ca="1" si="166"/>
        <v>63436.021904970061</v>
      </c>
      <c r="S465">
        <f t="shared" ca="1" si="180"/>
        <v>48300</v>
      </c>
      <c r="T465">
        <f t="shared" ca="1" si="162"/>
        <v>42097.293343778299</v>
      </c>
      <c r="U465">
        <f t="shared" ca="1" si="163"/>
        <v>12744.07411452684</v>
      </c>
      <c r="V465">
        <f t="shared" ca="1" si="164"/>
        <v>311150.09601949691</v>
      </c>
      <c r="W465">
        <f t="shared" ca="1" si="165"/>
        <v>272436.35938420019</v>
      </c>
      <c r="Z465" s="4">
        <f t="shared" ca="1" si="181"/>
        <v>1</v>
      </c>
      <c r="AA465">
        <f t="shared" ca="1" si="182"/>
        <v>0</v>
      </c>
      <c r="AC465" s="5"/>
      <c r="AX465" s="10">
        <f ca="1">Table1[[#This Row],[Car Value]]/Table1[[#This Row],[No. of Vehicles]]</f>
        <v>31718.01095248503</v>
      </c>
      <c r="AZ465">
        <f ca="1">IF(Table1[[#This Row],[Debts]]&gt;$BA$3,1,0)</f>
        <v>1</v>
      </c>
      <c r="BC465" s="12">
        <f ca="1">Table1[[#This Row],[Mortage left]]/Table1[[#This Row],[Value of The House]]</f>
        <v>0.77473322569018133</v>
      </c>
      <c r="BD465" s="4">
        <f t="shared" ca="1" si="183"/>
        <v>0</v>
      </c>
      <c r="BE465" s="5"/>
    </row>
    <row r="466" spans="4:57" x14ac:dyDescent="0.3">
      <c r="D466">
        <f t="shared" ca="1" si="167"/>
        <v>1</v>
      </c>
      <c r="E466" t="str">
        <f t="shared" ca="1" si="168"/>
        <v>Male</v>
      </c>
      <c r="F466">
        <f t="shared" ca="1" si="169"/>
        <v>35</v>
      </c>
      <c r="G466">
        <f t="shared" ca="1" si="170"/>
        <v>6</v>
      </c>
      <c r="H466" t="str">
        <f t="shared" ca="1" si="171"/>
        <v>General Work</v>
      </c>
      <c r="I466">
        <f t="shared" ca="1" si="172"/>
        <v>2</v>
      </c>
      <c r="J466" t="str">
        <f t="shared" ca="1" si="173"/>
        <v>College</v>
      </c>
      <c r="K466">
        <f t="shared" ca="1" si="174"/>
        <v>3</v>
      </c>
      <c r="L466">
        <f t="shared" ca="1" si="175"/>
        <v>1</v>
      </c>
      <c r="M466">
        <f t="shared" ca="1" si="176"/>
        <v>41668</v>
      </c>
      <c r="N466">
        <f t="shared" ca="1" si="177"/>
        <v>4</v>
      </c>
      <c r="O466" t="str">
        <f t="shared" ca="1" si="178"/>
        <v>Alberta</v>
      </c>
      <c r="P466">
        <f t="shared" ca="1" si="161"/>
        <v>208340</v>
      </c>
      <c r="Q466">
        <f t="shared" ca="1" si="179"/>
        <v>18100.940056677271</v>
      </c>
      <c r="R466">
        <f t="shared" ca="1" si="166"/>
        <v>21670.733826860145</v>
      </c>
      <c r="S466">
        <f t="shared" ca="1" si="180"/>
        <v>13438</v>
      </c>
      <c r="T466">
        <f t="shared" ca="1" si="162"/>
        <v>64300.008038827946</v>
      </c>
      <c r="U466">
        <f t="shared" ca="1" si="163"/>
        <v>59009.077378933333</v>
      </c>
      <c r="V466">
        <f t="shared" ca="1" si="164"/>
        <v>289019.81120579346</v>
      </c>
      <c r="W466">
        <f t="shared" ca="1" si="165"/>
        <v>95838.948095505213</v>
      </c>
      <c r="Z466" s="4">
        <f t="shared" ca="1" si="181"/>
        <v>1</v>
      </c>
      <c r="AA466">
        <f t="shared" ca="1" si="182"/>
        <v>0</v>
      </c>
      <c r="AC466" s="5"/>
      <c r="AX466" s="10">
        <f ca="1">Table1[[#This Row],[Car Value]]/Table1[[#This Row],[No. of Vehicles]]</f>
        <v>21670.733826860145</v>
      </c>
      <c r="AZ466">
        <f ca="1">IF(Table1[[#This Row],[Debts]]&gt;$BA$3,1,0)</f>
        <v>1</v>
      </c>
      <c r="BC466" s="12">
        <f ca="1">Table1[[#This Row],[Mortage left]]/Table1[[#This Row],[Value of The House]]</f>
        <v>8.6881732056625083E-2</v>
      </c>
      <c r="BD466" s="4">
        <f t="shared" ca="1" si="183"/>
        <v>1</v>
      </c>
      <c r="BE466" s="5"/>
    </row>
    <row r="467" spans="4:57" x14ac:dyDescent="0.3">
      <c r="D467">
        <f t="shared" ca="1" si="167"/>
        <v>2</v>
      </c>
      <c r="E467" t="str">
        <f t="shared" ca="1" si="168"/>
        <v>Female</v>
      </c>
      <c r="F467">
        <f t="shared" ca="1" si="169"/>
        <v>27</v>
      </c>
      <c r="G467">
        <f t="shared" ca="1" si="170"/>
        <v>6</v>
      </c>
      <c r="H467" t="str">
        <f t="shared" ca="1" si="171"/>
        <v>General Work</v>
      </c>
      <c r="I467">
        <f t="shared" ca="1" si="172"/>
        <v>1</v>
      </c>
      <c r="J467" t="str">
        <f t="shared" ca="1" si="173"/>
        <v>High School</v>
      </c>
      <c r="K467">
        <f t="shared" ca="1" si="174"/>
        <v>4</v>
      </c>
      <c r="L467">
        <f t="shared" ca="1" si="175"/>
        <v>1</v>
      </c>
      <c r="M467">
        <f t="shared" ca="1" si="176"/>
        <v>36148</v>
      </c>
      <c r="N467">
        <f t="shared" ca="1" si="177"/>
        <v>1</v>
      </c>
      <c r="O467" t="str">
        <f t="shared" ca="1" si="178"/>
        <v>Yukon</v>
      </c>
      <c r="P467">
        <f t="shared" ca="1" si="161"/>
        <v>144592</v>
      </c>
      <c r="Q467">
        <f t="shared" ca="1" si="179"/>
        <v>74941.300874247041</v>
      </c>
      <c r="R467">
        <f t="shared" ca="1" si="166"/>
        <v>19944.718864347666</v>
      </c>
      <c r="S467">
        <f t="shared" ca="1" si="180"/>
        <v>9803</v>
      </c>
      <c r="T467">
        <f t="shared" ca="1" si="162"/>
        <v>32790.011238861924</v>
      </c>
      <c r="U467">
        <f t="shared" ca="1" si="163"/>
        <v>15129.612201324439</v>
      </c>
      <c r="V467">
        <f t="shared" ca="1" si="164"/>
        <v>179666.3310656721</v>
      </c>
      <c r="W467">
        <f t="shared" ca="1" si="165"/>
        <v>117534.31211310896</v>
      </c>
      <c r="Z467" s="4">
        <f t="shared" ca="1" si="181"/>
        <v>0</v>
      </c>
      <c r="AA467">
        <f t="shared" ca="1" si="182"/>
        <v>1</v>
      </c>
      <c r="AC467" s="5"/>
      <c r="AX467" s="10">
        <f ca="1">Table1[[#This Row],[Car Value]]/Table1[[#This Row],[No. of Vehicles]]</f>
        <v>19944.718864347666</v>
      </c>
      <c r="AZ467">
        <f ca="1">IF(Table1[[#This Row],[Debts]]&gt;$BA$3,1,0)</f>
        <v>1</v>
      </c>
      <c r="BC467" s="12">
        <f ca="1">Table1[[#This Row],[Mortage left]]/Table1[[#This Row],[Value of The House]]</f>
        <v>0.51829493245993585</v>
      </c>
      <c r="BD467" s="4">
        <f t="shared" ca="1" si="183"/>
        <v>0</v>
      </c>
      <c r="BE467" s="5"/>
    </row>
    <row r="468" spans="4:57" x14ac:dyDescent="0.3">
      <c r="D468">
        <f t="shared" ca="1" si="167"/>
        <v>1</v>
      </c>
      <c r="E468" t="str">
        <f t="shared" ca="1" si="168"/>
        <v>Male</v>
      </c>
      <c r="F468">
        <f t="shared" ca="1" si="169"/>
        <v>42</v>
      </c>
      <c r="G468">
        <f t="shared" ca="1" si="170"/>
        <v>2</v>
      </c>
      <c r="H468" t="str">
        <f t="shared" ca="1" si="171"/>
        <v>Construction</v>
      </c>
      <c r="I468">
        <f t="shared" ca="1" si="172"/>
        <v>3</v>
      </c>
      <c r="J468" t="str">
        <f t="shared" ca="1" si="173"/>
        <v>University</v>
      </c>
      <c r="K468">
        <f t="shared" ca="1" si="174"/>
        <v>3</v>
      </c>
      <c r="L468">
        <f t="shared" ca="1" si="175"/>
        <v>1</v>
      </c>
      <c r="M468">
        <f t="shared" ca="1" si="176"/>
        <v>60912</v>
      </c>
      <c r="N468">
        <f t="shared" ca="1" si="177"/>
        <v>4</v>
      </c>
      <c r="O468" t="str">
        <f t="shared" ca="1" si="178"/>
        <v>Alberta</v>
      </c>
      <c r="P468">
        <f t="shared" ca="1" si="161"/>
        <v>304560</v>
      </c>
      <c r="Q468">
        <f t="shared" ca="1" si="179"/>
        <v>28940.239603778318</v>
      </c>
      <c r="R468">
        <f t="shared" ca="1" si="166"/>
        <v>18808.599027069027</v>
      </c>
      <c r="S468">
        <f t="shared" ca="1" si="180"/>
        <v>1072</v>
      </c>
      <c r="T468">
        <f t="shared" ca="1" si="162"/>
        <v>103508.69066920232</v>
      </c>
      <c r="U468">
        <f t="shared" ca="1" si="163"/>
        <v>19790.050570699543</v>
      </c>
      <c r="V468">
        <f t="shared" ca="1" si="164"/>
        <v>343158.64959776861</v>
      </c>
      <c r="W468">
        <f t="shared" ca="1" si="165"/>
        <v>133520.93027298065</v>
      </c>
      <c r="Z468" s="4">
        <f t="shared" ca="1" si="181"/>
        <v>1</v>
      </c>
      <c r="AA468">
        <f t="shared" ca="1" si="182"/>
        <v>0</v>
      </c>
      <c r="AC468" s="5"/>
      <c r="AX468" s="10">
        <f ca="1">Table1[[#This Row],[Car Value]]/Table1[[#This Row],[No. of Vehicles]]</f>
        <v>18808.599027069027</v>
      </c>
      <c r="AZ468">
        <f ca="1">IF(Table1[[#This Row],[Debts]]&gt;$BA$3,1,0)</f>
        <v>1</v>
      </c>
      <c r="BC468" s="12">
        <f ca="1">Table1[[#This Row],[Mortage left]]/Table1[[#This Row],[Value of The House]]</f>
        <v>9.5023114012931176E-2</v>
      </c>
      <c r="BD468" s="4">
        <f t="shared" ca="1" si="183"/>
        <v>1</v>
      </c>
      <c r="BE468" s="5"/>
    </row>
    <row r="469" spans="4:57" x14ac:dyDescent="0.3">
      <c r="D469">
        <f t="shared" ca="1" si="167"/>
        <v>2</v>
      </c>
      <c r="E469" t="str">
        <f t="shared" ca="1" si="168"/>
        <v>Female</v>
      </c>
      <c r="F469">
        <f t="shared" ca="1" si="169"/>
        <v>39</v>
      </c>
      <c r="G469">
        <f t="shared" ca="1" si="170"/>
        <v>1</v>
      </c>
      <c r="H469" t="str">
        <f t="shared" ca="1" si="171"/>
        <v>Health</v>
      </c>
      <c r="I469">
        <f t="shared" ca="1" si="172"/>
        <v>5</v>
      </c>
      <c r="J469" t="str">
        <f t="shared" ca="1" si="173"/>
        <v>Other</v>
      </c>
      <c r="K469">
        <f t="shared" ca="1" si="174"/>
        <v>4</v>
      </c>
      <c r="L469">
        <f t="shared" ca="1" si="175"/>
        <v>1</v>
      </c>
      <c r="M469">
        <f t="shared" ca="1" si="176"/>
        <v>50187</v>
      </c>
      <c r="N469">
        <f t="shared" ca="1" si="177"/>
        <v>2</v>
      </c>
      <c r="O469" t="str">
        <f t="shared" ca="1" si="178"/>
        <v>BC</v>
      </c>
      <c r="P469">
        <f t="shared" ca="1" si="161"/>
        <v>301122</v>
      </c>
      <c r="Q469">
        <f t="shared" ca="1" si="179"/>
        <v>50953.800356441687</v>
      </c>
      <c r="R469">
        <f t="shared" ca="1" si="166"/>
        <v>17468.01999938683</v>
      </c>
      <c r="S469">
        <f t="shared" ca="1" si="180"/>
        <v>6346</v>
      </c>
      <c r="T469">
        <f t="shared" ca="1" si="162"/>
        <v>94311.199064333705</v>
      </c>
      <c r="U469">
        <f t="shared" ca="1" si="163"/>
        <v>39337.881325694441</v>
      </c>
      <c r="V469">
        <f t="shared" ca="1" si="164"/>
        <v>357927.9013250813</v>
      </c>
      <c r="W469">
        <f t="shared" ca="1" si="165"/>
        <v>151610.99942077539</v>
      </c>
      <c r="Z469" s="4">
        <f t="shared" ca="1" si="181"/>
        <v>0</v>
      </c>
      <c r="AA469">
        <f t="shared" ca="1" si="182"/>
        <v>1</v>
      </c>
      <c r="AC469" s="5"/>
      <c r="AX469" s="10">
        <f ca="1">Table1[[#This Row],[Car Value]]/Table1[[#This Row],[No. of Vehicles]]</f>
        <v>17468.01999938683</v>
      </c>
      <c r="AZ469">
        <f ca="1">IF(Table1[[#This Row],[Debts]]&gt;$BA$3,1,0)</f>
        <v>1</v>
      </c>
      <c r="BC469" s="12">
        <f ca="1">Table1[[#This Row],[Mortage left]]/Table1[[#This Row],[Value of The House]]</f>
        <v>0.16921314402946874</v>
      </c>
      <c r="BD469" s="4">
        <f t="shared" ca="1" si="183"/>
        <v>1</v>
      </c>
      <c r="BE469" s="5"/>
    </row>
    <row r="470" spans="4:57" x14ac:dyDescent="0.3">
      <c r="D470">
        <f t="shared" ca="1" si="167"/>
        <v>2</v>
      </c>
      <c r="E470" t="str">
        <f t="shared" ca="1" si="168"/>
        <v>Female</v>
      </c>
      <c r="F470">
        <f t="shared" ca="1" si="169"/>
        <v>39</v>
      </c>
      <c r="G470">
        <f t="shared" ca="1" si="170"/>
        <v>6</v>
      </c>
      <c r="H470" t="str">
        <f t="shared" ca="1" si="171"/>
        <v>General Work</v>
      </c>
      <c r="I470">
        <f t="shared" ca="1" si="172"/>
        <v>3</v>
      </c>
      <c r="J470" t="str">
        <f t="shared" ca="1" si="173"/>
        <v>University</v>
      </c>
      <c r="K470">
        <f t="shared" ca="1" si="174"/>
        <v>0</v>
      </c>
      <c r="L470">
        <f t="shared" ca="1" si="175"/>
        <v>2</v>
      </c>
      <c r="M470">
        <f t="shared" ca="1" si="176"/>
        <v>55293</v>
      </c>
      <c r="N470">
        <f t="shared" ca="1" si="177"/>
        <v>12</v>
      </c>
      <c r="O470" t="str">
        <f t="shared" ca="1" si="178"/>
        <v>Nova scotia</v>
      </c>
      <c r="P470">
        <f t="shared" ca="1" si="161"/>
        <v>221172</v>
      </c>
      <c r="Q470">
        <f t="shared" ca="1" si="179"/>
        <v>210426.94262998583</v>
      </c>
      <c r="R470">
        <f t="shared" ca="1" si="166"/>
        <v>12709.500426747611</v>
      </c>
      <c r="S470">
        <f t="shared" ca="1" si="180"/>
        <v>8710</v>
      </c>
      <c r="T470">
        <f t="shared" ca="1" si="162"/>
        <v>72559.120494129704</v>
      </c>
      <c r="U470">
        <f t="shared" ca="1" si="163"/>
        <v>79234.996303030232</v>
      </c>
      <c r="V470">
        <f t="shared" ca="1" si="164"/>
        <v>313116.49672977783</v>
      </c>
      <c r="W470">
        <f t="shared" ca="1" si="165"/>
        <v>291696.06312411552</v>
      </c>
      <c r="Z470" s="4">
        <f t="shared" ca="1" si="181"/>
        <v>0</v>
      </c>
      <c r="AA470">
        <f t="shared" ca="1" si="182"/>
        <v>1</v>
      </c>
      <c r="AC470" s="5"/>
      <c r="AX470" s="10">
        <f ca="1">Table1[[#This Row],[Car Value]]/Table1[[#This Row],[No. of Vehicles]]</f>
        <v>6354.7502133738053</v>
      </c>
      <c r="AZ470">
        <f ca="1">IF(Table1[[#This Row],[Debts]]&gt;$BA$3,1,0)</f>
        <v>1</v>
      </c>
      <c r="BC470" s="12">
        <f ca="1">Table1[[#This Row],[Mortage left]]/Table1[[#This Row],[Value of The House]]</f>
        <v>0.95141764160918119</v>
      </c>
      <c r="BD470" s="4">
        <f t="shared" ca="1" si="183"/>
        <v>0</v>
      </c>
      <c r="BE470" s="5"/>
    </row>
    <row r="471" spans="4:57" x14ac:dyDescent="0.3">
      <c r="D471">
        <f t="shared" ca="1" si="167"/>
        <v>1</v>
      </c>
      <c r="E471" t="str">
        <f t="shared" ca="1" si="168"/>
        <v>Male</v>
      </c>
      <c r="F471">
        <f t="shared" ca="1" si="169"/>
        <v>40</v>
      </c>
      <c r="G471">
        <f t="shared" ca="1" si="170"/>
        <v>4</v>
      </c>
      <c r="H471" t="str">
        <f t="shared" ca="1" si="171"/>
        <v>IT</v>
      </c>
      <c r="I471">
        <f t="shared" ca="1" si="172"/>
        <v>1</v>
      </c>
      <c r="J471" t="str">
        <f t="shared" ca="1" si="173"/>
        <v>High School</v>
      </c>
      <c r="K471">
        <f t="shared" ca="1" si="174"/>
        <v>0</v>
      </c>
      <c r="L471">
        <f t="shared" ca="1" si="175"/>
        <v>1</v>
      </c>
      <c r="M471">
        <f t="shared" ca="1" si="176"/>
        <v>61316</v>
      </c>
      <c r="N471">
        <f t="shared" ca="1" si="177"/>
        <v>4</v>
      </c>
      <c r="O471" t="str">
        <f t="shared" ca="1" si="178"/>
        <v>Alberta</v>
      </c>
      <c r="P471">
        <f t="shared" ca="1" si="161"/>
        <v>367896</v>
      </c>
      <c r="Q471">
        <f t="shared" ca="1" si="179"/>
        <v>26902.687860717455</v>
      </c>
      <c r="R471">
        <f t="shared" ca="1" si="166"/>
        <v>14207.193451001034</v>
      </c>
      <c r="S471">
        <f t="shared" ca="1" si="180"/>
        <v>615</v>
      </c>
      <c r="T471">
        <f t="shared" ca="1" si="162"/>
        <v>76136.345150458947</v>
      </c>
      <c r="U471">
        <f t="shared" ca="1" si="163"/>
        <v>75068.425738085542</v>
      </c>
      <c r="V471">
        <f t="shared" ca="1" si="164"/>
        <v>457171.61918908654</v>
      </c>
      <c r="W471">
        <f t="shared" ca="1" si="165"/>
        <v>103654.03301117641</v>
      </c>
      <c r="Z471" s="4">
        <f t="shared" ca="1" si="181"/>
        <v>1</v>
      </c>
      <c r="AA471">
        <f t="shared" ca="1" si="182"/>
        <v>0</v>
      </c>
      <c r="AC471" s="5"/>
      <c r="AX471" s="10">
        <f ca="1">Table1[[#This Row],[Car Value]]/Table1[[#This Row],[No. of Vehicles]]</f>
        <v>14207.193451001034</v>
      </c>
      <c r="AZ471">
        <f ca="1">IF(Table1[[#This Row],[Debts]]&gt;$BA$3,1,0)</f>
        <v>1</v>
      </c>
      <c r="BC471" s="12">
        <f ca="1">Table1[[#This Row],[Mortage left]]/Table1[[#This Row],[Value of The House]]</f>
        <v>7.3125796042135427E-2</v>
      </c>
      <c r="BD471" s="4">
        <f t="shared" ca="1" si="183"/>
        <v>1</v>
      </c>
      <c r="BE471" s="5"/>
    </row>
    <row r="472" spans="4:57" x14ac:dyDescent="0.3">
      <c r="D472">
        <f t="shared" ca="1" si="167"/>
        <v>1</v>
      </c>
      <c r="E472" t="str">
        <f t="shared" ca="1" si="168"/>
        <v>Male</v>
      </c>
      <c r="F472">
        <f t="shared" ca="1" si="169"/>
        <v>43</v>
      </c>
      <c r="G472">
        <f t="shared" ca="1" si="170"/>
        <v>6</v>
      </c>
      <c r="H472" t="str">
        <f t="shared" ca="1" si="171"/>
        <v>General Work</v>
      </c>
      <c r="I472">
        <f t="shared" ca="1" si="172"/>
        <v>3</v>
      </c>
      <c r="J472" t="str">
        <f t="shared" ca="1" si="173"/>
        <v>University</v>
      </c>
      <c r="K472">
        <f t="shared" ca="1" si="174"/>
        <v>3</v>
      </c>
      <c r="L472">
        <f t="shared" ca="1" si="175"/>
        <v>1</v>
      </c>
      <c r="M472">
        <f t="shared" ca="1" si="176"/>
        <v>58220</v>
      </c>
      <c r="N472">
        <f t="shared" ca="1" si="177"/>
        <v>12</v>
      </c>
      <c r="O472" t="str">
        <f t="shared" ca="1" si="178"/>
        <v>Nova scotia</v>
      </c>
      <c r="P472">
        <f t="shared" ca="1" si="161"/>
        <v>232880</v>
      </c>
      <c r="Q472">
        <f t="shared" ca="1" si="179"/>
        <v>213551.49672296381</v>
      </c>
      <c r="R472">
        <f t="shared" ca="1" si="166"/>
        <v>32132.707437630965</v>
      </c>
      <c r="S472">
        <f t="shared" ca="1" si="180"/>
        <v>6839</v>
      </c>
      <c r="T472">
        <f t="shared" ca="1" si="162"/>
        <v>94995.757352986882</v>
      </c>
      <c r="U472">
        <f t="shared" ca="1" si="163"/>
        <v>42078.239711627553</v>
      </c>
      <c r="V472">
        <f t="shared" ca="1" si="164"/>
        <v>307090.94714925851</v>
      </c>
      <c r="W472">
        <f t="shared" ca="1" si="165"/>
        <v>315386.25407595071</v>
      </c>
      <c r="Z472" s="4">
        <f t="shared" ca="1" si="181"/>
        <v>1</v>
      </c>
      <c r="AA472">
        <f t="shared" ca="1" si="182"/>
        <v>0</v>
      </c>
      <c r="AC472" s="5"/>
      <c r="AX472" s="10">
        <f ca="1">Table1[[#This Row],[Car Value]]/Table1[[#This Row],[No. of Vehicles]]</f>
        <v>32132.707437630965</v>
      </c>
      <c r="AZ472">
        <f ca="1">IF(Table1[[#This Row],[Debts]]&gt;$BA$3,1,0)</f>
        <v>1</v>
      </c>
      <c r="BC472" s="12">
        <f ca="1">Table1[[#This Row],[Mortage left]]/Table1[[#This Row],[Value of The House]]</f>
        <v>0.91700230471901323</v>
      </c>
      <c r="BD472" s="4">
        <f t="shared" ca="1" si="183"/>
        <v>0</v>
      </c>
      <c r="BE472" s="5"/>
    </row>
    <row r="473" spans="4:57" x14ac:dyDescent="0.3">
      <c r="D473">
        <f t="shared" ca="1" si="167"/>
        <v>1</v>
      </c>
      <c r="E473" t="str">
        <f t="shared" ca="1" si="168"/>
        <v>Male</v>
      </c>
      <c r="F473">
        <f t="shared" ca="1" si="169"/>
        <v>29</v>
      </c>
      <c r="G473">
        <f t="shared" ca="1" si="170"/>
        <v>6</v>
      </c>
      <c r="H473" t="str">
        <f t="shared" ca="1" si="171"/>
        <v>General Work</v>
      </c>
      <c r="I473">
        <f t="shared" ca="1" si="172"/>
        <v>3</v>
      </c>
      <c r="J473" t="str">
        <f t="shared" ca="1" si="173"/>
        <v>University</v>
      </c>
      <c r="K473">
        <f t="shared" ca="1" si="174"/>
        <v>0</v>
      </c>
      <c r="L473">
        <f t="shared" ca="1" si="175"/>
        <v>2</v>
      </c>
      <c r="M473">
        <f t="shared" ca="1" si="176"/>
        <v>60516</v>
      </c>
      <c r="N473">
        <f t="shared" ca="1" si="177"/>
        <v>4</v>
      </c>
      <c r="O473" t="str">
        <f t="shared" ca="1" si="178"/>
        <v>Alberta</v>
      </c>
      <c r="P473">
        <f t="shared" ca="1" si="161"/>
        <v>302580</v>
      </c>
      <c r="Q473">
        <f t="shared" ca="1" si="179"/>
        <v>25317.427794280193</v>
      </c>
      <c r="R473">
        <f t="shared" ca="1" si="166"/>
        <v>75205.970658696984</v>
      </c>
      <c r="S473">
        <f t="shared" ca="1" si="180"/>
        <v>38786</v>
      </c>
      <c r="T473">
        <f t="shared" ca="1" si="162"/>
        <v>66284.226917491978</v>
      </c>
      <c r="U473">
        <f t="shared" ca="1" si="163"/>
        <v>21703.688840632134</v>
      </c>
      <c r="V473">
        <f t="shared" ca="1" si="164"/>
        <v>399489.65949932911</v>
      </c>
      <c r="W473">
        <f t="shared" ca="1" si="165"/>
        <v>130387.65471177216</v>
      </c>
      <c r="Z473" s="4">
        <f t="shared" ca="1" si="181"/>
        <v>1</v>
      </c>
      <c r="AA473">
        <f t="shared" ca="1" si="182"/>
        <v>0</v>
      </c>
      <c r="AC473" s="5"/>
      <c r="AX473" s="10">
        <f ca="1">Table1[[#This Row],[Car Value]]/Table1[[#This Row],[No. of Vehicles]]</f>
        <v>37602.985329348492</v>
      </c>
      <c r="AZ473">
        <f ca="1">IF(Table1[[#This Row],[Debts]]&gt;$BA$3,1,0)</f>
        <v>1</v>
      </c>
      <c r="BC473" s="12">
        <f ca="1">Table1[[#This Row],[Mortage left]]/Table1[[#This Row],[Value of The House]]</f>
        <v>8.3671848087382483E-2</v>
      </c>
      <c r="BD473" s="4">
        <f t="shared" ca="1" si="183"/>
        <v>1</v>
      </c>
      <c r="BE473" s="5"/>
    </row>
    <row r="474" spans="4:57" x14ac:dyDescent="0.3">
      <c r="D474">
        <f t="shared" ca="1" si="167"/>
        <v>2</v>
      </c>
      <c r="E474" t="str">
        <f t="shared" ca="1" si="168"/>
        <v>Female</v>
      </c>
      <c r="F474">
        <f t="shared" ca="1" si="169"/>
        <v>36</v>
      </c>
      <c r="G474">
        <f t="shared" ca="1" si="170"/>
        <v>4</v>
      </c>
      <c r="H474" t="str">
        <f t="shared" ca="1" si="171"/>
        <v>IT</v>
      </c>
      <c r="I474">
        <f t="shared" ca="1" si="172"/>
        <v>3</v>
      </c>
      <c r="J474" t="str">
        <f t="shared" ca="1" si="173"/>
        <v>University</v>
      </c>
      <c r="K474">
        <f t="shared" ca="1" si="174"/>
        <v>1</v>
      </c>
      <c r="L474">
        <f t="shared" ca="1" si="175"/>
        <v>1</v>
      </c>
      <c r="M474">
        <f t="shared" ca="1" si="176"/>
        <v>61746</v>
      </c>
      <c r="N474">
        <f t="shared" ca="1" si="177"/>
        <v>12</v>
      </c>
      <c r="O474" t="str">
        <f t="shared" ca="1" si="178"/>
        <v>Nova scotia</v>
      </c>
      <c r="P474">
        <f t="shared" ca="1" si="161"/>
        <v>308730</v>
      </c>
      <c r="Q474">
        <f t="shared" ca="1" si="179"/>
        <v>256990.94837772113</v>
      </c>
      <c r="R474">
        <f t="shared" ca="1" si="166"/>
        <v>39924.247852854234</v>
      </c>
      <c r="S474">
        <f t="shared" ca="1" si="180"/>
        <v>34810</v>
      </c>
      <c r="T474">
        <f t="shared" ca="1" si="162"/>
        <v>119471.59317004833</v>
      </c>
      <c r="U474">
        <f t="shared" ca="1" si="163"/>
        <v>45208.148522969328</v>
      </c>
      <c r="V474">
        <f t="shared" ca="1" si="164"/>
        <v>393862.39637582359</v>
      </c>
      <c r="W474">
        <f t="shared" ca="1" si="165"/>
        <v>411272.54154776945</v>
      </c>
      <c r="Z474" s="4">
        <f t="shared" ca="1" si="181"/>
        <v>0</v>
      </c>
      <c r="AA474">
        <f t="shared" ca="1" si="182"/>
        <v>1</v>
      </c>
      <c r="AC474" s="5"/>
      <c r="AX474" s="10">
        <f ca="1">Table1[[#This Row],[Car Value]]/Table1[[#This Row],[No. of Vehicles]]</f>
        <v>39924.247852854234</v>
      </c>
      <c r="AZ474">
        <f ca="1">IF(Table1[[#This Row],[Debts]]&gt;$BA$3,1,0)</f>
        <v>1</v>
      </c>
      <c r="BC474" s="12">
        <f ca="1">Table1[[#This Row],[Mortage left]]/Table1[[#This Row],[Value of The House]]</f>
        <v>0.83241326847964603</v>
      </c>
      <c r="BD474" s="4">
        <f t="shared" ca="1" si="183"/>
        <v>0</v>
      </c>
      <c r="BE474" s="5"/>
    </row>
    <row r="475" spans="4:57" x14ac:dyDescent="0.3">
      <c r="D475">
        <f t="shared" ca="1" si="167"/>
        <v>1</v>
      </c>
      <c r="E475" t="str">
        <f t="shared" ca="1" si="168"/>
        <v>Male</v>
      </c>
      <c r="F475">
        <f t="shared" ca="1" si="169"/>
        <v>39</v>
      </c>
      <c r="G475">
        <f t="shared" ca="1" si="170"/>
        <v>3</v>
      </c>
      <c r="H475" t="str">
        <f t="shared" ca="1" si="171"/>
        <v>Teaching</v>
      </c>
      <c r="I475">
        <f t="shared" ca="1" si="172"/>
        <v>4</v>
      </c>
      <c r="J475" t="str">
        <f t="shared" ca="1" si="173"/>
        <v>Technical</v>
      </c>
      <c r="K475">
        <f t="shared" ca="1" si="174"/>
        <v>3</v>
      </c>
      <c r="L475">
        <f t="shared" ca="1" si="175"/>
        <v>2</v>
      </c>
      <c r="M475">
        <f t="shared" ca="1" si="176"/>
        <v>56371</v>
      </c>
      <c r="N475">
        <f t="shared" ca="1" si="177"/>
        <v>3</v>
      </c>
      <c r="O475" t="str">
        <f t="shared" ca="1" si="178"/>
        <v>Northwest Ter</v>
      </c>
      <c r="P475">
        <f t="shared" ca="1" si="161"/>
        <v>225484</v>
      </c>
      <c r="Q475">
        <f t="shared" ca="1" si="179"/>
        <v>145445.09748702386</v>
      </c>
      <c r="R475">
        <f t="shared" ca="1" si="166"/>
        <v>38093.611836460652</v>
      </c>
      <c r="S475">
        <f t="shared" ca="1" si="180"/>
        <v>33757</v>
      </c>
      <c r="T475">
        <f t="shared" ca="1" si="162"/>
        <v>4002.2123846608101</v>
      </c>
      <c r="U475">
        <f t="shared" ca="1" si="163"/>
        <v>77232.662521594422</v>
      </c>
      <c r="V475">
        <f t="shared" ca="1" si="164"/>
        <v>340810.27435805509</v>
      </c>
      <c r="W475">
        <f t="shared" ca="1" si="165"/>
        <v>183204.30987168467</v>
      </c>
      <c r="Z475" s="4">
        <f t="shared" ca="1" si="181"/>
        <v>1</v>
      </c>
      <c r="AA475">
        <f t="shared" ca="1" si="182"/>
        <v>0</v>
      </c>
      <c r="AC475" s="5"/>
      <c r="AX475" s="10">
        <f ca="1">Table1[[#This Row],[Car Value]]/Table1[[#This Row],[No. of Vehicles]]</f>
        <v>19046.805918230326</v>
      </c>
      <c r="AZ475">
        <f ca="1">IF(Table1[[#This Row],[Debts]]&gt;$BA$3,1,0)</f>
        <v>0</v>
      </c>
      <c r="BC475" s="12">
        <f ca="1">Table1[[#This Row],[Mortage left]]/Table1[[#This Row],[Value of The House]]</f>
        <v>0.64503511329861041</v>
      </c>
      <c r="BD475" s="4">
        <f t="shared" ca="1" si="183"/>
        <v>0</v>
      </c>
      <c r="BE475" s="5"/>
    </row>
    <row r="476" spans="4:57" x14ac:dyDescent="0.3">
      <c r="D476">
        <f t="shared" ca="1" si="167"/>
        <v>2</v>
      </c>
      <c r="E476" t="str">
        <f t="shared" ca="1" si="168"/>
        <v>Female</v>
      </c>
      <c r="F476">
        <f t="shared" ca="1" si="169"/>
        <v>33</v>
      </c>
      <c r="G476">
        <f t="shared" ca="1" si="170"/>
        <v>4</v>
      </c>
      <c r="H476" t="str">
        <f t="shared" ca="1" si="171"/>
        <v>IT</v>
      </c>
      <c r="I476">
        <f t="shared" ca="1" si="172"/>
        <v>2</v>
      </c>
      <c r="J476" t="str">
        <f t="shared" ca="1" si="173"/>
        <v>College</v>
      </c>
      <c r="K476">
        <f t="shared" ca="1" si="174"/>
        <v>2</v>
      </c>
      <c r="L476">
        <f t="shared" ca="1" si="175"/>
        <v>2</v>
      </c>
      <c r="M476">
        <f t="shared" ca="1" si="176"/>
        <v>60610</v>
      </c>
      <c r="N476">
        <f t="shared" ca="1" si="177"/>
        <v>12</v>
      </c>
      <c r="O476" t="str">
        <f t="shared" ca="1" si="178"/>
        <v>Nova scotia</v>
      </c>
      <c r="P476">
        <f t="shared" ca="1" si="161"/>
        <v>303050</v>
      </c>
      <c r="Q476">
        <f t="shared" ca="1" si="179"/>
        <v>184136.71227971331</v>
      </c>
      <c r="R476">
        <f t="shared" ca="1" si="166"/>
        <v>105366.67236932923</v>
      </c>
      <c r="S476">
        <f t="shared" ca="1" si="180"/>
        <v>28841</v>
      </c>
      <c r="T476">
        <f t="shared" ca="1" si="162"/>
        <v>92928.291421705697</v>
      </c>
      <c r="U476">
        <f t="shared" ca="1" si="163"/>
        <v>48188.517815440304</v>
      </c>
      <c r="V476">
        <f t="shared" ca="1" si="164"/>
        <v>456605.19018476957</v>
      </c>
      <c r="W476">
        <f t="shared" ca="1" si="165"/>
        <v>305906.00370141899</v>
      </c>
      <c r="Z476" s="4">
        <f t="shared" ca="1" si="181"/>
        <v>0</v>
      </c>
      <c r="AA476">
        <f t="shared" ca="1" si="182"/>
        <v>1</v>
      </c>
      <c r="AC476" s="5"/>
      <c r="AX476" s="10">
        <f ca="1">Table1[[#This Row],[Car Value]]/Table1[[#This Row],[No. of Vehicles]]</f>
        <v>52683.336184664615</v>
      </c>
      <c r="AZ476">
        <f ca="1">IF(Table1[[#This Row],[Debts]]&gt;$BA$3,1,0)</f>
        <v>1</v>
      </c>
      <c r="BC476" s="12">
        <f ca="1">Table1[[#This Row],[Mortage left]]/Table1[[#This Row],[Value of The House]]</f>
        <v>0.60761165576542919</v>
      </c>
      <c r="BD476" s="4">
        <f t="shared" ca="1" si="183"/>
        <v>0</v>
      </c>
      <c r="BE476" s="5"/>
    </row>
    <row r="477" spans="4:57" x14ac:dyDescent="0.3">
      <c r="D477">
        <f t="shared" ca="1" si="167"/>
        <v>1</v>
      </c>
      <c r="E477" t="str">
        <f t="shared" ca="1" si="168"/>
        <v>Male</v>
      </c>
      <c r="F477">
        <f t="shared" ca="1" si="169"/>
        <v>26</v>
      </c>
      <c r="G477">
        <f t="shared" ca="1" si="170"/>
        <v>5</v>
      </c>
      <c r="H477" t="str">
        <f t="shared" ca="1" si="171"/>
        <v>Agriculture</v>
      </c>
      <c r="I477">
        <f t="shared" ca="1" si="172"/>
        <v>1</v>
      </c>
      <c r="J477" t="str">
        <f t="shared" ca="1" si="173"/>
        <v>High School</v>
      </c>
      <c r="K477">
        <f t="shared" ca="1" si="174"/>
        <v>3</v>
      </c>
      <c r="L477">
        <f t="shared" ca="1" si="175"/>
        <v>1</v>
      </c>
      <c r="M477">
        <f t="shared" ca="1" si="176"/>
        <v>68075</v>
      </c>
      <c r="N477">
        <f t="shared" ca="1" si="177"/>
        <v>5</v>
      </c>
      <c r="O477" t="str">
        <f t="shared" ca="1" si="178"/>
        <v>Nunavut</v>
      </c>
      <c r="P477">
        <f t="shared" ca="1" si="161"/>
        <v>340375</v>
      </c>
      <c r="Q477">
        <f t="shared" ca="1" si="179"/>
        <v>208071.71716867114</v>
      </c>
      <c r="R477">
        <f t="shared" ca="1" si="166"/>
        <v>21510.798392900113</v>
      </c>
      <c r="S477">
        <f t="shared" ca="1" si="180"/>
        <v>4930</v>
      </c>
      <c r="T477">
        <f t="shared" ca="1" si="162"/>
        <v>6688.8133410421142</v>
      </c>
      <c r="U477">
        <f t="shared" ca="1" si="163"/>
        <v>73897.119552897682</v>
      </c>
      <c r="V477">
        <f t="shared" ca="1" si="164"/>
        <v>435782.91794579779</v>
      </c>
      <c r="W477">
        <f t="shared" ca="1" si="165"/>
        <v>219690.53050971325</v>
      </c>
      <c r="Z477" s="4">
        <f t="shared" ca="1" si="181"/>
        <v>1</v>
      </c>
      <c r="AA477">
        <f t="shared" ca="1" si="182"/>
        <v>0</v>
      </c>
      <c r="AC477" s="5"/>
      <c r="AX477" s="10">
        <f ca="1">Table1[[#This Row],[Car Value]]/Table1[[#This Row],[No. of Vehicles]]</f>
        <v>21510.798392900113</v>
      </c>
      <c r="AZ477">
        <f ca="1">IF(Table1[[#This Row],[Debts]]&gt;$BA$3,1,0)</f>
        <v>0</v>
      </c>
      <c r="BC477" s="12">
        <f ca="1">Table1[[#This Row],[Mortage left]]/Table1[[#This Row],[Value of The House]]</f>
        <v>0.61130140923590492</v>
      </c>
      <c r="BD477" s="4">
        <f t="shared" ca="1" si="183"/>
        <v>0</v>
      </c>
      <c r="BE477" s="5"/>
    </row>
    <row r="478" spans="4:57" x14ac:dyDescent="0.3">
      <c r="D478">
        <f t="shared" ca="1" si="167"/>
        <v>2</v>
      </c>
      <c r="E478" t="str">
        <f t="shared" ca="1" si="168"/>
        <v>Female</v>
      </c>
      <c r="F478">
        <f t="shared" ca="1" si="169"/>
        <v>26</v>
      </c>
      <c r="G478">
        <f t="shared" ca="1" si="170"/>
        <v>2</v>
      </c>
      <c r="H478" t="str">
        <f t="shared" ca="1" si="171"/>
        <v>Construction</v>
      </c>
      <c r="I478">
        <f t="shared" ca="1" si="172"/>
        <v>3</v>
      </c>
      <c r="J478" t="str">
        <f t="shared" ca="1" si="173"/>
        <v>University</v>
      </c>
      <c r="K478">
        <f t="shared" ca="1" si="174"/>
        <v>2</v>
      </c>
      <c r="L478">
        <f t="shared" ca="1" si="175"/>
        <v>2</v>
      </c>
      <c r="M478">
        <f t="shared" ca="1" si="176"/>
        <v>87628</v>
      </c>
      <c r="N478">
        <f t="shared" ca="1" si="177"/>
        <v>13</v>
      </c>
      <c r="O478" t="str">
        <f t="shared" ca="1" si="178"/>
        <v>Prince Edward Islnd</v>
      </c>
      <c r="P478">
        <f t="shared" ca="1" si="161"/>
        <v>438140</v>
      </c>
      <c r="Q478">
        <f t="shared" ca="1" si="179"/>
        <v>36446.234528103465</v>
      </c>
      <c r="R478">
        <f t="shared" ca="1" si="166"/>
        <v>146306.70845841613</v>
      </c>
      <c r="S478">
        <f t="shared" ca="1" si="180"/>
        <v>9847</v>
      </c>
      <c r="T478">
        <f t="shared" ca="1" si="162"/>
        <v>127631.88758466677</v>
      </c>
      <c r="U478">
        <f t="shared" ca="1" si="163"/>
        <v>75966.639141777356</v>
      </c>
      <c r="V478">
        <f t="shared" ca="1" si="164"/>
        <v>660413.34760019346</v>
      </c>
      <c r="W478">
        <f t="shared" ca="1" si="165"/>
        <v>173925.12211277022</v>
      </c>
      <c r="Z478" s="4">
        <f t="shared" ca="1" si="181"/>
        <v>0</v>
      </c>
      <c r="AA478">
        <f t="shared" ca="1" si="182"/>
        <v>1</v>
      </c>
      <c r="AC478" s="5"/>
      <c r="AX478" s="10">
        <f ca="1">Table1[[#This Row],[Car Value]]/Table1[[#This Row],[No. of Vehicles]]</f>
        <v>73153.354229208067</v>
      </c>
      <c r="AZ478">
        <f ca="1">IF(Table1[[#This Row],[Debts]]&gt;$BA$3,1,0)</f>
        <v>1</v>
      </c>
      <c r="BC478" s="12">
        <f ca="1">Table1[[#This Row],[Mortage left]]/Table1[[#This Row],[Value of The House]]</f>
        <v>8.3183992623598546E-2</v>
      </c>
      <c r="BD478" s="4">
        <f t="shared" ca="1" si="183"/>
        <v>1</v>
      </c>
      <c r="BE478" s="5"/>
    </row>
    <row r="479" spans="4:57" x14ac:dyDescent="0.3">
      <c r="D479">
        <f t="shared" ca="1" si="167"/>
        <v>1</v>
      </c>
      <c r="E479" t="str">
        <f t="shared" ca="1" si="168"/>
        <v>Male</v>
      </c>
      <c r="F479">
        <f t="shared" ca="1" si="169"/>
        <v>27</v>
      </c>
      <c r="G479">
        <f t="shared" ca="1" si="170"/>
        <v>2</v>
      </c>
      <c r="H479" t="str">
        <f t="shared" ca="1" si="171"/>
        <v>Construction</v>
      </c>
      <c r="I479">
        <f t="shared" ca="1" si="172"/>
        <v>5</v>
      </c>
      <c r="J479" t="str">
        <f t="shared" ca="1" si="173"/>
        <v>Other</v>
      </c>
      <c r="K479">
        <f t="shared" ca="1" si="174"/>
        <v>3</v>
      </c>
      <c r="L479">
        <f t="shared" ca="1" si="175"/>
        <v>2</v>
      </c>
      <c r="M479">
        <f t="shared" ca="1" si="176"/>
        <v>38743</v>
      </c>
      <c r="N479">
        <f t="shared" ca="1" si="177"/>
        <v>8</v>
      </c>
      <c r="O479" t="str">
        <f t="shared" ca="1" si="178"/>
        <v>Ontario</v>
      </c>
      <c r="P479">
        <f t="shared" ca="1" si="161"/>
        <v>232458</v>
      </c>
      <c r="Q479">
        <f t="shared" ca="1" si="179"/>
        <v>14310.775701076742</v>
      </c>
      <c r="R479">
        <f t="shared" ca="1" si="166"/>
        <v>13369.95958921801</v>
      </c>
      <c r="S479">
        <f t="shared" ca="1" si="180"/>
        <v>2386</v>
      </c>
      <c r="T479">
        <f t="shared" ca="1" si="162"/>
        <v>33237.58600560249</v>
      </c>
      <c r="U479">
        <f t="shared" ca="1" si="163"/>
        <v>54837.398015968924</v>
      </c>
      <c r="V479">
        <f t="shared" ca="1" si="164"/>
        <v>300665.35760518693</v>
      </c>
      <c r="W479">
        <f t="shared" ca="1" si="165"/>
        <v>49934.361706679236</v>
      </c>
      <c r="Z479" s="4">
        <f t="shared" ca="1" si="181"/>
        <v>1</v>
      </c>
      <c r="AA479">
        <f t="shared" ca="1" si="182"/>
        <v>0</v>
      </c>
      <c r="AC479" s="5"/>
      <c r="AX479" s="10">
        <f ca="1">Table1[[#This Row],[Car Value]]/Table1[[#This Row],[No. of Vehicles]]</f>
        <v>6684.9797946090048</v>
      </c>
      <c r="AZ479">
        <f ca="1">IF(Table1[[#This Row],[Debts]]&gt;$BA$3,1,0)</f>
        <v>1</v>
      </c>
      <c r="BC479" s="12">
        <f ca="1">Table1[[#This Row],[Mortage left]]/Table1[[#This Row],[Value of The House]]</f>
        <v>6.156284447546112E-2</v>
      </c>
      <c r="BD479" s="4">
        <f t="shared" ca="1" si="183"/>
        <v>1</v>
      </c>
      <c r="BE479" s="5"/>
    </row>
    <row r="480" spans="4:57" x14ac:dyDescent="0.3">
      <c r="D480">
        <f t="shared" ca="1" si="167"/>
        <v>2</v>
      </c>
      <c r="E480" t="str">
        <f t="shared" ca="1" si="168"/>
        <v>Female</v>
      </c>
      <c r="F480">
        <f t="shared" ca="1" si="169"/>
        <v>29</v>
      </c>
      <c r="G480">
        <f t="shared" ca="1" si="170"/>
        <v>5</v>
      </c>
      <c r="H480" t="str">
        <f t="shared" ca="1" si="171"/>
        <v>Agriculture</v>
      </c>
      <c r="I480">
        <f t="shared" ca="1" si="172"/>
        <v>1</v>
      </c>
      <c r="J480" t="str">
        <f t="shared" ca="1" si="173"/>
        <v>High School</v>
      </c>
      <c r="K480">
        <f t="shared" ca="1" si="174"/>
        <v>0</v>
      </c>
      <c r="L480">
        <f t="shared" ca="1" si="175"/>
        <v>1</v>
      </c>
      <c r="M480">
        <f t="shared" ca="1" si="176"/>
        <v>59149</v>
      </c>
      <c r="N480">
        <f t="shared" ca="1" si="177"/>
        <v>6</v>
      </c>
      <c r="O480" t="str">
        <f t="shared" ca="1" si="178"/>
        <v>Saskatchewan</v>
      </c>
      <c r="P480">
        <f t="shared" ca="1" si="161"/>
        <v>236596</v>
      </c>
      <c r="Q480">
        <f t="shared" ca="1" si="179"/>
        <v>222833.66004125975</v>
      </c>
      <c r="R480">
        <f t="shared" ca="1" si="166"/>
        <v>52660.576476396804</v>
      </c>
      <c r="S480">
        <f t="shared" ca="1" si="180"/>
        <v>5588</v>
      </c>
      <c r="T480">
        <f t="shared" ca="1" si="162"/>
        <v>96427.746906227956</v>
      </c>
      <c r="U480">
        <f t="shared" ca="1" si="163"/>
        <v>13177.787343214519</v>
      </c>
      <c r="V480">
        <f t="shared" ca="1" si="164"/>
        <v>302434.36381961132</v>
      </c>
      <c r="W480">
        <f t="shared" ca="1" si="165"/>
        <v>324849.40694748773</v>
      </c>
      <c r="Z480" s="4">
        <f t="shared" ca="1" si="181"/>
        <v>0</v>
      </c>
      <c r="AA480">
        <f t="shared" ca="1" si="182"/>
        <v>1</v>
      </c>
      <c r="AC480" s="5"/>
      <c r="AX480" s="10">
        <f ca="1">Table1[[#This Row],[Car Value]]/Table1[[#This Row],[No. of Vehicles]]</f>
        <v>52660.576476396804</v>
      </c>
      <c r="AZ480">
        <f ca="1">IF(Table1[[#This Row],[Debts]]&gt;$BA$3,1,0)</f>
        <v>1</v>
      </c>
      <c r="BC480" s="12">
        <f ca="1">Table1[[#This Row],[Mortage left]]/Table1[[#This Row],[Value of The House]]</f>
        <v>0.94183189927665623</v>
      </c>
      <c r="BD480" s="4">
        <f t="shared" ca="1" si="183"/>
        <v>0</v>
      </c>
      <c r="BE480" s="5"/>
    </row>
    <row r="481" spans="4:57" x14ac:dyDescent="0.3">
      <c r="D481">
        <f t="shared" ca="1" si="167"/>
        <v>1</v>
      </c>
      <c r="E481" t="str">
        <f t="shared" ca="1" si="168"/>
        <v>Male</v>
      </c>
      <c r="F481">
        <f t="shared" ca="1" si="169"/>
        <v>44</v>
      </c>
      <c r="G481">
        <f t="shared" ca="1" si="170"/>
        <v>6</v>
      </c>
      <c r="H481" t="str">
        <f t="shared" ca="1" si="171"/>
        <v>General Work</v>
      </c>
      <c r="I481">
        <f t="shared" ca="1" si="172"/>
        <v>4</v>
      </c>
      <c r="J481" t="str">
        <f t="shared" ca="1" si="173"/>
        <v>Technical</v>
      </c>
      <c r="K481">
        <f t="shared" ca="1" si="174"/>
        <v>1</v>
      </c>
      <c r="L481">
        <f t="shared" ca="1" si="175"/>
        <v>1</v>
      </c>
      <c r="M481">
        <f t="shared" ca="1" si="176"/>
        <v>51214</v>
      </c>
      <c r="N481">
        <f t="shared" ca="1" si="177"/>
        <v>12</v>
      </c>
      <c r="O481" t="str">
        <f t="shared" ca="1" si="178"/>
        <v>Nova scotia</v>
      </c>
      <c r="P481">
        <f t="shared" ca="1" si="161"/>
        <v>204856</v>
      </c>
      <c r="Q481">
        <f t="shared" ca="1" si="179"/>
        <v>39429.114009857542</v>
      </c>
      <c r="R481">
        <f t="shared" ca="1" si="166"/>
        <v>47660.218522722491</v>
      </c>
      <c r="S481">
        <f t="shared" ca="1" si="180"/>
        <v>23225</v>
      </c>
      <c r="T481">
        <f t="shared" ca="1" si="162"/>
        <v>69536.173491978276</v>
      </c>
      <c r="U481">
        <f t="shared" ca="1" si="163"/>
        <v>36411.916184241811</v>
      </c>
      <c r="V481">
        <f t="shared" ca="1" si="164"/>
        <v>288928.13470696431</v>
      </c>
      <c r="W481">
        <f t="shared" ca="1" si="165"/>
        <v>132190.28750183582</v>
      </c>
      <c r="Z481" s="4">
        <f t="shared" ca="1" si="181"/>
        <v>1</v>
      </c>
      <c r="AA481">
        <f t="shared" ca="1" si="182"/>
        <v>0</v>
      </c>
      <c r="AC481" s="5"/>
      <c r="AX481" s="10">
        <f ca="1">Table1[[#This Row],[Car Value]]/Table1[[#This Row],[No. of Vehicles]]</f>
        <v>47660.218522722491</v>
      </c>
      <c r="AZ481">
        <f ca="1">IF(Table1[[#This Row],[Debts]]&gt;$BA$3,1,0)</f>
        <v>1</v>
      </c>
      <c r="BC481" s="12">
        <f ca="1">Table1[[#This Row],[Mortage left]]/Table1[[#This Row],[Value of The House]]</f>
        <v>0.19247234159535254</v>
      </c>
      <c r="BD481" s="4">
        <f t="shared" ca="1" si="183"/>
        <v>1</v>
      </c>
      <c r="BE481" s="5"/>
    </row>
    <row r="482" spans="4:57" x14ac:dyDescent="0.3">
      <c r="D482">
        <f t="shared" ca="1" si="167"/>
        <v>2</v>
      </c>
      <c r="E482" t="str">
        <f t="shared" ca="1" si="168"/>
        <v>Female</v>
      </c>
      <c r="F482">
        <f t="shared" ca="1" si="169"/>
        <v>35</v>
      </c>
      <c r="G482">
        <f t="shared" ca="1" si="170"/>
        <v>6</v>
      </c>
      <c r="H482" t="str">
        <f t="shared" ca="1" si="171"/>
        <v>General Work</v>
      </c>
      <c r="I482">
        <f t="shared" ca="1" si="172"/>
        <v>2</v>
      </c>
      <c r="J482" t="str">
        <f t="shared" ca="1" si="173"/>
        <v>College</v>
      </c>
      <c r="K482">
        <f t="shared" ca="1" si="174"/>
        <v>0</v>
      </c>
      <c r="L482">
        <f t="shared" ca="1" si="175"/>
        <v>2</v>
      </c>
      <c r="M482">
        <f t="shared" ca="1" si="176"/>
        <v>39404</v>
      </c>
      <c r="N482">
        <f t="shared" ca="1" si="177"/>
        <v>8</v>
      </c>
      <c r="O482" t="str">
        <f t="shared" ca="1" si="178"/>
        <v>Ontario</v>
      </c>
      <c r="P482">
        <f t="shared" ca="1" si="161"/>
        <v>236424</v>
      </c>
      <c r="Q482">
        <f t="shared" ca="1" si="179"/>
        <v>41952.090353653992</v>
      </c>
      <c r="R482">
        <f t="shared" ca="1" si="166"/>
        <v>71625.677130181532</v>
      </c>
      <c r="S482">
        <f t="shared" ca="1" si="180"/>
        <v>31042</v>
      </c>
      <c r="T482">
        <f t="shared" ca="1" si="162"/>
        <v>25635.936643984864</v>
      </c>
      <c r="U482">
        <f t="shared" ca="1" si="163"/>
        <v>48543.859399106841</v>
      </c>
      <c r="V482">
        <f t="shared" ca="1" si="164"/>
        <v>356593.53652928834</v>
      </c>
      <c r="W482">
        <f t="shared" ca="1" si="165"/>
        <v>98630.026997638866</v>
      </c>
      <c r="Z482" s="4">
        <f t="shared" ca="1" si="181"/>
        <v>0</v>
      </c>
      <c r="AA482">
        <f t="shared" ca="1" si="182"/>
        <v>1</v>
      </c>
      <c r="AC482" s="5"/>
      <c r="AX482" s="10">
        <f ca="1">Table1[[#This Row],[Car Value]]/Table1[[#This Row],[No. of Vehicles]]</f>
        <v>35812.838565090766</v>
      </c>
      <c r="AZ482">
        <f ca="1">IF(Table1[[#This Row],[Debts]]&gt;$BA$3,1,0)</f>
        <v>1</v>
      </c>
      <c r="BC482" s="12">
        <f ca="1">Table1[[#This Row],[Mortage left]]/Table1[[#This Row],[Value of The House]]</f>
        <v>0.17744429649127835</v>
      </c>
      <c r="BD482" s="4">
        <f t="shared" ca="1" si="183"/>
        <v>1</v>
      </c>
      <c r="BE482" s="5"/>
    </row>
    <row r="483" spans="4:57" x14ac:dyDescent="0.3">
      <c r="D483">
        <f t="shared" ca="1" si="167"/>
        <v>2</v>
      </c>
      <c r="E483" t="str">
        <f t="shared" ca="1" si="168"/>
        <v>Female</v>
      </c>
      <c r="F483">
        <f t="shared" ca="1" si="169"/>
        <v>32</v>
      </c>
      <c r="G483">
        <f t="shared" ca="1" si="170"/>
        <v>5</v>
      </c>
      <c r="H483" t="str">
        <f t="shared" ca="1" si="171"/>
        <v>Agriculture</v>
      </c>
      <c r="I483">
        <f t="shared" ca="1" si="172"/>
        <v>4</v>
      </c>
      <c r="J483" t="str">
        <f t="shared" ca="1" si="173"/>
        <v>Technical</v>
      </c>
      <c r="K483">
        <f t="shared" ca="1" si="174"/>
        <v>1</v>
      </c>
      <c r="L483">
        <f t="shared" ca="1" si="175"/>
        <v>1</v>
      </c>
      <c r="M483">
        <f t="shared" ca="1" si="176"/>
        <v>25964</v>
      </c>
      <c r="N483">
        <f t="shared" ca="1" si="177"/>
        <v>13</v>
      </c>
      <c r="O483" t="str">
        <f t="shared" ca="1" si="178"/>
        <v>Prince Edward Islnd</v>
      </c>
      <c r="P483">
        <f t="shared" ca="1" si="161"/>
        <v>155784</v>
      </c>
      <c r="Q483">
        <f t="shared" ca="1" si="179"/>
        <v>107270.16550716067</v>
      </c>
      <c r="R483">
        <f t="shared" ca="1" si="166"/>
        <v>24920.732274868693</v>
      </c>
      <c r="S483">
        <f t="shared" ca="1" si="180"/>
        <v>7470</v>
      </c>
      <c r="T483">
        <f t="shared" ca="1" si="162"/>
        <v>18962.678136484828</v>
      </c>
      <c r="U483">
        <f t="shared" ca="1" si="163"/>
        <v>12788.69112423958</v>
      </c>
      <c r="V483">
        <f t="shared" ca="1" si="164"/>
        <v>193493.42339910829</v>
      </c>
      <c r="W483">
        <f t="shared" ca="1" si="165"/>
        <v>133702.84364364549</v>
      </c>
      <c r="Z483" s="4">
        <f t="shared" ca="1" si="181"/>
        <v>0</v>
      </c>
      <c r="AA483">
        <f t="shared" ca="1" si="182"/>
        <v>1</v>
      </c>
      <c r="AC483" s="5"/>
      <c r="AX483" s="10">
        <f ca="1">Table1[[#This Row],[Car Value]]/Table1[[#This Row],[No. of Vehicles]]</f>
        <v>24920.732274868693</v>
      </c>
      <c r="AZ483">
        <f ca="1">IF(Table1[[#This Row],[Debts]]&gt;$BA$3,1,0)</f>
        <v>0</v>
      </c>
      <c r="BC483" s="12">
        <f ca="1">Table1[[#This Row],[Mortage left]]/Table1[[#This Row],[Value of The House]]</f>
        <v>0.68858268825528079</v>
      </c>
      <c r="BD483" s="4">
        <f t="shared" ca="1" si="183"/>
        <v>0</v>
      </c>
      <c r="BE483" s="5"/>
    </row>
    <row r="484" spans="4:57" x14ac:dyDescent="0.3">
      <c r="D484">
        <f t="shared" ca="1" si="167"/>
        <v>2</v>
      </c>
      <c r="E484" t="str">
        <f t="shared" ca="1" si="168"/>
        <v>Female</v>
      </c>
      <c r="F484">
        <f t="shared" ca="1" si="169"/>
        <v>43</v>
      </c>
      <c r="G484">
        <f t="shared" ca="1" si="170"/>
        <v>1</v>
      </c>
      <c r="H484" t="str">
        <f t="shared" ca="1" si="171"/>
        <v>Health</v>
      </c>
      <c r="I484">
        <f t="shared" ca="1" si="172"/>
        <v>1</v>
      </c>
      <c r="J484" t="str">
        <f t="shared" ca="1" si="173"/>
        <v>High School</v>
      </c>
      <c r="K484">
        <f t="shared" ca="1" si="174"/>
        <v>4</v>
      </c>
      <c r="L484">
        <f t="shared" ca="1" si="175"/>
        <v>2</v>
      </c>
      <c r="M484">
        <f t="shared" ca="1" si="176"/>
        <v>64519</v>
      </c>
      <c r="N484">
        <f t="shared" ca="1" si="177"/>
        <v>4</v>
      </c>
      <c r="O484" t="str">
        <f t="shared" ca="1" si="178"/>
        <v>Alberta</v>
      </c>
      <c r="P484">
        <f t="shared" ca="1" si="161"/>
        <v>387114</v>
      </c>
      <c r="Q484">
        <f t="shared" ca="1" si="179"/>
        <v>311344.05451361428</v>
      </c>
      <c r="R484">
        <f t="shared" ca="1" si="166"/>
        <v>27077.941123870809</v>
      </c>
      <c r="S484">
        <f t="shared" ca="1" si="180"/>
        <v>16589</v>
      </c>
      <c r="T484">
        <f t="shared" ca="1" si="162"/>
        <v>32060.263787981286</v>
      </c>
      <c r="U484">
        <f t="shared" ca="1" si="163"/>
        <v>67600.723665348283</v>
      </c>
      <c r="V484">
        <f t="shared" ca="1" si="164"/>
        <v>481792.66478921904</v>
      </c>
      <c r="W484">
        <f t="shared" ca="1" si="165"/>
        <v>359993.31830159557</v>
      </c>
      <c r="Z484" s="4">
        <f t="shared" ca="1" si="181"/>
        <v>0</v>
      </c>
      <c r="AA484">
        <f t="shared" ca="1" si="182"/>
        <v>1</v>
      </c>
      <c r="AC484" s="5"/>
      <c r="AX484" s="10">
        <f ca="1">Table1[[#This Row],[Car Value]]/Table1[[#This Row],[No. of Vehicles]]</f>
        <v>13538.970561935404</v>
      </c>
      <c r="AZ484">
        <f ca="1">IF(Table1[[#This Row],[Debts]]&gt;$BA$3,1,0)</f>
        <v>1</v>
      </c>
      <c r="BC484" s="12">
        <f ca="1">Table1[[#This Row],[Mortage left]]/Table1[[#This Row],[Value of The House]]</f>
        <v>0.80426968415922517</v>
      </c>
      <c r="BD484" s="4">
        <f t="shared" ca="1" si="183"/>
        <v>0</v>
      </c>
      <c r="BE484" s="5"/>
    </row>
    <row r="485" spans="4:57" x14ac:dyDescent="0.3">
      <c r="D485">
        <f t="shared" ca="1" si="167"/>
        <v>2</v>
      </c>
      <c r="E485" t="str">
        <f t="shared" ca="1" si="168"/>
        <v>Female</v>
      </c>
      <c r="F485">
        <f t="shared" ca="1" si="169"/>
        <v>25</v>
      </c>
      <c r="G485">
        <f t="shared" ca="1" si="170"/>
        <v>2</v>
      </c>
      <c r="H485" t="str">
        <f t="shared" ca="1" si="171"/>
        <v>Construction</v>
      </c>
      <c r="I485">
        <f t="shared" ca="1" si="172"/>
        <v>3</v>
      </c>
      <c r="J485" t="str">
        <f t="shared" ca="1" si="173"/>
        <v>University</v>
      </c>
      <c r="K485">
        <f t="shared" ca="1" si="174"/>
        <v>1</v>
      </c>
      <c r="L485">
        <f t="shared" ca="1" si="175"/>
        <v>1</v>
      </c>
      <c r="M485">
        <f t="shared" ca="1" si="176"/>
        <v>69643</v>
      </c>
      <c r="N485">
        <f t="shared" ca="1" si="177"/>
        <v>8</v>
      </c>
      <c r="O485" t="str">
        <f t="shared" ca="1" si="178"/>
        <v>Ontario</v>
      </c>
      <c r="P485">
        <f t="shared" ref="P485:P500" ca="1" si="184">M485*RANDBETWEEN(4,6)</f>
        <v>348215</v>
      </c>
      <c r="Q485">
        <f t="shared" ca="1" si="179"/>
        <v>248981.26443102781</v>
      </c>
      <c r="R485">
        <f t="shared" ca="1" si="166"/>
        <v>47736.175464377178</v>
      </c>
      <c r="S485">
        <f t="shared" ca="1" si="180"/>
        <v>45498</v>
      </c>
      <c r="T485">
        <f t="shared" ref="T485:T500" ca="1" si="185">M485*RAND()*2</f>
        <v>104055.67811339226</v>
      </c>
      <c r="U485">
        <f t="shared" ref="U485:U500" ca="1" si="186">RAND()*M485*1.5</f>
        <v>20072.783775938267</v>
      </c>
      <c r="V485">
        <f t="shared" ref="V485:V500" ca="1" si="187">P485+R485+U485</f>
        <v>416023.95924031542</v>
      </c>
      <c r="W485">
        <f t="shared" ref="W485:W500" ca="1" si="188">Q485+S485+T485</f>
        <v>398534.94254442008</v>
      </c>
      <c r="Z485" s="4">
        <f t="shared" ca="1" si="181"/>
        <v>0</v>
      </c>
      <c r="AA485">
        <f t="shared" ca="1" si="182"/>
        <v>1</v>
      </c>
      <c r="AC485" s="5"/>
      <c r="AX485" s="10">
        <f ca="1">Table1[[#This Row],[Car Value]]/Table1[[#This Row],[No. of Vehicles]]</f>
        <v>47736.175464377178</v>
      </c>
      <c r="AZ485">
        <f ca="1">IF(Table1[[#This Row],[Debts]]&gt;$BA$3,1,0)</f>
        <v>1</v>
      </c>
      <c r="BC485" s="12">
        <f ca="1">Table1[[#This Row],[Mortage left]]/Table1[[#This Row],[Value of The House]]</f>
        <v>0.71502165165494824</v>
      </c>
      <c r="BD485" s="4">
        <f t="shared" ca="1" si="183"/>
        <v>0</v>
      </c>
      <c r="BE485" s="5"/>
    </row>
    <row r="486" spans="4:57" x14ac:dyDescent="0.3">
      <c r="D486">
        <f t="shared" ca="1" si="167"/>
        <v>1</v>
      </c>
      <c r="E486" t="str">
        <f t="shared" ca="1" si="168"/>
        <v>Male</v>
      </c>
      <c r="F486">
        <f t="shared" ca="1" si="169"/>
        <v>34</v>
      </c>
      <c r="G486">
        <f t="shared" ca="1" si="170"/>
        <v>2</v>
      </c>
      <c r="H486" t="str">
        <f t="shared" ca="1" si="171"/>
        <v>Construction</v>
      </c>
      <c r="I486">
        <f t="shared" ca="1" si="172"/>
        <v>1</v>
      </c>
      <c r="J486" t="str">
        <f t="shared" ca="1" si="173"/>
        <v>High School</v>
      </c>
      <c r="K486">
        <f t="shared" ca="1" si="174"/>
        <v>4</v>
      </c>
      <c r="L486">
        <f t="shared" ca="1" si="175"/>
        <v>2</v>
      </c>
      <c r="M486">
        <f t="shared" ca="1" si="176"/>
        <v>77794</v>
      </c>
      <c r="N486">
        <f t="shared" ca="1" si="177"/>
        <v>6</v>
      </c>
      <c r="O486" t="str">
        <f t="shared" ca="1" si="178"/>
        <v>Saskatchewan</v>
      </c>
      <c r="P486">
        <f t="shared" ca="1" si="184"/>
        <v>466764</v>
      </c>
      <c r="Q486">
        <f t="shared" ca="1" si="179"/>
        <v>74949.824063710228</v>
      </c>
      <c r="R486">
        <f t="shared" ca="1" si="166"/>
        <v>87637.083947090912</v>
      </c>
      <c r="S486">
        <f t="shared" ca="1" si="180"/>
        <v>203</v>
      </c>
      <c r="T486">
        <f t="shared" ca="1" si="185"/>
        <v>35638.209224856284</v>
      </c>
      <c r="U486">
        <f t="shared" ca="1" si="186"/>
        <v>84209.137425531226</v>
      </c>
      <c r="V486">
        <f t="shared" ca="1" si="187"/>
        <v>638610.22137262207</v>
      </c>
      <c r="W486">
        <f t="shared" ca="1" si="188"/>
        <v>110791.03328856651</v>
      </c>
      <c r="Z486" s="4">
        <f t="shared" ca="1" si="181"/>
        <v>1</v>
      </c>
      <c r="AA486">
        <f t="shared" ca="1" si="182"/>
        <v>0</v>
      </c>
      <c r="AC486" s="5"/>
      <c r="AX486" s="10">
        <f ca="1">Table1[[#This Row],[Car Value]]/Table1[[#This Row],[No. of Vehicles]]</f>
        <v>43818.541973545456</v>
      </c>
      <c r="AZ486">
        <f ca="1">IF(Table1[[#This Row],[Debts]]&gt;$BA$3,1,0)</f>
        <v>1</v>
      </c>
      <c r="BC486" s="12">
        <f ca="1">Table1[[#This Row],[Mortage left]]/Table1[[#This Row],[Value of The House]]</f>
        <v>0.16057327485348105</v>
      </c>
      <c r="BD486" s="4">
        <f t="shared" ca="1" si="183"/>
        <v>1</v>
      </c>
      <c r="BE486" s="5"/>
    </row>
    <row r="487" spans="4:57" x14ac:dyDescent="0.3">
      <c r="D487">
        <f t="shared" ca="1" si="167"/>
        <v>1</v>
      </c>
      <c r="E487" t="str">
        <f t="shared" ca="1" si="168"/>
        <v>Male</v>
      </c>
      <c r="F487">
        <f t="shared" ca="1" si="169"/>
        <v>39</v>
      </c>
      <c r="G487">
        <f t="shared" ca="1" si="170"/>
        <v>4</v>
      </c>
      <c r="H487" t="str">
        <f t="shared" ca="1" si="171"/>
        <v>IT</v>
      </c>
      <c r="I487">
        <f t="shared" ca="1" si="172"/>
        <v>1</v>
      </c>
      <c r="J487" t="str">
        <f t="shared" ca="1" si="173"/>
        <v>High School</v>
      </c>
      <c r="K487">
        <f t="shared" ca="1" si="174"/>
        <v>4</v>
      </c>
      <c r="L487">
        <f t="shared" ca="1" si="175"/>
        <v>1</v>
      </c>
      <c r="M487">
        <f t="shared" ca="1" si="176"/>
        <v>75053</v>
      </c>
      <c r="N487">
        <f t="shared" ca="1" si="177"/>
        <v>4</v>
      </c>
      <c r="O487" t="str">
        <f t="shared" ca="1" si="178"/>
        <v>Alberta</v>
      </c>
      <c r="P487">
        <f t="shared" ca="1" si="184"/>
        <v>450318</v>
      </c>
      <c r="Q487">
        <f t="shared" ca="1" si="179"/>
        <v>252076.67293232834</v>
      </c>
      <c r="R487">
        <f t="shared" ca="1" si="166"/>
        <v>49607.168791315795</v>
      </c>
      <c r="S487">
        <f t="shared" ca="1" si="180"/>
        <v>36756</v>
      </c>
      <c r="T487">
        <f t="shared" ca="1" si="185"/>
        <v>15058.661275961822</v>
      </c>
      <c r="U487">
        <f t="shared" ca="1" si="186"/>
        <v>97305.361704769195</v>
      </c>
      <c r="V487">
        <f t="shared" ca="1" si="187"/>
        <v>597230.53049608506</v>
      </c>
      <c r="W487">
        <f t="shared" ca="1" si="188"/>
        <v>303891.33420829015</v>
      </c>
      <c r="Z487" s="4">
        <f t="shared" ca="1" si="181"/>
        <v>1</v>
      </c>
      <c r="AA487">
        <f t="shared" ca="1" si="182"/>
        <v>0</v>
      </c>
      <c r="AC487" s="5"/>
      <c r="AX487" s="10">
        <f ca="1">Table1[[#This Row],[Car Value]]/Table1[[#This Row],[No. of Vehicles]]</f>
        <v>49607.168791315795</v>
      </c>
      <c r="AZ487">
        <f ca="1">IF(Table1[[#This Row],[Debts]]&gt;$BA$3,1,0)</f>
        <v>0</v>
      </c>
      <c r="BC487" s="12">
        <f ca="1">Table1[[#This Row],[Mortage left]]/Table1[[#This Row],[Value of The House]]</f>
        <v>0.55977481009492924</v>
      </c>
      <c r="BD487" s="4">
        <f t="shared" ca="1" si="183"/>
        <v>0</v>
      </c>
      <c r="BE487" s="5"/>
    </row>
    <row r="488" spans="4:57" x14ac:dyDescent="0.3">
      <c r="D488">
        <f t="shared" ca="1" si="167"/>
        <v>2</v>
      </c>
      <c r="E488" t="str">
        <f t="shared" ca="1" si="168"/>
        <v>Female</v>
      </c>
      <c r="F488">
        <f t="shared" ca="1" si="169"/>
        <v>40</v>
      </c>
      <c r="G488">
        <f t="shared" ca="1" si="170"/>
        <v>4</v>
      </c>
      <c r="H488" t="str">
        <f t="shared" ca="1" si="171"/>
        <v>IT</v>
      </c>
      <c r="I488">
        <f t="shared" ca="1" si="172"/>
        <v>5</v>
      </c>
      <c r="J488" t="str">
        <f t="shared" ca="1" si="173"/>
        <v>Other</v>
      </c>
      <c r="K488">
        <f t="shared" ca="1" si="174"/>
        <v>2</v>
      </c>
      <c r="L488">
        <f t="shared" ca="1" si="175"/>
        <v>2</v>
      </c>
      <c r="M488">
        <f t="shared" ca="1" si="176"/>
        <v>60700</v>
      </c>
      <c r="N488">
        <f t="shared" ca="1" si="177"/>
        <v>8</v>
      </c>
      <c r="O488" t="str">
        <f t="shared" ca="1" si="178"/>
        <v>Ontario</v>
      </c>
      <c r="P488">
        <f t="shared" ca="1" si="184"/>
        <v>303500</v>
      </c>
      <c r="Q488">
        <f t="shared" ca="1" si="179"/>
        <v>154056.45926732232</v>
      </c>
      <c r="R488">
        <f t="shared" ca="1" si="166"/>
        <v>77238.916002184546</v>
      </c>
      <c r="S488">
        <f t="shared" ca="1" si="180"/>
        <v>56594</v>
      </c>
      <c r="T488">
        <f t="shared" ca="1" si="185"/>
        <v>109885.87302778948</v>
      </c>
      <c r="U488">
        <f t="shared" ca="1" si="186"/>
        <v>74813.179965504052</v>
      </c>
      <c r="V488">
        <f t="shared" ca="1" si="187"/>
        <v>455552.0959676886</v>
      </c>
      <c r="W488">
        <f t="shared" ca="1" si="188"/>
        <v>320536.33229511179</v>
      </c>
      <c r="Z488" s="4">
        <f t="shared" ca="1" si="181"/>
        <v>0</v>
      </c>
      <c r="AA488">
        <f t="shared" ca="1" si="182"/>
        <v>1</v>
      </c>
      <c r="AC488" s="5"/>
      <c r="AX488" s="10">
        <f ca="1">Table1[[#This Row],[Car Value]]/Table1[[#This Row],[No. of Vehicles]]</f>
        <v>38619.458001092273</v>
      </c>
      <c r="AZ488">
        <f ca="1">IF(Table1[[#This Row],[Debts]]&gt;$BA$3,1,0)</f>
        <v>1</v>
      </c>
      <c r="BC488" s="12">
        <f ca="1">Table1[[#This Row],[Mortage left]]/Table1[[#This Row],[Value of The House]]</f>
        <v>0.50759953630089727</v>
      </c>
      <c r="BD488" s="4">
        <f t="shared" ca="1" si="183"/>
        <v>0</v>
      </c>
      <c r="BE488" s="5"/>
    </row>
    <row r="489" spans="4:57" x14ac:dyDescent="0.3">
      <c r="D489">
        <f t="shared" ca="1" si="167"/>
        <v>1</v>
      </c>
      <c r="E489" t="str">
        <f t="shared" ca="1" si="168"/>
        <v>Male</v>
      </c>
      <c r="F489">
        <f t="shared" ca="1" si="169"/>
        <v>42</v>
      </c>
      <c r="G489">
        <f t="shared" ca="1" si="170"/>
        <v>6</v>
      </c>
      <c r="H489" t="str">
        <f t="shared" ca="1" si="171"/>
        <v>General Work</v>
      </c>
      <c r="I489">
        <f t="shared" ca="1" si="172"/>
        <v>5</v>
      </c>
      <c r="J489" t="str">
        <f t="shared" ca="1" si="173"/>
        <v>Other</v>
      </c>
      <c r="K489">
        <f t="shared" ca="1" si="174"/>
        <v>2</v>
      </c>
      <c r="L489">
        <f t="shared" ca="1" si="175"/>
        <v>2</v>
      </c>
      <c r="M489">
        <f t="shared" ca="1" si="176"/>
        <v>78830</v>
      </c>
      <c r="N489">
        <f t="shared" ca="1" si="177"/>
        <v>12</v>
      </c>
      <c r="O489" t="str">
        <f t="shared" ca="1" si="178"/>
        <v>Nova scotia</v>
      </c>
      <c r="P489">
        <f t="shared" ca="1" si="184"/>
        <v>315320</v>
      </c>
      <c r="Q489">
        <f t="shared" ca="1" si="179"/>
        <v>15351.353360555189</v>
      </c>
      <c r="R489">
        <f t="shared" ca="1" si="166"/>
        <v>46448.207122752297</v>
      </c>
      <c r="S489">
        <f t="shared" ca="1" si="180"/>
        <v>19183</v>
      </c>
      <c r="T489">
        <f t="shared" ca="1" si="185"/>
        <v>114462.05197582897</v>
      </c>
      <c r="U489">
        <f t="shared" ca="1" si="186"/>
        <v>32732.632394122895</v>
      </c>
      <c r="V489">
        <f t="shared" ca="1" si="187"/>
        <v>394500.83951687522</v>
      </c>
      <c r="W489">
        <f t="shared" ca="1" si="188"/>
        <v>148996.40533638417</v>
      </c>
      <c r="Z489" s="4">
        <f t="shared" ca="1" si="181"/>
        <v>1</v>
      </c>
      <c r="AA489">
        <f t="shared" ca="1" si="182"/>
        <v>0</v>
      </c>
      <c r="AC489" s="5"/>
      <c r="AX489" s="10">
        <f ca="1">Table1[[#This Row],[Car Value]]/Table1[[#This Row],[No. of Vehicles]]</f>
        <v>23224.103561376149</v>
      </c>
      <c r="AZ489">
        <f ca="1">IF(Table1[[#This Row],[Debts]]&gt;$BA$3,1,0)</f>
        <v>1</v>
      </c>
      <c r="BC489" s="12">
        <f ca="1">Table1[[#This Row],[Mortage left]]/Table1[[#This Row],[Value of The House]]</f>
        <v>4.8684997337800295E-2</v>
      </c>
      <c r="BD489" s="4">
        <f t="shared" ca="1" si="183"/>
        <v>1</v>
      </c>
      <c r="BE489" s="5"/>
    </row>
    <row r="490" spans="4:57" x14ac:dyDescent="0.3">
      <c r="D490">
        <f t="shared" ca="1" si="167"/>
        <v>2</v>
      </c>
      <c r="E490" t="str">
        <f t="shared" ca="1" si="168"/>
        <v>Female</v>
      </c>
      <c r="F490">
        <f t="shared" ca="1" si="169"/>
        <v>43</v>
      </c>
      <c r="G490">
        <f t="shared" ca="1" si="170"/>
        <v>2</v>
      </c>
      <c r="H490" t="str">
        <f t="shared" ca="1" si="171"/>
        <v>Construction</v>
      </c>
      <c r="I490">
        <f t="shared" ca="1" si="172"/>
        <v>4</v>
      </c>
      <c r="J490" t="str">
        <f t="shared" ca="1" si="173"/>
        <v>Technical</v>
      </c>
      <c r="K490">
        <f t="shared" ca="1" si="174"/>
        <v>3</v>
      </c>
      <c r="L490">
        <f t="shared" ca="1" si="175"/>
        <v>1</v>
      </c>
      <c r="M490">
        <f t="shared" ca="1" si="176"/>
        <v>58934</v>
      </c>
      <c r="N490">
        <f t="shared" ca="1" si="177"/>
        <v>4</v>
      </c>
      <c r="O490" t="str">
        <f t="shared" ca="1" si="178"/>
        <v>Alberta</v>
      </c>
      <c r="P490">
        <f t="shared" ca="1" si="184"/>
        <v>353604</v>
      </c>
      <c r="Q490">
        <f t="shared" ca="1" si="179"/>
        <v>35747.054608642073</v>
      </c>
      <c r="R490">
        <f t="shared" ca="1" si="166"/>
        <v>42851.886421836578</v>
      </c>
      <c r="S490">
        <f t="shared" ca="1" si="180"/>
        <v>32303</v>
      </c>
      <c r="T490">
        <f t="shared" ca="1" si="185"/>
        <v>49297.239520730662</v>
      </c>
      <c r="U490">
        <f t="shared" ca="1" si="186"/>
        <v>10107.314077577157</v>
      </c>
      <c r="V490">
        <f t="shared" ca="1" si="187"/>
        <v>406563.20049941371</v>
      </c>
      <c r="W490">
        <f t="shared" ca="1" si="188"/>
        <v>117347.29412937272</v>
      </c>
      <c r="Z490" s="4">
        <f t="shared" ca="1" si="181"/>
        <v>0</v>
      </c>
      <c r="AA490">
        <f t="shared" ca="1" si="182"/>
        <v>1</v>
      </c>
      <c r="AC490" s="5"/>
      <c r="AX490" s="10">
        <f ca="1">Table1[[#This Row],[Car Value]]/Table1[[#This Row],[No. of Vehicles]]</f>
        <v>42851.886421836578</v>
      </c>
      <c r="AZ490">
        <f ca="1">IF(Table1[[#This Row],[Debts]]&gt;$BA$3,1,0)</f>
        <v>1</v>
      </c>
      <c r="BC490" s="12">
        <f ca="1">Table1[[#This Row],[Mortage left]]/Table1[[#This Row],[Value of The House]]</f>
        <v>0.10109346785851425</v>
      </c>
      <c r="BD490" s="4">
        <f t="shared" ca="1" si="183"/>
        <v>1</v>
      </c>
      <c r="BE490" s="5"/>
    </row>
    <row r="491" spans="4:57" x14ac:dyDescent="0.3">
      <c r="D491">
        <f t="shared" ca="1" si="167"/>
        <v>1</v>
      </c>
      <c r="E491" t="str">
        <f t="shared" ca="1" si="168"/>
        <v>Male</v>
      </c>
      <c r="F491">
        <f t="shared" ca="1" si="169"/>
        <v>33</v>
      </c>
      <c r="G491">
        <f t="shared" ca="1" si="170"/>
        <v>2</v>
      </c>
      <c r="H491" t="str">
        <f t="shared" ca="1" si="171"/>
        <v>Construction</v>
      </c>
      <c r="I491">
        <f t="shared" ca="1" si="172"/>
        <v>5</v>
      </c>
      <c r="J491" t="str">
        <f t="shared" ca="1" si="173"/>
        <v>Other</v>
      </c>
      <c r="K491">
        <f t="shared" ca="1" si="174"/>
        <v>1</v>
      </c>
      <c r="L491">
        <f t="shared" ca="1" si="175"/>
        <v>1</v>
      </c>
      <c r="M491">
        <f t="shared" ca="1" si="176"/>
        <v>51330</v>
      </c>
      <c r="N491">
        <f t="shared" ca="1" si="177"/>
        <v>5</v>
      </c>
      <c r="O491" t="str">
        <f t="shared" ca="1" si="178"/>
        <v>Nunavut</v>
      </c>
      <c r="P491">
        <f t="shared" ca="1" si="184"/>
        <v>205320</v>
      </c>
      <c r="Q491">
        <f t="shared" ca="1" si="179"/>
        <v>148640.82344222153</v>
      </c>
      <c r="R491">
        <f t="shared" ca="1" si="166"/>
        <v>46068.183841748883</v>
      </c>
      <c r="S491">
        <f t="shared" ca="1" si="180"/>
        <v>17234</v>
      </c>
      <c r="T491">
        <f t="shared" ca="1" si="185"/>
        <v>91828.852624157778</v>
      </c>
      <c r="U491">
        <f t="shared" ca="1" si="186"/>
        <v>2409.3710207546046</v>
      </c>
      <c r="V491">
        <f t="shared" ca="1" si="187"/>
        <v>253797.55486250349</v>
      </c>
      <c r="W491">
        <f t="shared" ca="1" si="188"/>
        <v>257703.6760663793</v>
      </c>
      <c r="Z491" s="4">
        <f t="shared" ca="1" si="181"/>
        <v>1</v>
      </c>
      <c r="AA491">
        <f t="shared" ca="1" si="182"/>
        <v>0</v>
      </c>
      <c r="AC491" s="5"/>
      <c r="AX491" s="10">
        <f ca="1">Table1[[#This Row],[Car Value]]/Table1[[#This Row],[No. of Vehicles]]</f>
        <v>46068.183841748883</v>
      </c>
      <c r="AZ491">
        <f ca="1">IF(Table1[[#This Row],[Debts]]&gt;$BA$3,1,0)</f>
        <v>1</v>
      </c>
      <c r="BC491" s="12">
        <f ca="1">Table1[[#This Row],[Mortage left]]/Table1[[#This Row],[Value of The House]]</f>
        <v>0.72394712372015158</v>
      </c>
      <c r="BD491" s="4">
        <f t="shared" ca="1" si="183"/>
        <v>0</v>
      </c>
      <c r="BE491" s="5"/>
    </row>
    <row r="492" spans="4:57" x14ac:dyDescent="0.3">
      <c r="D492">
        <f t="shared" ca="1" si="167"/>
        <v>2</v>
      </c>
      <c r="E492" t="str">
        <f t="shared" ca="1" si="168"/>
        <v>Female</v>
      </c>
      <c r="F492">
        <f t="shared" ca="1" si="169"/>
        <v>35</v>
      </c>
      <c r="G492">
        <f t="shared" ca="1" si="170"/>
        <v>4</v>
      </c>
      <c r="H492" t="str">
        <f t="shared" ca="1" si="171"/>
        <v>IT</v>
      </c>
      <c r="I492">
        <f t="shared" ca="1" si="172"/>
        <v>5</v>
      </c>
      <c r="J492" t="str">
        <f t="shared" ca="1" si="173"/>
        <v>Other</v>
      </c>
      <c r="K492">
        <f t="shared" ca="1" si="174"/>
        <v>4</v>
      </c>
      <c r="L492">
        <f t="shared" ca="1" si="175"/>
        <v>2</v>
      </c>
      <c r="M492">
        <f t="shared" ca="1" si="176"/>
        <v>85972</v>
      </c>
      <c r="N492">
        <f t="shared" ca="1" si="177"/>
        <v>2</v>
      </c>
      <c r="O492" t="str">
        <f t="shared" ca="1" si="178"/>
        <v>BC</v>
      </c>
      <c r="P492">
        <f t="shared" ca="1" si="184"/>
        <v>343888</v>
      </c>
      <c r="Q492">
        <f t="shared" ca="1" si="179"/>
        <v>59689.055097835691</v>
      </c>
      <c r="R492">
        <f t="shared" ca="1" si="166"/>
        <v>116515.8358657965</v>
      </c>
      <c r="S492">
        <f t="shared" ca="1" si="180"/>
        <v>62924</v>
      </c>
      <c r="T492">
        <f t="shared" ca="1" si="185"/>
        <v>11963.744587659967</v>
      </c>
      <c r="U492">
        <f t="shared" ca="1" si="186"/>
        <v>105740.43956310448</v>
      </c>
      <c r="V492">
        <f t="shared" ca="1" si="187"/>
        <v>566144.27542890096</v>
      </c>
      <c r="W492">
        <f t="shared" ca="1" si="188"/>
        <v>134576.79968549567</v>
      </c>
      <c r="Z492" s="4">
        <f t="shared" ca="1" si="181"/>
        <v>0</v>
      </c>
      <c r="AA492">
        <f t="shared" ca="1" si="182"/>
        <v>1</v>
      </c>
      <c r="AC492" s="5"/>
      <c r="AX492" s="10">
        <f ca="1">Table1[[#This Row],[Car Value]]/Table1[[#This Row],[No. of Vehicles]]</f>
        <v>58257.91793289825</v>
      </c>
      <c r="AZ492">
        <f ca="1">IF(Table1[[#This Row],[Debts]]&gt;$BA$3,1,0)</f>
        <v>0</v>
      </c>
      <c r="BC492" s="12">
        <f ca="1">Table1[[#This Row],[Mortage left]]/Table1[[#This Row],[Value of The House]]</f>
        <v>0.17357120660748759</v>
      </c>
      <c r="BD492" s="4">
        <f t="shared" ca="1" si="183"/>
        <v>1</v>
      </c>
      <c r="BE492" s="5"/>
    </row>
    <row r="493" spans="4:57" x14ac:dyDescent="0.3">
      <c r="D493">
        <f t="shared" ca="1" si="167"/>
        <v>1</v>
      </c>
      <c r="E493" t="str">
        <f t="shared" ca="1" si="168"/>
        <v>Male</v>
      </c>
      <c r="F493">
        <f t="shared" ca="1" si="169"/>
        <v>30</v>
      </c>
      <c r="G493">
        <f t="shared" ca="1" si="170"/>
        <v>2</v>
      </c>
      <c r="H493" t="str">
        <f t="shared" ca="1" si="171"/>
        <v>Construction</v>
      </c>
      <c r="I493">
        <f t="shared" ca="1" si="172"/>
        <v>4</v>
      </c>
      <c r="J493" t="str">
        <f t="shared" ca="1" si="173"/>
        <v>Technical</v>
      </c>
      <c r="K493">
        <f t="shared" ca="1" si="174"/>
        <v>2</v>
      </c>
      <c r="L493">
        <f t="shared" ca="1" si="175"/>
        <v>1</v>
      </c>
      <c r="M493">
        <f t="shared" ca="1" si="176"/>
        <v>28993</v>
      </c>
      <c r="N493">
        <f t="shared" ca="1" si="177"/>
        <v>9</v>
      </c>
      <c r="O493" t="str">
        <f t="shared" ca="1" si="178"/>
        <v>Quebec</v>
      </c>
      <c r="P493">
        <f t="shared" ca="1" si="184"/>
        <v>115972</v>
      </c>
      <c r="Q493">
        <f t="shared" ca="1" si="179"/>
        <v>33591.91448027287</v>
      </c>
      <c r="R493">
        <f t="shared" ca="1" si="166"/>
        <v>16693.119573474152</v>
      </c>
      <c r="S493">
        <f t="shared" ca="1" si="180"/>
        <v>13413</v>
      </c>
      <c r="T493">
        <f t="shared" ca="1" si="185"/>
        <v>33015.563047964191</v>
      </c>
      <c r="U493">
        <f t="shared" ca="1" si="186"/>
        <v>40939.219949549282</v>
      </c>
      <c r="V493">
        <f t="shared" ca="1" si="187"/>
        <v>173604.33952302346</v>
      </c>
      <c r="W493">
        <f t="shared" ca="1" si="188"/>
        <v>80020.477528237068</v>
      </c>
      <c r="Z493" s="4">
        <f t="shared" ca="1" si="181"/>
        <v>1</v>
      </c>
      <c r="AA493">
        <f t="shared" ca="1" si="182"/>
        <v>0</v>
      </c>
      <c r="AC493" s="5"/>
      <c r="AX493" s="10">
        <f ca="1">Table1[[#This Row],[Car Value]]/Table1[[#This Row],[No. of Vehicles]]</f>
        <v>16693.119573474152</v>
      </c>
      <c r="AZ493">
        <f ca="1">IF(Table1[[#This Row],[Debts]]&gt;$BA$3,1,0)</f>
        <v>1</v>
      </c>
      <c r="BC493" s="12">
        <f ca="1">Table1[[#This Row],[Mortage left]]/Table1[[#This Row],[Value of The House]]</f>
        <v>0.28965538647494971</v>
      </c>
      <c r="BD493" s="4">
        <f t="shared" ca="1" si="183"/>
        <v>0</v>
      </c>
      <c r="BE493" s="5"/>
    </row>
    <row r="494" spans="4:57" x14ac:dyDescent="0.3">
      <c r="D494">
        <f t="shared" ca="1" si="167"/>
        <v>1</v>
      </c>
      <c r="E494" t="str">
        <f t="shared" ca="1" si="168"/>
        <v>Male</v>
      </c>
      <c r="F494">
        <f t="shared" ca="1" si="169"/>
        <v>40</v>
      </c>
      <c r="G494">
        <f t="shared" ca="1" si="170"/>
        <v>6</v>
      </c>
      <c r="H494" t="str">
        <f t="shared" ca="1" si="171"/>
        <v>General Work</v>
      </c>
      <c r="I494">
        <f t="shared" ca="1" si="172"/>
        <v>1</v>
      </c>
      <c r="J494" t="str">
        <f t="shared" ca="1" si="173"/>
        <v>High School</v>
      </c>
      <c r="K494">
        <f t="shared" ca="1" si="174"/>
        <v>3</v>
      </c>
      <c r="L494">
        <f t="shared" ca="1" si="175"/>
        <v>1</v>
      </c>
      <c r="M494">
        <f t="shared" ca="1" si="176"/>
        <v>45430</v>
      </c>
      <c r="N494">
        <f t="shared" ca="1" si="177"/>
        <v>9</v>
      </c>
      <c r="O494" t="str">
        <f t="shared" ca="1" si="178"/>
        <v>Quebec</v>
      </c>
      <c r="P494">
        <f t="shared" ca="1" si="184"/>
        <v>181720</v>
      </c>
      <c r="Q494">
        <f t="shared" ca="1" si="179"/>
        <v>146518.8805950658</v>
      </c>
      <c r="R494">
        <f t="shared" ca="1" si="166"/>
        <v>20628.535294606729</v>
      </c>
      <c r="S494">
        <f t="shared" ca="1" si="180"/>
        <v>4108</v>
      </c>
      <c r="T494">
        <f t="shared" ca="1" si="185"/>
        <v>29281.537278683871</v>
      </c>
      <c r="U494">
        <f t="shared" ca="1" si="186"/>
        <v>44103.240467271542</v>
      </c>
      <c r="V494">
        <f t="shared" ca="1" si="187"/>
        <v>246451.77576187826</v>
      </c>
      <c r="W494">
        <f t="shared" ca="1" si="188"/>
        <v>179908.41787374968</v>
      </c>
      <c r="Z494" s="4">
        <f t="shared" ca="1" si="181"/>
        <v>1</v>
      </c>
      <c r="AA494">
        <f t="shared" ca="1" si="182"/>
        <v>0</v>
      </c>
      <c r="AC494" s="5"/>
      <c r="AX494" s="10">
        <f ca="1">Table1[[#This Row],[Car Value]]/Table1[[#This Row],[No. of Vehicles]]</f>
        <v>20628.535294606729</v>
      </c>
      <c r="AZ494">
        <f ca="1">IF(Table1[[#This Row],[Debts]]&gt;$BA$3,1,0)</f>
        <v>1</v>
      </c>
      <c r="BC494" s="12">
        <f ca="1">Table1[[#This Row],[Mortage left]]/Table1[[#This Row],[Value of The House]]</f>
        <v>0.80628923946217146</v>
      </c>
      <c r="BD494" s="4">
        <f t="shared" ca="1" si="183"/>
        <v>0</v>
      </c>
      <c r="BE494" s="5"/>
    </row>
    <row r="495" spans="4:57" x14ac:dyDescent="0.3">
      <c r="D495">
        <f t="shared" ca="1" si="167"/>
        <v>2</v>
      </c>
      <c r="E495" t="str">
        <f t="shared" ca="1" si="168"/>
        <v>Female</v>
      </c>
      <c r="F495">
        <f t="shared" ca="1" si="169"/>
        <v>41</v>
      </c>
      <c r="G495">
        <f t="shared" ca="1" si="170"/>
        <v>4</v>
      </c>
      <c r="H495" t="str">
        <f t="shared" ca="1" si="171"/>
        <v>IT</v>
      </c>
      <c r="I495">
        <f t="shared" ca="1" si="172"/>
        <v>4</v>
      </c>
      <c r="J495" t="str">
        <f t="shared" ca="1" si="173"/>
        <v>Technical</v>
      </c>
      <c r="K495">
        <f t="shared" ca="1" si="174"/>
        <v>2</v>
      </c>
      <c r="L495">
        <f t="shared" ca="1" si="175"/>
        <v>1</v>
      </c>
      <c r="M495">
        <f t="shared" ca="1" si="176"/>
        <v>76484</v>
      </c>
      <c r="N495">
        <f t="shared" ca="1" si="177"/>
        <v>1</v>
      </c>
      <c r="O495" t="str">
        <f t="shared" ca="1" si="178"/>
        <v>Yukon</v>
      </c>
      <c r="P495">
        <f t="shared" ca="1" si="184"/>
        <v>382420</v>
      </c>
      <c r="Q495">
        <f t="shared" ca="1" si="179"/>
        <v>69218.296144388325</v>
      </c>
      <c r="R495">
        <f t="shared" ca="1" si="166"/>
        <v>65062.698486736481</v>
      </c>
      <c r="S495">
        <f t="shared" ca="1" si="180"/>
        <v>28456</v>
      </c>
      <c r="T495">
        <f t="shared" ca="1" si="185"/>
        <v>89771.13756612991</v>
      </c>
      <c r="U495">
        <f t="shared" ca="1" si="186"/>
        <v>85277.512886712066</v>
      </c>
      <c r="V495">
        <f t="shared" ca="1" si="187"/>
        <v>532760.2113734486</v>
      </c>
      <c r="W495">
        <f t="shared" ca="1" si="188"/>
        <v>187445.43371051823</v>
      </c>
      <c r="Z495" s="4">
        <f t="shared" ca="1" si="181"/>
        <v>0</v>
      </c>
      <c r="AA495">
        <f t="shared" ca="1" si="182"/>
        <v>1</v>
      </c>
      <c r="AC495" s="5"/>
      <c r="AX495" s="10">
        <f ca="1">Table1[[#This Row],[Car Value]]/Table1[[#This Row],[No. of Vehicles]]</f>
        <v>65062.698486736481</v>
      </c>
      <c r="AZ495">
        <f ca="1">IF(Table1[[#This Row],[Debts]]&gt;$BA$3,1,0)</f>
        <v>1</v>
      </c>
      <c r="BC495" s="12">
        <f ca="1">Table1[[#This Row],[Mortage left]]/Table1[[#This Row],[Value of The House]]</f>
        <v>0.18100072209714013</v>
      </c>
      <c r="BD495" s="4">
        <f t="shared" ca="1" si="183"/>
        <v>1</v>
      </c>
      <c r="BE495" s="5"/>
    </row>
    <row r="496" spans="4:57" x14ac:dyDescent="0.3">
      <c r="D496">
        <f t="shared" ca="1" si="167"/>
        <v>2</v>
      </c>
      <c r="E496" t="str">
        <f t="shared" ca="1" si="168"/>
        <v>Female</v>
      </c>
      <c r="F496">
        <f t="shared" ca="1" si="169"/>
        <v>36</v>
      </c>
      <c r="G496">
        <f t="shared" ca="1" si="170"/>
        <v>6</v>
      </c>
      <c r="H496" t="str">
        <f t="shared" ca="1" si="171"/>
        <v>General Work</v>
      </c>
      <c r="I496">
        <f t="shared" ca="1" si="172"/>
        <v>4</v>
      </c>
      <c r="J496" t="str">
        <f t="shared" ca="1" si="173"/>
        <v>Technical</v>
      </c>
      <c r="K496">
        <f t="shared" ca="1" si="174"/>
        <v>4</v>
      </c>
      <c r="L496">
        <f t="shared" ca="1" si="175"/>
        <v>1</v>
      </c>
      <c r="M496">
        <f t="shared" ca="1" si="176"/>
        <v>25745</v>
      </c>
      <c r="N496">
        <f t="shared" ca="1" si="177"/>
        <v>4</v>
      </c>
      <c r="O496" t="str">
        <f t="shared" ca="1" si="178"/>
        <v>Alberta</v>
      </c>
      <c r="P496">
        <f t="shared" ca="1" si="184"/>
        <v>128725</v>
      </c>
      <c r="Q496">
        <f t="shared" ca="1" si="179"/>
        <v>9744.1713994439233</v>
      </c>
      <c r="R496">
        <f t="shared" ca="1" si="166"/>
        <v>14686.086080478048</v>
      </c>
      <c r="S496">
        <f t="shared" ca="1" si="180"/>
        <v>7183</v>
      </c>
      <c r="T496">
        <f t="shared" ca="1" si="185"/>
        <v>11955.355948555922</v>
      </c>
      <c r="U496">
        <f t="shared" ca="1" si="186"/>
        <v>7439.1323815515898</v>
      </c>
      <c r="V496">
        <f t="shared" ca="1" si="187"/>
        <v>150850.21846202962</v>
      </c>
      <c r="W496">
        <f t="shared" ca="1" si="188"/>
        <v>28882.527347999843</v>
      </c>
      <c r="Z496" s="4">
        <f t="shared" ca="1" si="181"/>
        <v>0</v>
      </c>
      <c r="AA496">
        <f t="shared" ca="1" si="182"/>
        <v>1</v>
      </c>
      <c r="AC496" s="5"/>
      <c r="AX496" s="10">
        <f ca="1">Table1[[#This Row],[Car Value]]/Table1[[#This Row],[No. of Vehicles]]</f>
        <v>14686.086080478048</v>
      </c>
      <c r="AZ496">
        <f ca="1">IF(Table1[[#This Row],[Debts]]&gt;$BA$3,1,0)</f>
        <v>0</v>
      </c>
      <c r="BC496" s="12">
        <f ca="1">Table1[[#This Row],[Mortage left]]/Table1[[#This Row],[Value of The House]]</f>
        <v>7.5697583215722841E-2</v>
      </c>
      <c r="BD496" s="4">
        <f t="shared" ca="1" si="183"/>
        <v>1</v>
      </c>
      <c r="BE496" s="5"/>
    </row>
    <row r="497" spans="4:57" x14ac:dyDescent="0.3">
      <c r="D497">
        <f t="shared" ca="1" si="167"/>
        <v>1</v>
      </c>
      <c r="E497" t="str">
        <f t="shared" ca="1" si="168"/>
        <v>Male</v>
      </c>
      <c r="F497">
        <f t="shared" ca="1" si="169"/>
        <v>27</v>
      </c>
      <c r="G497">
        <f t="shared" ca="1" si="170"/>
        <v>5</v>
      </c>
      <c r="H497" t="str">
        <f t="shared" ca="1" si="171"/>
        <v>Agriculture</v>
      </c>
      <c r="I497">
        <f t="shared" ca="1" si="172"/>
        <v>1</v>
      </c>
      <c r="J497" t="str">
        <f t="shared" ca="1" si="173"/>
        <v>High School</v>
      </c>
      <c r="K497">
        <f t="shared" ca="1" si="174"/>
        <v>1</v>
      </c>
      <c r="L497">
        <f t="shared" ca="1" si="175"/>
        <v>2</v>
      </c>
      <c r="M497">
        <f t="shared" ca="1" si="176"/>
        <v>25097</v>
      </c>
      <c r="N497">
        <f t="shared" ca="1" si="177"/>
        <v>13</v>
      </c>
      <c r="O497" t="str">
        <f t="shared" ca="1" si="178"/>
        <v>Prince Edward Islnd</v>
      </c>
      <c r="P497">
        <f t="shared" ca="1" si="184"/>
        <v>150582</v>
      </c>
      <c r="Q497">
        <f t="shared" ca="1" si="179"/>
        <v>234.00383288868403</v>
      </c>
      <c r="R497">
        <f t="shared" ca="1" si="166"/>
        <v>7554.4344014856624</v>
      </c>
      <c r="S497">
        <f t="shared" ca="1" si="180"/>
        <v>547</v>
      </c>
      <c r="T497">
        <f t="shared" ca="1" si="185"/>
        <v>36360.5643291015</v>
      </c>
      <c r="U497">
        <f t="shared" ca="1" si="186"/>
        <v>35152.134684023498</v>
      </c>
      <c r="V497">
        <f t="shared" ca="1" si="187"/>
        <v>193288.56908550917</v>
      </c>
      <c r="W497">
        <f t="shared" ca="1" si="188"/>
        <v>37141.568161990188</v>
      </c>
      <c r="Z497" s="4">
        <f t="shared" ca="1" si="181"/>
        <v>1</v>
      </c>
      <c r="AA497">
        <f t="shared" ca="1" si="182"/>
        <v>0</v>
      </c>
      <c r="AC497" s="5"/>
      <c r="AX497" s="10">
        <f ca="1">Table1[[#This Row],[Car Value]]/Table1[[#This Row],[No. of Vehicles]]</f>
        <v>3777.2172007428312</v>
      </c>
      <c r="AZ497">
        <f ca="1">IF(Table1[[#This Row],[Debts]]&gt;$BA$3,1,0)</f>
        <v>1</v>
      </c>
      <c r="BC497" s="12">
        <f ca="1">Table1[[#This Row],[Mortage left]]/Table1[[#This Row],[Value of The House]]</f>
        <v>1.5539960479252768E-3</v>
      </c>
      <c r="BD497" s="4">
        <f t="shared" ca="1" si="183"/>
        <v>1</v>
      </c>
      <c r="BE497" s="5"/>
    </row>
    <row r="498" spans="4:57" x14ac:dyDescent="0.3">
      <c r="D498">
        <f t="shared" ca="1" si="167"/>
        <v>2</v>
      </c>
      <c r="E498" t="str">
        <f t="shared" ca="1" si="168"/>
        <v>Female</v>
      </c>
      <c r="F498">
        <f t="shared" ca="1" si="169"/>
        <v>35</v>
      </c>
      <c r="G498">
        <f t="shared" ca="1" si="170"/>
        <v>5</v>
      </c>
      <c r="H498" t="str">
        <f t="shared" ca="1" si="171"/>
        <v>Agriculture</v>
      </c>
      <c r="I498">
        <f t="shared" ca="1" si="172"/>
        <v>4</v>
      </c>
      <c r="J498" t="str">
        <f t="shared" ca="1" si="173"/>
        <v>Technical</v>
      </c>
      <c r="K498">
        <f t="shared" ca="1" si="174"/>
        <v>2</v>
      </c>
      <c r="L498">
        <f t="shared" ca="1" si="175"/>
        <v>2</v>
      </c>
      <c r="M498">
        <f t="shared" ca="1" si="176"/>
        <v>88343</v>
      </c>
      <c r="N498">
        <f t="shared" ca="1" si="177"/>
        <v>6</v>
      </c>
      <c r="O498" t="str">
        <f t="shared" ca="1" si="178"/>
        <v>Saskatchewan</v>
      </c>
      <c r="P498">
        <f t="shared" ca="1" si="184"/>
        <v>441715</v>
      </c>
      <c r="Q498">
        <f t="shared" ca="1" si="179"/>
        <v>21713.777421110597</v>
      </c>
      <c r="R498">
        <f t="shared" ca="1" si="166"/>
        <v>172697.94062584313</v>
      </c>
      <c r="S498">
        <f t="shared" ca="1" si="180"/>
        <v>12610</v>
      </c>
      <c r="T498">
        <f t="shared" ca="1" si="185"/>
        <v>34095.315765888634</v>
      </c>
      <c r="U498">
        <f t="shared" ca="1" si="186"/>
        <v>13158.763897536985</v>
      </c>
      <c r="V498">
        <f t="shared" ca="1" si="187"/>
        <v>627571.70452338015</v>
      </c>
      <c r="W498">
        <f t="shared" ca="1" si="188"/>
        <v>68419.093186999235</v>
      </c>
      <c r="Z498" s="4">
        <f t="shared" ca="1" si="181"/>
        <v>0</v>
      </c>
      <c r="AA498">
        <f t="shared" ca="1" si="182"/>
        <v>1</v>
      </c>
      <c r="AC498" s="5"/>
      <c r="AX498" s="10">
        <f ca="1">Table1[[#This Row],[Car Value]]/Table1[[#This Row],[No. of Vehicles]]</f>
        <v>86348.970312921563</v>
      </c>
      <c r="AZ498">
        <f ca="1">IF(Table1[[#This Row],[Debts]]&gt;$BA$3,1,0)</f>
        <v>1</v>
      </c>
      <c r="BC498" s="12">
        <f ca="1">Table1[[#This Row],[Mortage left]]/Table1[[#This Row],[Value of The House]]</f>
        <v>4.9157890090014145E-2</v>
      </c>
      <c r="BD498" s="4">
        <f t="shared" ca="1" si="183"/>
        <v>1</v>
      </c>
      <c r="BE498" s="5"/>
    </row>
    <row r="499" spans="4:57" x14ac:dyDescent="0.3">
      <c r="D499">
        <f t="shared" ca="1" si="167"/>
        <v>1</v>
      </c>
      <c r="E499" t="str">
        <f t="shared" ca="1" si="168"/>
        <v>Male</v>
      </c>
      <c r="F499">
        <f t="shared" ca="1" si="169"/>
        <v>35</v>
      </c>
      <c r="G499">
        <f t="shared" ca="1" si="170"/>
        <v>1</v>
      </c>
      <c r="H499" t="str">
        <f t="shared" ca="1" si="171"/>
        <v>Health</v>
      </c>
      <c r="I499">
        <f t="shared" ca="1" si="172"/>
        <v>4</v>
      </c>
      <c r="J499" t="str">
        <f t="shared" ca="1" si="173"/>
        <v>Technical</v>
      </c>
      <c r="K499">
        <f t="shared" ca="1" si="174"/>
        <v>1</v>
      </c>
      <c r="L499">
        <f t="shared" ca="1" si="175"/>
        <v>1</v>
      </c>
      <c r="M499">
        <f t="shared" ca="1" si="176"/>
        <v>41523</v>
      </c>
      <c r="N499">
        <f t="shared" ca="1" si="177"/>
        <v>8</v>
      </c>
      <c r="O499" t="str">
        <f t="shared" ca="1" si="178"/>
        <v>Ontario</v>
      </c>
      <c r="P499">
        <f t="shared" ca="1" si="184"/>
        <v>166092</v>
      </c>
      <c r="Q499">
        <f t="shared" ca="1" si="179"/>
        <v>40997.114808120408</v>
      </c>
      <c r="R499">
        <f t="shared" ca="1" si="166"/>
        <v>3824.3138320285416</v>
      </c>
      <c r="S499">
        <f t="shared" ca="1" si="180"/>
        <v>1901</v>
      </c>
      <c r="T499">
        <f t="shared" ca="1" si="185"/>
        <v>9302.433197786062</v>
      </c>
      <c r="U499">
        <f t="shared" ca="1" si="186"/>
        <v>50741.959622170099</v>
      </c>
      <c r="V499">
        <f t="shared" ca="1" si="187"/>
        <v>220658.27345419864</v>
      </c>
      <c r="W499">
        <f t="shared" ca="1" si="188"/>
        <v>52200.548005906472</v>
      </c>
      <c r="Z499" s="4">
        <f t="shared" ca="1" si="181"/>
        <v>1</v>
      </c>
      <c r="AA499">
        <f t="shared" ca="1" si="182"/>
        <v>0</v>
      </c>
      <c r="AC499" s="5"/>
      <c r="AX499" s="10">
        <f ca="1">Table1[[#This Row],[Car Value]]/Table1[[#This Row],[No. of Vehicles]]</f>
        <v>3824.3138320285416</v>
      </c>
      <c r="AZ499">
        <f ca="1">IF(Table1[[#This Row],[Debts]]&gt;$BA$3,1,0)</f>
        <v>0</v>
      </c>
      <c r="BC499" s="12">
        <f ca="1">Table1[[#This Row],[Mortage left]]/Table1[[#This Row],[Value of The House]]</f>
        <v>0.24683377169352172</v>
      </c>
      <c r="BD499" s="4">
        <f t="shared" ca="1" si="183"/>
        <v>0</v>
      </c>
      <c r="BE499" s="5"/>
    </row>
    <row r="500" spans="4:57" ht="15" thickBot="1" x14ac:dyDescent="0.35">
      <c r="D500">
        <f t="shared" ca="1" si="167"/>
        <v>1</v>
      </c>
      <c r="E500" t="str">
        <f t="shared" ca="1" si="168"/>
        <v>Male</v>
      </c>
      <c r="F500">
        <f t="shared" ca="1" si="169"/>
        <v>43</v>
      </c>
      <c r="G500">
        <f t="shared" ca="1" si="170"/>
        <v>1</v>
      </c>
      <c r="H500" t="str">
        <f t="shared" ca="1" si="171"/>
        <v>Health</v>
      </c>
      <c r="I500">
        <f t="shared" ca="1" si="172"/>
        <v>2</v>
      </c>
      <c r="J500" t="str">
        <f t="shared" ca="1" si="173"/>
        <v>College</v>
      </c>
      <c r="K500">
        <f t="shared" ca="1" si="174"/>
        <v>2</v>
      </c>
      <c r="L500">
        <f t="shared" ca="1" si="175"/>
        <v>2</v>
      </c>
      <c r="M500">
        <f t="shared" ca="1" si="176"/>
        <v>30826</v>
      </c>
      <c r="N500">
        <f t="shared" ca="1" si="177"/>
        <v>9</v>
      </c>
      <c r="O500" t="str">
        <f t="shared" ca="1" si="178"/>
        <v>Quebec</v>
      </c>
      <c r="P500">
        <f t="shared" ca="1" si="184"/>
        <v>154130</v>
      </c>
      <c r="Q500">
        <f t="shared" ca="1" si="179"/>
        <v>63642.159946140884</v>
      </c>
      <c r="R500">
        <f t="shared" ca="1" si="166"/>
        <v>3741.0995436108724</v>
      </c>
      <c r="S500">
        <f t="shared" ca="1" si="180"/>
        <v>2034</v>
      </c>
      <c r="T500">
        <f t="shared" ca="1" si="185"/>
        <v>15499.76051153036</v>
      </c>
      <c r="U500">
        <f t="shared" ca="1" si="186"/>
        <v>37831.675573474473</v>
      </c>
      <c r="V500">
        <f t="shared" ca="1" si="187"/>
        <v>195702.77511708534</v>
      </c>
      <c r="W500">
        <f t="shared" ca="1" si="188"/>
        <v>81175.920457671251</v>
      </c>
      <c r="Z500" s="6">
        <f t="shared" ca="1" si="181"/>
        <v>1</v>
      </c>
      <c r="AA500" s="7">
        <f t="shared" ca="1" si="182"/>
        <v>0</v>
      </c>
      <c r="AB500" s="7"/>
      <c r="AC500" s="8"/>
      <c r="AX500" s="11">
        <f ca="1">Table1[[#This Row],[Car Value]]/Table1[[#This Row],[No. of Vehicles]]</f>
        <v>1870.5497718054362</v>
      </c>
      <c r="AZ500">
        <f ca="1">IF(Table1[[#This Row],[Debts]]&gt;$BA$3,1,0)</f>
        <v>0</v>
      </c>
      <c r="BC500" s="12">
        <f ca="1">Table1[[#This Row],[Mortage left]]/Table1[[#This Row],[Value of The House]]</f>
        <v>0.41291221661026978</v>
      </c>
      <c r="BD500" s="6">
        <f t="shared" ca="1" si="183"/>
        <v>0</v>
      </c>
      <c r="BE500" s="8"/>
    </row>
  </sheetData>
  <mergeCells count="3">
    <mergeCell ref="Z1:AC1"/>
    <mergeCell ref="BG2:BH2"/>
    <mergeCell ref="BJ2:B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5E76-BA47-4745-93BD-BE5443E91132}">
  <dimension ref="D3:AC57"/>
  <sheetViews>
    <sheetView zoomScale="43" zoomScaleNormal="55" workbookViewId="0">
      <selection activeCell="AD59" sqref="AD59"/>
    </sheetView>
  </sheetViews>
  <sheetFormatPr defaultRowHeight="14.4" x14ac:dyDescent="0.3"/>
  <cols>
    <col min="8" max="8" width="10.77734375" customWidth="1"/>
    <col min="9" max="9" width="13" customWidth="1"/>
  </cols>
  <sheetData>
    <row r="3" spans="4:29" ht="15" thickBot="1" x14ac:dyDescent="0.35"/>
    <row r="4" spans="4:29" x14ac:dyDescent="0.3">
      <c r="D4" s="34" t="s">
        <v>67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6"/>
    </row>
    <row r="5" spans="4:29" ht="15" thickBot="1" x14ac:dyDescent="0.35">
      <c r="D5" s="37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9"/>
    </row>
    <row r="6" spans="4:29" ht="15" thickBot="1" x14ac:dyDescent="0.35">
      <c r="D6" s="90" t="s">
        <v>68</v>
      </c>
      <c r="E6" s="95"/>
      <c r="F6" s="95"/>
      <c r="G6" s="91"/>
      <c r="H6" s="99" t="s">
        <v>49</v>
      </c>
      <c r="I6" s="100"/>
      <c r="J6" s="100"/>
      <c r="K6" s="101"/>
      <c r="L6" s="92" t="s">
        <v>69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8"/>
      <c r="Y6" s="29"/>
      <c r="Z6" s="29"/>
      <c r="AA6" s="29"/>
      <c r="AB6" s="29"/>
      <c r="AC6" s="30"/>
    </row>
    <row r="7" spans="4:29" ht="15" thickBot="1" x14ac:dyDescent="0.35">
      <c r="D7" s="92"/>
      <c r="E7" s="25"/>
      <c r="F7" s="25"/>
      <c r="G7" s="93"/>
      <c r="H7" s="102"/>
      <c r="I7" s="103"/>
      <c r="J7" s="103"/>
      <c r="K7" s="104"/>
      <c r="L7" s="96" t="s">
        <v>70</v>
      </c>
      <c r="M7" s="98"/>
      <c r="N7" s="96" t="s">
        <v>3</v>
      </c>
      <c r="O7" s="98"/>
      <c r="P7" s="96" t="s">
        <v>7</v>
      </c>
      <c r="Q7" s="98"/>
      <c r="R7" s="96" t="s">
        <v>6</v>
      </c>
      <c r="S7" s="98"/>
      <c r="T7" s="96" t="s">
        <v>4</v>
      </c>
      <c r="U7" s="98"/>
      <c r="V7" s="96" t="s">
        <v>8</v>
      </c>
      <c r="W7" s="97"/>
      <c r="X7" s="28"/>
      <c r="Y7" s="29"/>
      <c r="Z7" s="29"/>
      <c r="AA7" s="29"/>
      <c r="AB7" s="29"/>
      <c r="AC7" s="30"/>
    </row>
    <row r="8" spans="4:29" ht="15" thickBot="1" x14ac:dyDescent="0.35">
      <c r="D8" s="96" t="s">
        <v>45</v>
      </c>
      <c r="E8" s="98"/>
      <c r="F8" s="96" t="s">
        <v>46</v>
      </c>
      <c r="G8" s="98"/>
      <c r="H8" s="105">
        <f ca="1">Sheet1!AE2</f>
        <v>34.73293172690763</v>
      </c>
      <c r="I8" s="106"/>
      <c r="J8" s="106"/>
      <c r="K8" s="107"/>
      <c r="L8" s="26">
        <f ca="1">Sheet1!AG3</f>
        <v>81</v>
      </c>
      <c r="M8" s="94"/>
      <c r="N8" s="94">
        <f ca="1">Sheet1!AH3</f>
        <v>71</v>
      </c>
      <c r="O8" s="94"/>
      <c r="P8" s="94">
        <f ca="1">Sheet1!AQ3</f>
        <v>74</v>
      </c>
      <c r="Q8" s="94"/>
      <c r="R8" s="94">
        <f ca="1">Sheet1!AR3</f>
        <v>94</v>
      </c>
      <c r="S8" s="94"/>
      <c r="T8" s="94">
        <f ca="1">Sheet1!AS3</f>
        <v>83</v>
      </c>
      <c r="U8" s="94"/>
      <c r="V8" s="94">
        <f ca="1">Sheet1!AT3</f>
        <v>95</v>
      </c>
      <c r="W8" s="94"/>
      <c r="X8" s="28"/>
      <c r="Y8" s="29"/>
      <c r="Z8" s="29"/>
      <c r="AA8" s="29"/>
      <c r="AB8" s="29"/>
      <c r="AC8" s="30"/>
    </row>
    <row r="9" spans="4:29" x14ac:dyDescent="0.3">
      <c r="D9" s="26">
        <f ca="1">Sheet1!AB3</f>
        <v>235</v>
      </c>
      <c r="E9" s="27"/>
      <c r="F9" s="26">
        <f ca="1">Sheet1!AC3</f>
        <v>263</v>
      </c>
      <c r="G9" s="27"/>
      <c r="H9" s="108"/>
      <c r="I9" s="109"/>
      <c r="J9" s="109"/>
      <c r="K9" s="110"/>
      <c r="L9" s="90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28"/>
      <c r="Y9" s="29"/>
      <c r="Z9" s="29"/>
      <c r="AA9" s="29"/>
      <c r="AB9" s="29"/>
      <c r="AC9" s="30"/>
    </row>
    <row r="10" spans="4:29" ht="15" thickBot="1" x14ac:dyDescent="0.35">
      <c r="D10" s="92"/>
      <c r="E10" s="93"/>
      <c r="F10" s="92"/>
      <c r="G10" s="93"/>
      <c r="H10" s="111"/>
      <c r="I10" s="112"/>
      <c r="J10" s="112"/>
      <c r="K10" s="113"/>
      <c r="L10" s="92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31"/>
      <c r="Y10" s="32"/>
      <c r="Z10" s="32"/>
      <c r="AA10" s="32"/>
      <c r="AB10" s="32"/>
      <c r="AC10" s="33"/>
    </row>
    <row r="11" spans="4:29" ht="14.4" customHeight="1" x14ac:dyDescent="0.3">
      <c r="D11" s="26"/>
      <c r="E11" s="94"/>
      <c r="F11" s="94"/>
      <c r="G11" s="27"/>
      <c r="H11" s="64" t="s">
        <v>71</v>
      </c>
      <c r="I11" s="65"/>
      <c r="J11" s="65"/>
      <c r="K11" s="66"/>
      <c r="L11" s="26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88" t="s">
        <v>76</v>
      </c>
      <c r="Y11" s="88"/>
      <c r="Z11" s="88"/>
      <c r="AA11" s="88"/>
      <c r="AB11" s="88"/>
      <c r="AC11" s="88"/>
    </row>
    <row r="12" spans="4:29" ht="15" customHeight="1" thickBot="1" x14ac:dyDescent="0.35">
      <c r="D12" s="90"/>
      <c r="E12" s="95"/>
      <c r="F12" s="95"/>
      <c r="G12" s="91"/>
      <c r="H12" s="67"/>
      <c r="I12" s="68"/>
      <c r="J12" s="68"/>
      <c r="K12" s="69"/>
      <c r="L12" s="90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88">
        <v>1</v>
      </c>
      <c r="Y12" s="88"/>
      <c r="Z12" s="88">
        <v>2</v>
      </c>
      <c r="AA12" s="88"/>
      <c r="AB12" s="88">
        <v>3</v>
      </c>
      <c r="AC12" s="88"/>
    </row>
    <row r="13" spans="4:29" ht="14.4" customHeight="1" x14ac:dyDescent="0.3">
      <c r="D13" s="90"/>
      <c r="E13" s="95"/>
      <c r="F13" s="95"/>
      <c r="G13" s="91"/>
      <c r="H13" s="70">
        <f ca="1">Sheet1!AV3</f>
        <v>57618.146586345385</v>
      </c>
      <c r="I13" s="71"/>
      <c r="J13" s="71"/>
      <c r="K13" s="72"/>
      <c r="L13" s="90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88"/>
      <c r="Y13" s="88"/>
      <c r="Z13" s="88"/>
      <c r="AA13" s="88"/>
      <c r="AB13" s="88"/>
      <c r="AC13" s="88"/>
    </row>
    <row r="14" spans="4:29" ht="14.4" customHeight="1" x14ac:dyDescent="0.3">
      <c r="D14" s="90"/>
      <c r="E14" s="95"/>
      <c r="F14" s="95"/>
      <c r="G14" s="91"/>
      <c r="H14" s="73"/>
      <c r="I14" s="74"/>
      <c r="J14" s="74"/>
      <c r="K14" s="75"/>
      <c r="L14" s="90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88">
        <v>20000</v>
      </c>
      <c r="Y14" s="88"/>
      <c r="Z14" s="89">
        <v>0.2</v>
      </c>
      <c r="AA14" s="88"/>
      <c r="AB14" s="88">
        <v>50000</v>
      </c>
      <c r="AC14" s="88"/>
    </row>
    <row r="15" spans="4:29" ht="15" customHeight="1" thickBot="1" x14ac:dyDescent="0.35">
      <c r="D15" s="90"/>
      <c r="E15" s="95"/>
      <c r="F15" s="95"/>
      <c r="G15" s="91"/>
      <c r="H15" s="76"/>
      <c r="I15" s="77"/>
      <c r="J15" s="77"/>
      <c r="K15" s="78"/>
      <c r="L15" s="90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88"/>
      <c r="Y15" s="88"/>
      <c r="Z15" s="88"/>
      <c r="AA15" s="88"/>
      <c r="AB15" s="88"/>
      <c r="AC15" s="88"/>
    </row>
    <row r="16" spans="4:29" ht="14.4" customHeight="1" x14ac:dyDescent="0.3">
      <c r="D16" s="90"/>
      <c r="E16" s="95"/>
      <c r="F16" s="95"/>
      <c r="G16" s="91"/>
      <c r="H16" s="64" t="s">
        <v>52</v>
      </c>
      <c r="I16" s="65"/>
      <c r="J16" s="65"/>
      <c r="K16" s="66"/>
      <c r="L16" s="90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88"/>
      <c r="Y16" s="88"/>
      <c r="Z16" s="88"/>
      <c r="AA16" s="88"/>
      <c r="AB16" s="88"/>
      <c r="AC16" s="88"/>
    </row>
    <row r="17" spans="4:29" ht="15" customHeight="1" thickBot="1" x14ac:dyDescent="0.35">
      <c r="D17" s="90"/>
      <c r="E17" s="95"/>
      <c r="F17" s="95"/>
      <c r="G17" s="91"/>
      <c r="H17" s="67"/>
      <c r="I17" s="68"/>
      <c r="J17" s="68"/>
      <c r="K17" s="69"/>
      <c r="L17" s="90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40"/>
      <c r="Y17" s="41"/>
      <c r="Z17" s="41"/>
      <c r="AA17" s="41"/>
      <c r="AB17" s="41"/>
      <c r="AC17" s="42"/>
    </row>
    <row r="18" spans="4:29" ht="14.4" customHeight="1" x14ac:dyDescent="0.3">
      <c r="D18" s="90"/>
      <c r="E18" s="95"/>
      <c r="F18" s="95"/>
      <c r="G18" s="91"/>
      <c r="H18" s="55">
        <f ca="1">Sheet1!AY3</f>
        <v>28045.354279953939</v>
      </c>
      <c r="I18" s="56"/>
      <c r="J18" s="56"/>
      <c r="K18" s="57"/>
      <c r="L18" s="90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43"/>
      <c r="Y18" s="44"/>
      <c r="Z18" s="44"/>
      <c r="AA18" s="44"/>
      <c r="AB18" s="44"/>
      <c r="AC18" s="45"/>
    </row>
    <row r="19" spans="4:29" ht="14.4" customHeight="1" x14ac:dyDescent="0.3">
      <c r="D19" s="90"/>
      <c r="E19" s="95"/>
      <c r="F19" s="95"/>
      <c r="G19" s="91"/>
      <c r="H19" s="58"/>
      <c r="I19" s="59"/>
      <c r="J19" s="59"/>
      <c r="K19" s="60"/>
      <c r="L19" s="90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43"/>
      <c r="Y19" s="44"/>
      <c r="Z19" s="44"/>
      <c r="AA19" s="44"/>
      <c r="AB19" s="44"/>
      <c r="AC19" s="45"/>
    </row>
    <row r="20" spans="4:29" ht="15" customHeight="1" thickBot="1" x14ac:dyDescent="0.35">
      <c r="D20" s="90"/>
      <c r="E20" s="95"/>
      <c r="F20" s="95"/>
      <c r="G20" s="91"/>
      <c r="H20" s="61"/>
      <c r="I20" s="62"/>
      <c r="J20" s="62"/>
      <c r="K20" s="63"/>
      <c r="L20" s="90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43"/>
      <c r="Y20" s="44"/>
      <c r="Z20" s="44"/>
      <c r="AA20" s="44"/>
      <c r="AB20" s="44"/>
      <c r="AC20" s="45"/>
    </row>
    <row r="21" spans="4:29" ht="14.4" customHeight="1" x14ac:dyDescent="0.3">
      <c r="D21" s="90"/>
      <c r="E21" s="95"/>
      <c r="F21" s="95"/>
      <c r="G21" s="91"/>
      <c r="H21" s="49" t="s">
        <v>77</v>
      </c>
      <c r="I21" s="50"/>
      <c r="J21" s="50"/>
      <c r="K21" s="51"/>
      <c r="L21" s="90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43"/>
      <c r="Y21" s="44"/>
      <c r="Z21" s="44"/>
      <c r="AA21" s="44"/>
      <c r="AB21" s="44"/>
      <c r="AC21" s="45"/>
    </row>
    <row r="22" spans="4:29" ht="15" customHeight="1" thickBot="1" x14ac:dyDescent="0.35">
      <c r="D22" s="90"/>
      <c r="E22" s="95"/>
      <c r="F22" s="95"/>
      <c r="G22" s="91"/>
      <c r="H22" s="52"/>
      <c r="I22" s="53"/>
      <c r="J22" s="53"/>
      <c r="K22" s="54"/>
      <c r="L22" s="90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43"/>
      <c r="Y22" s="44"/>
      <c r="Z22" s="44"/>
      <c r="AA22" s="44"/>
      <c r="AB22" s="44"/>
      <c r="AC22" s="45"/>
    </row>
    <row r="23" spans="4:29" ht="14.4" customHeight="1" x14ac:dyDescent="0.3">
      <c r="D23" s="90"/>
      <c r="E23" s="95"/>
      <c r="F23" s="95"/>
      <c r="G23" s="91"/>
      <c r="H23" s="79">
        <f ca="1">Sheet1!BB3</f>
        <v>398</v>
      </c>
      <c r="I23" s="80"/>
      <c r="J23" s="80"/>
      <c r="K23" s="81"/>
      <c r="L23" s="90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43"/>
      <c r="Y23" s="44"/>
      <c r="Z23" s="44"/>
      <c r="AA23" s="44"/>
      <c r="AB23" s="44"/>
      <c r="AC23" s="45"/>
    </row>
    <row r="24" spans="4:29" ht="14.4" customHeight="1" x14ac:dyDescent="0.3">
      <c r="D24" s="90"/>
      <c r="E24" s="95"/>
      <c r="F24" s="95"/>
      <c r="G24" s="91"/>
      <c r="H24" s="82"/>
      <c r="I24" s="83"/>
      <c r="J24" s="83"/>
      <c r="K24" s="84"/>
      <c r="L24" s="90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43"/>
      <c r="Y24" s="44"/>
      <c r="Z24" s="44"/>
      <c r="AA24" s="44"/>
      <c r="AB24" s="44"/>
      <c r="AC24" s="45"/>
    </row>
    <row r="25" spans="4:29" ht="15" customHeight="1" thickBot="1" x14ac:dyDescent="0.35">
      <c r="D25" s="90"/>
      <c r="E25" s="95"/>
      <c r="F25" s="95"/>
      <c r="G25" s="91"/>
      <c r="H25" s="85"/>
      <c r="I25" s="86"/>
      <c r="J25" s="86"/>
      <c r="K25" s="87"/>
      <c r="L25" s="90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43"/>
      <c r="Y25" s="44"/>
      <c r="Z25" s="44"/>
      <c r="AA25" s="44"/>
      <c r="AB25" s="44"/>
      <c r="AC25" s="45"/>
    </row>
    <row r="26" spans="4:29" ht="14.4" customHeight="1" x14ac:dyDescent="0.3">
      <c r="D26" s="90"/>
      <c r="E26" s="95"/>
      <c r="F26" s="95"/>
      <c r="G26" s="91"/>
      <c r="H26" s="49" t="s">
        <v>78</v>
      </c>
      <c r="I26" s="50"/>
      <c r="J26" s="50"/>
      <c r="K26" s="51"/>
      <c r="L26" s="90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43"/>
      <c r="Y26" s="44"/>
      <c r="Z26" s="44"/>
      <c r="AA26" s="44"/>
      <c r="AB26" s="44"/>
      <c r="AC26" s="45"/>
    </row>
    <row r="27" spans="4:29" ht="15" customHeight="1" thickBot="1" x14ac:dyDescent="0.35">
      <c r="D27" s="90"/>
      <c r="E27" s="95"/>
      <c r="F27" s="95"/>
      <c r="G27" s="91"/>
      <c r="H27" s="52"/>
      <c r="I27" s="53"/>
      <c r="J27" s="53"/>
      <c r="K27" s="54"/>
      <c r="L27" s="90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43"/>
      <c r="Y27" s="44"/>
      <c r="Z27" s="44"/>
      <c r="AA27" s="44"/>
      <c r="AB27" s="44"/>
      <c r="AC27" s="45"/>
    </row>
    <row r="28" spans="4:29" ht="14.4" customHeight="1" x14ac:dyDescent="0.3">
      <c r="D28" s="90"/>
      <c r="E28" s="95"/>
      <c r="F28" s="95"/>
      <c r="G28" s="91"/>
      <c r="H28" s="79">
        <f ca="1">Sheet1!BF3</f>
        <v>110</v>
      </c>
      <c r="I28" s="80"/>
      <c r="J28" s="80"/>
      <c r="K28" s="81"/>
      <c r="L28" s="90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43"/>
      <c r="Y28" s="44"/>
      <c r="Z28" s="44"/>
      <c r="AA28" s="44"/>
      <c r="AB28" s="44"/>
      <c r="AC28" s="45"/>
    </row>
    <row r="29" spans="4:29" ht="14.4" customHeight="1" x14ac:dyDescent="0.3">
      <c r="D29" s="90"/>
      <c r="E29" s="95"/>
      <c r="F29" s="95"/>
      <c r="G29" s="91"/>
      <c r="H29" s="82"/>
      <c r="I29" s="83"/>
      <c r="J29" s="83"/>
      <c r="K29" s="84"/>
      <c r="L29" s="90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43"/>
      <c r="Y29" s="44"/>
      <c r="Z29" s="44"/>
      <c r="AA29" s="44"/>
      <c r="AB29" s="44"/>
      <c r="AC29" s="45"/>
    </row>
    <row r="30" spans="4:29" ht="14.4" customHeight="1" thickBot="1" x14ac:dyDescent="0.35">
      <c r="D30" s="90"/>
      <c r="E30" s="95"/>
      <c r="F30" s="95"/>
      <c r="G30" s="91"/>
      <c r="H30" s="85"/>
      <c r="I30" s="86"/>
      <c r="J30" s="86"/>
      <c r="K30" s="87"/>
      <c r="L30" s="90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43"/>
      <c r="Y30" s="44"/>
      <c r="Z30" s="44"/>
      <c r="AA30" s="44"/>
      <c r="AB30" s="44"/>
      <c r="AC30" s="45"/>
    </row>
    <row r="31" spans="4:29" ht="14.4" customHeight="1" x14ac:dyDescent="0.3">
      <c r="D31" s="90"/>
      <c r="E31" s="95"/>
      <c r="F31" s="95"/>
      <c r="G31" s="91"/>
      <c r="H31" s="49" t="s">
        <v>79</v>
      </c>
      <c r="I31" s="50"/>
      <c r="J31" s="50"/>
      <c r="K31" s="51"/>
      <c r="L31" s="90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43"/>
      <c r="Y31" s="44"/>
      <c r="Z31" s="44"/>
      <c r="AA31" s="44"/>
      <c r="AB31" s="44"/>
      <c r="AC31" s="45"/>
    </row>
    <row r="32" spans="4:29" ht="14.4" customHeight="1" thickBot="1" x14ac:dyDescent="0.35">
      <c r="D32" s="90"/>
      <c r="E32" s="95"/>
      <c r="F32" s="95"/>
      <c r="G32" s="91"/>
      <c r="H32" s="52"/>
      <c r="I32" s="53"/>
      <c r="J32" s="53"/>
      <c r="K32" s="54"/>
      <c r="L32" s="92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43"/>
      <c r="Y32" s="44"/>
      <c r="Z32" s="44"/>
      <c r="AA32" s="44"/>
      <c r="AB32" s="44"/>
      <c r="AC32" s="45"/>
    </row>
    <row r="33" spans="4:29" ht="14.4" customHeight="1" thickBot="1" x14ac:dyDescent="0.35">
      <c r="D33" s="90"/>
      <c r="E33" s="95"/>
      <c r="F33" s="95"/>
      <c r="G33" s="91"/>
      <c r="H33" s="79">
        <f ca="1">Sheet1!BM3</f>
        <v>66.46586345381526</v>
      </c>
      <c r="I33" s="80"/>
      <c r="J33" s="80"/>
      <c r="K33" s="81"/>
      <c r="L33" s="96" t="s">
        <v>64</v>
      </c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43"/>
      <c r="Y33" s="44"/>
      <c r="Z33" s="44"/>
      <c r="AA33" s="44"/>
      <c r="AB33" s="44"/>
      <c r="AC33" s="45"/>
    </row>
    <row r="34" spans="4:29" ht="14.4" customHeight="1" thickBot="1" x14ac:dyDescent="0.35">
      <c r="D34" s="90"/>
      <c r="E34" s="95"/>
      <c r="F34" s="95"/>
      <c r="G34" s="91"/>
      <c r="H34" s="82"/>
      <c r="I34" s="83"/>
      <c r="J34" s="83"/>
      <c r="K34" s="84"/>
      <c r="L34" s="96" t="s">
        <v>70</v>
      </c>
      <c r="M34" s="98"/>
      <c r="N34" s="96" t="s">
        <v>3</v>
      </c>
      <c r="O34" s="98"/>
      <c r="P34" s="96" t="s">
        <v>7</v>
      </c>
      <c r="Q34" s="98"/>
      <c r="R34" s="96" t="s">
        <v>6</v>
      </c>
      <c r="S34" s="98"/>
      <c r="T34" s="96" t="s">
        <v>4</v>
      </c>
      <c r="U34" s="98"/>
      <c r="V34" s="96" t="s">
        <v>8</v>
      </c>
      <c r="W34" s="97"/>
      <c r="X34" s="43"/>
      <c r="Y34" s="44"/>
      <c r="Z34" s="44"/>
      <c r="AA34" s="44"/>
      <c r="AB34" s="44"/>
      <c r="AC34" s="45"/>
    </row>
    <row r="35" spans="4:29" ht="14.4" customHeight="1" thickBot="1" x14ac:dyDescent="0.35">
      <c r="D35" s="90"/>
      <c r="E35" s="95"/>
      <c r="F35" s="95"/>
      <c r="G35" s="91"/>
      <c r="H35" s="85"/>
      <c r="I35" s="86"/>
      <c r="J35" s="86"/>
      <c r="K35" s="87"/>
      <c r="L35" s="26">
        <f ca="1">Sheet1!BK5</f>
        <v>60813.01234567901</v>
      </c>
      <c r="M35" s="27"/>
      <c r="N35" s="26">
        <f ca="1">Sheet1!BK3</f>
        <v>55021.985915492958</v>
      </c>
      <c r="O35" s="27"/>
      <c r="P35" s="26">
        <f ca="1">Sheet1!BK7</f>
        <v>60521.135135135133</v>
      </c>
      <c r="Q35" s="27"/>
      <c r="R35" s="26">
        <f ca="1">Sheet1!BK6</f>
        <v>57357.861702127659</v>
      </c>
      <c r="S35" s="27"/>
      <c r="T35" s="26">
        <f ca="1">Sheet1!BK4</f>
        <v>55980.891566265062</v>
      </c>
      <c r="U35" s="27"/>
      <c r="V35" s="94">
        <f ca="1">Sheet1!BK8</f>
        <v>56261.105263157893</v>
      </c>
      <c r="W35" s="94"/>
      <c r="X35" s="43"/>
      <c r="Y35" s="44"/>
      <c r="Z35" s="44"/>
      <c r="AA35" s="44"/>
      <c r="AB35" s="44"/>
      <c r="AC35" s="45"/>
    </row>
    <row r="36" spans="4:29" ht="14.4" customHeight="1" x14ac:dyDescent="0.3">
      <c r="D36" s="90"/>
      <c r="E36" s="95"/>
      <c r="F36" s="95"/>
      <c r="G36" s="91"/>
      <c r="H36" s="49" t="s">
        <v>66</v>
      </c>
      <c r="I36" s="50"/>
      <c r="J36" s="50"/>
      <c r="K36" s="51"/>
      <c r="L36" s="90"/>
      <c r="M36" s="91"/>
      <c r="N36" s="90"/>
      <c r="O36" s="91"/>
      <c r="P36" s="90"/>
      <c r="Q36" s="91"/>
      <c r="R36" s="90"/>
      <c r="S36" s="91"/>
      <c r="T36" s="90"/>
      <c r="U36" s="91"/>
      <c r="V36" s="95"/>
      <c r="W36" s="95"/>
      <c r="X36" s="43"/>
      <c r="Y36" s="44"/>
      <c r="Z36" s="44"/>
      <c r="AA36" s="44"/>
      <c r="AB36" s="44"/>
      <c r="AC36" s="45"/>
    </row>
    <row r="37" spans="4:29" ht="14.4" customHeight="1" thickBot="1" x14ac:dyDescent="0.35">
      <c r="D37" s="90"/>
      <c r="E37" s="95"/>
      <c r="F37" s="95"/>
      <c r="G37" s="91"/>
      <c r="H37" s="52"/>
      <c r="I37" s="53"/>
      <c r="J37" s="53"/>
      <c r="K37" s="54"/>
      <c r="L37" s="92"/>
      <c r="M37" s="93"/>
      <c r="N37" s="92"/>
      <c r="O37" s="93"/>
      <c r="P37" s="92"/>
      <c r="Q37" s="93"/>
      <c r="R37" s="92"/>
      <c r="S37" s="93"/>
      <c r="T37" s="92"/>
      <c r="U37" s="93"/>
      <c r="V37" s="25"/>
      <c r="W37" s="25"/>
      <c r="X37" s="43"/>
      <c r="Y37" s="44"/>
      <c r="Z37" s="44"/>
      <c r="AA37" s="44"/>
      <c r="AB37" s="44"/>
      <c r="AC37" s="45"/>
    </row>
    <row r="38" spans="4:29" ht="14.4" customHeight="1" x14ac:dyDescent="0.3">
      <c r="D38" s="90"/>
      <c r="E38" s="95"/>
      <c r="F38" s="95"/>
      <c r="G38" s="91"/>
      <c r="H38" s="79">
        <f ca="1">Sheet1!BO3</f>
        <v>34.73293172690763</v>
      </c>
      <c r="I38" s="80"/>
      <c r="J38" s="80"/>
      <c r="K38" s="81"/>
      <c r="L38" s="4"/>
      <c r="X38" s="43"/>
      <c r="Y38" s="44"/>
      <c r="Z38" s="44"/>
      <c r="AA38" s="44"/>
      <c r="AB38" s="44"/>
      <c r="AC38" s="45"/>
    </row>
    <row r="39" spans="4:29" ht="14.4" customHeight="1" x14ac:dyDescent="0.3">
      <c r="D39" s="90"/>
      <c r="E39" s="95"/>
      <c r="F39" s="95"/>
      <c r="G39" s="91"/>
      <c r="H39" s="82"/>
      <c r="I39" s="83"/>
      <c r="J39" s="83"/>
      <c r="K39" s="84"/>
      <c r="L39" s="4"/>
      <c r="X39" s="43"/>
      <c r="Y39" s="44"/>
      <c r="Z39" s="44"/>
      <c r="AA39" s="44"/>
      <c r="AB39" s="44"/>
      <c r="AC39" s="45"/>
    </row>
    <row r="40" spans="4:29" ht="14.4" customHeight="1" thickBot="1" x14ac:dyDescent="0.35">
      <c r="D40" s="90"/>
      <c r="E40" s="95"/>
      <c r="F40" s="95"/>
      <c r="G40" s="91"/>
      <c r="H40" s="85"/>
      <c r="I40" s="86"/>
      <c r="J40" s="86"/>
      <c r="K40" s="87"/>
      <c r="L40" s="4"/>
      <c r="X40" s="43"/>
      <c r="Y40" s="44"/>
      <c r="Z40" s="44"/>
      <c r="AA40" s="44"/>
      <c r="AB40" s="44"/>
      <c r="AC40" s="45"/>
    </row>
    <row r="41" spans="4:29" ht="14.4" customHeight="1" x14ac:dyDescent="0.4">
      <c r="D41" s="90"/>
      <c r="E41" s="95"/>
      <c r="F41" s="95"/>
      <c r="G41" s="91"/>
      <c r="H41" s="15"/>
      <c r="I41" s="16"/>
      <c r="J41" s="16"/>
      <c r="K41" s="17"/>
      <c r="L41" s="4"/>
      <c r="X41" s="43"/>
      <c r="Y41" s="44"/>
      <c r="Z41" s="44"/>
      <c r="AA41" s="44"/>
      <c r="AB41" s="44"/>
      <c r="AC41" s="45"/>
    </row>
    <row r="42" spans="4:29" ht="14.4" customHeight="1" x14ac:dyDescent="0.4">
      <c r="D42" s="90"/>
      <c r="E42" s="95"/>
      <c r="F42" s="95"/>
      <c r="G42" s="91"/>
      <c r="H42" s="15"/>
      <c r="I42" s="16"/>
      <c r="J42" s="16"/>
      <c r="K42" s="17"/>
      <c r="L42" s="4"/>
      <c r="X42" s="43"/>
      <c r="Y42" s="44"/>
      <c r="Z42" s="44"/>
      <c r="AA42" s="44"/>
      <c r="AB42" s="44"/>
      <c r="AC42" s="45"/>
    </row>
    <row r="43" spans="4:29" ht="14.4" customHeight="1" x14ac:dyDescent="0.4">
      <c r="D43" s="90"/>
      <c r="E43" s="95"/>
      <c r="F43" s="95"/>
      <c r="G43" s="91"/>
      <c r="H43" s="15"/>
      <c r="I43" s="16"/>
      <c r="J43" s="16"/>
      <c r="K43" s="17"/>
      <c r="L43" s="4"/>
      <c r="X43" s="43"/>
      <c r="Y43" s="44"/>
      <c r="Z43" s="44"/>
      <c r="AA43" s="44"/>
      <c r="AB43" s="44"/>
      <c r="AC43" s="45"/>
    </row>
    <row r="44" spans="4:29" ht="14.4" customHeight="1" x14ac:dyDescent="0.4">
      <c r="D44" s="90"/>
      <c r="E44" s="95"/>
      <c r="F44" s="95"/>
      <c r="G44" s="91"/>
      <c r="H44" s="15"/>
      <c r="I44" s="16"/>
      <c r="J44" s="16"/>
      <c r="K44" s="17"/>
      <c r="L44" s="4"/>
      <c r="X44" s="43"/>
      <c r="Y44" s="44"/>
      <c r="Z44" s="44"/>
      <c r="AA44" s="44"/>
      <c r="AB44" s="44"/>
      <c r="AC44" s="45"/>
    </row>
    <row r="45" spans="4:29" ht="14.4" customHeight="1" x14ac:dyDescent="0.4">
      <c r="D45" s="90"/>
      <c r="E45" s="95"/>
      <c r="F45" s="95"/>
      <c r="G45" s="91"/>
      <c r="H45" s="15"/>
      <c r="I45" s="16"/>
      <c r="J45" s="16"/>
      <c r="K45" s="17"/>
      <c r="L45" s="4"/>
      <c r="X45" s="43"/>
      <c r="Y45" s="44"/>
      <c r="Z45" s="44"/>
      <c r="AA45" s="44"/>
      <c r="AB45" s="44"/>
      <c r="AC45" s="45"/>
    </row>
    <row r="46" spans="4:29" ht="14.4" customHeight="1" x14ac:dyDescent="0.4">
      <c r="D46" s="90"/>
      <c r="E46" s="95"/>
      <c r="F46" s="95"/>
      <c r="G46" s="91"/>
      <c r="H46" s="15"/>
      <c r="I46" s="16"/>
      <c r="J46" s="16"/>
      <c r="K46" s="17"/>
      <c r="L46" s="4"/>
      <c r="X46" s="43"/>
      <c r="Y46" s="44"/>
      <c r="Z46" s="44"/>
      <c r="AA46" s="44"/>
      <c r="AB46" s="44"/>
      <c r="AC46" s="45"/>
    </row>
    <row r="47" spans="4:29" ht="21" x14ac:dyDescent="0.4">
      <c r="D47" s="90"/>
      <c r="E47" s="95"/>
      <c r="F47" s="95"/>
      <c r="G47" s="91"/>
      <c r="H47" s="18"/>
      <c r="I47" s="19"/>
      <c r="J47" s="19"/>
      <c r="K47" s="20"/>
      <c r="L47" s="4"/>
      <c r="X47" s="43"/>
      <c r="Y47" s="44"/>
      <c r="Z47" s="44"/>
      <c r="AA47" s="44"/>
      <c r="AB47" s="44"/>
      <c r="AC47" s="45"/>
    </row>
    <row r="48" spans="4:29" ht="14.4" customHeight="1" x14ac:dyDescent="0.4">
      <c r="D48" s="90"/>
      <c r="E48" s="95"/>
      <c r="F48" s="95"/>
      <c r="G48" s="91"/>
      <c r="H48" s="18"/>
      <c r="I48" s="19"/>
      <c r="J48" s="19"/>
      <c r="K48" s="20"/>
      <c r="L48" s="4"/>
      <c r="X48" s="43"/>
      <c r="Y48" s="44"/>
      <c r="Z48" s="44"/>
      <c r="AA48" s="44"/>
      <c r="AB48" s="44"/>
      <c r="AC48" s="45"/>
    </row>
    <row r="49" spans="4:29" ht="14.4" customHeight="1" x14ac:dyDescent="0.4">
      <c r="D49" s="90"/>
      <c r="E49" s="95"/>
      <c r="F49" s="95"/>
      <c r="G49" s="91"/>
      <c r="H49" s="18"/>
      <c r="I49" s="19"/>
      <c r="J49" s="19"/>
      <c r="K49" s="20"/>
      <c r="L49" s="4"/>
      <c r="X49" s="43"/>
      <c r="Y49" s="44"/>
      <c r="Z49" s="44"/>
      <c r="AA49" s="44"/>
      <c r="AB49" s="44"/>
      <c r="AC49" s="45"/>
    </row>
    <row r="50" spans="4:29" ht="14.4" customHeight="1" x14ac:dyDescent="0.4">
      <c r="D50" s="90"/>
      <c r="E50" s="95"/>
      <c r="F50" s="95"/>
      <c r="G50" s="91"/>
      <c r="H50" s="18"/>
      <c r="I50" s="19"/>
      <c r="J50" s="19"/>
      <c r="K50" s="20"/>
      <c r="L50" s="4"/>
      <c r="X50" s="43"/>
      <c r="Y50" s="44"/>
      <c r="Z50" s="44"/>
      <c r="AA50" s="44"/>
      <c r="AB50" s="44"/>
      <c r="AC50" s="45"/>
    </row>
    <row r="51" spans="4:29" ht="14.4" customHeight="1" x14ac:dyDescent="0.4">
      <c r="D51" s="90"/>
      <c r="E51" s="95"/>
      <c r="F51" s="95"/>
      <c r="G51" s="91"/>
      <c r="H51" s="18"/>
      <c r="I51" s="19"/>
      <c r="J51" s="19"/>
      <c r="K51" s="20"/>
      <c r="L51" s="4"/>
      <c r="X51" s="43"/>
      <c r="Y51" s="44"/>
      <c r="Z51" s="44"/>
      <c r="AA51" s="44"/>
      <c r="AB51" s="44"/>
      <c r="AC51" s="45"/>
    </row>
    <row r="52" spans="4:29" ht="14.4" customHeight="1" x14ac:dyDescent="0.4">
      <c r="D52" s="90"/>
      <c r="E52" s="95"/>
      <c r="F52" s="95"/>
      <c r="G52" s="91"/>
      <c r="H52" s="18"/>
      <c r="I52" s="19"/>
      <c r="J52" s="19"/>
      <c r="K52" s="20"/>
      <c r="L52" s="4"/>
      <c r="X52" s="43"/>
      <c r="Y52" s="44"/>
      <c r="Z52" s="44"/>
      <c r="AA52" s="44"/>
      <c r="AB52" s="44"/>
      <c r="AC52" s="45"/>
    </row>
    <row r="53" spans="4:29" ht="15" customHeight="1" thickBot="1" x14ac:dyDescent="0.45">
      <c r="D53" s="92"/>
      <c r="E53" s="25"/>
      <c r="F53" s="25"/>
      <c r="G53" s="93"/>
      <c r="H53" s="21"/>
      <c r="J53" s="22"/>
      <c r="K53" s="23"/>
      <c r="L53" s="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46"/>
      <c r="Y53" s="47"/>
      <c r="Z53" s="47"/>
      <c r="AA53" s="47"/>
      <c r="AB53" s="47"/>
      <c r="AC53" s="48"/>
    </row>
    <row r="54" spans="4:29" ht="15" thickBot="1" x14ac:dyDescent="0.35">
      <c r="D54" s="26" t="s">
        <v>60</v>
      </c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5"/>
      <c r="Y54" s="95"/>
      <c r="Z54" s="95"/>
      <c r="AA54" s="95"/>
      <c r="AB54" s="95"/>
      <c r="AC54" s="91"/>
    </row>
    <row r="55" spans="4:29" ht="15" thickBot="1" x14ac:dyDescent="0.35">
      <c r="D55" s="96" t="str">
        <f>TRANSPOSE({"Yukon";"British Columbia";"Northwest Territories";"Alberta";"Nunavut";"Saskatchewan";"Manitoba";"Ontario";"Quebec";"Newfoundland and Labrador";"New Brunswick";"Nova Scotia";"Prince Edward Island"})</f>
        <v>Yukon</v>
      </c>
      <c r="E55" s="98"/>
      <c r="F55" s="96" t="s">
        <v>74</v>
      </c>
      <c r="G55" s="98"/>
      <c r="H55" s="96" t="s">
        <v>73</v>
      </c>
      <c r="I55" s="98"/>
      <c r="J55" s="96" t="s">
        <v>20</v>
      </c>
      <c r="K55" s="98"/>
      <c r="L55" s="96" t="s">
        <v>21</v>
      </c>
      <c r="M55" s="98"/>
      <c r="N55" s="96" t="s">
        <v>22</v>
      </c>
      <c r="O55" s="98"/>
      <c r="P55" s="96" t="s">
        <v>23</v>
      </c>
      <c r="Q55" s="98"/>
      <c r="R55" s="96" t="s">
        <v>24</v>
      </c>
      <c r="S55" s="98"/>
      <c r="T55" s="96" t="s">
        <v>25</v>
      </c>
      <c r="U55" s="98"/>
      <c r="V55" s="96" t="s">
        <v>75</v>
      </c>
      <c r="W55" s="98"/>
      <c r="X55" s="96" t="s">
        <v>72</v>
      </c>
      <c r="Y55" s="98"/>
      <c r="Z55" s="96" t="s">
        <v>63</v>
      </c>
      <c r="AA55" s="98"/>
      <c r="AB55" s="96" t="s">
        <v>62</v>
      </c>
      <c r="AC55" s="98"/>
    </row>
    <row r="56" spans="4:29" x14ac:dyDescent="0.3">
      <c r="D56" s="26">
        <f ca="1">Sheet1!BH3</f>
        <v>59341.91891891892</v>
      </c>
      <c r="E56" s="27"/>
      <c r="F56" s="26">
        <f ca="1">Sheet1!BH4</f>
        <v>60571.184210526313</v>
      </c>
      <c r="G56" s="27"/>
      <c r="H56" s="26">
        <f ca="1">Sheet1!BH5</f>
        <v>56748.487804878052</v>
      </c>
      <c r="I56" s="27"/>
      <c r="J56" s="26">
        <f ca="1">Sheet1!BH6</f>
        <v>59270.675675675673</v>
      </c>
      <c r="K56" s="27"/>
      <c r="L56" s="26">
        <f ca="1">Sheet1!BH7</f>
        <v>59588.545454545456</v>
      </c>
      <c r="M56" s="27"/>
      <c r="N56" s="26">
        <f ca="1">Sheet1!BH8</f>
        <v>58314.576923076922</v>
      </c>
      <c r="O56" s="27"/>
      <c r="P56" s="26">
        <f ca="1">Sheet1!BH9</f>
        <v>56639.28</v>
      </c>
      <c r="Q56" s="27"/>
      <c r="R56" s="26">
        <f ca="1">Sheet1!BH10</f>
        <v>53553.780487804877</v>
      </c>
      <c r="S56" s="27"/>
      <c r="T56" s="26">
        <f ca="1">Sheet1!BH11</f>
        <v>52561.25</v>
      </c>
      <c r="U56" s="27"/>
      <c r="V56" s="26">
        <f ca="1">Sheet1!BH12</f>
        <v>55601.882352941175</v>
      </c>
      <c r="W56" s="27"/>
      <c r="X56" s="26">
        <f ca="1">Sheet1!BH13</f>
        <v>58167.925000000003</v>
      </c>
      <c r="Y56" s="27"/>
      <c r="Z56" s="26">
        <f ca="1">Sheet1!BH14</f>
        <v>55032.454545454544</v>
      </c>
      <c r="AA56" s="27"/>
      <c r="AB56" s="26">
        <f ca="1">Sheet1!BH15</f>
        <v>61583.0625</v>
      </c>
      <c r="AC56" s="27"/>
    </row>
    <row r="57" spans="4:29" ht="15" thickBot="1" x14ac:dyDescent="0.35">
      <c r="D57" s="92"/>
      <c r="E57" s="93"/>
      <c r="F57" s="92"/>
      <c r="G57" s="93"/>
      <c r="H57" s="92"/>
      <c r="I57" s="93"/>
      <c r="J57" s="92"/>
      <c r="K57" s="93"/>
      <c r="L57" s="92"/>
      <c r="M57" s="93"/>
      <c r="N57" s="92"/>
      <c r="O57" s="93"/>
      <c r="P57" s="92"/>
      <c r="Q57" s="93"/>
      <c r="R57" s="92"/>
      <c r="S57" s="93"/>
      <c r="T57" s="92"/>
      <c r="U57" s="93"/>
      <c r="V57" s="92"/>
      <c r="W57" s="93"/>
      <c r="X57" s="92"/>
      <c r="Y57" s="93"/>
      <c r="Z57" s="92"/>
      <c r="AA57" s="93"/>
      <c r="AB57" s="92"/>
      <c r="AC57" s="93"/>
    </row>
  </sheetData>
  <mergeCells count="84">
    <mergeCell ref="H6:K7"/>
    <mergeCell ref="H8:K10"/>
    <mergeCell ref="L6:W6"/>
    <mergeCell ref="L7:M7"/>
    <mergeCell ref="D6:G7"/>
    <mergeCell ref="D8:E8"/>
    <mergeCell ref="F8:G8"/>
    <mergeCell ref="D9:E10"/>
    <mergeCell ref="F9:G10"/>
    <mergeCell ref="L8:M10"/>
    <mergeCell ref="N8:O10"/>
    <mergeCell ref="P8:Q10"/>
    <mergeCell ref="R8:S10"/>
    <mergeCell ref="T8:U10"/>
    <mergeCell ref="V8:W10"/>
    <mergeCell ref="N7:O7"/>
    <mergeCell ref="P7:Q7"/>
    <mergeCell ref="R7:S7"/>
    <mergeCell ref="T7:U7"/>
    <mergeCell ref="V7:W7"/>
    <mergeCell ref="X55:Y55"/>
    <mergeCell ref="H23:K25"/>
    <mergeCell ref="H26:K27"/>
    <mergeCell ref="D11:G53"/>
    <mergeCell ref="D55:E55"/>
    <mergeCell ref="F55:G55"/>
    <mergeCell ref="H55:I55"/>
    <mergeCell ref="J55:K55"/>
    <mergeCell ref="L55:M55"/>
    <mergeCell ref="AB56:AC57"/>
    <mergeCell ref="Z55:AA55"/>
    <mergeCell ref="AB55:AC55"/>
    <mergeCell ref="D54:AC54"/>
    <mergeCell ref="D56:E57"/>
    <mergeCell ref="F56:G57"/>
    <mergeCell ref="H56:I57"/>
    <mergeCell ref="J56:K57"/>
    <mergeCell ref="L56:M57"/>
    <mergeCell ref="N56:O57"/>
    <mergeCell ref="P56:Q57"/>
    <mergeCell ref="N55:O55"/>
    <mergeCell ref="P55:Q55"/>
    <mergeCell ref="R55:S55"/>
    <mergeCell ref="T55:U55"/>
    <mergeCell ref="V55:W55"/>
    <mergeCell ref="R56:S57"/>
    <mergeCell ref="T56:U57"/>
    <mergeCell ref="V56:W57"/>
    <mergeCell ref="X56:Y57"/>
    <mergeCell ref="Z56:AA57"/>
    <mergeCell ref="H28:K30"/>
    <mergeCell ref="L11:W32"/>
    <mergeCell ref="L33:W33"/>
    <mergeCell ref="L34:M34"/>
    <mergeCell ref="N34:O34"/>
    <mergeCell ref="P34:Q34"/>
    <mergeCell ref="R34:S34"/>
    <mergeCell ref="T34:U34"/>
    <mergeCell ref="V34:W34"/>
    <mergeCell ref="H31:K32"/>
    <mergeCell ref="Z14:AA16"/>
    <mergeCell ref="AB14:AC16"/>
    <mergeCell ref="L35:M37"/>
    <mergeCell ref="N35:O37"/>
    <mergeCell ref="P35:Q37"/>
    <mergeCell ref="R35:S37"/>
    <mergeCell ref="T35:U37"/>
    <mergeCell ref="V35:W37"/>
    <mergeCell ref="X6:AC10"/>
    <mergeCell ref="D4:AC5"/>
    <mergeCell ref="X17:AC53"/>
    <mergeCell ref="H21:K22"/>
    <mergeCell ref="H18:K20"/>
    <mergeCell ref="H16:K17"/>
    <mergeCell ref="H13:K15"/>
    <mergeCell ref="H11:K12"/>
    <mergeCell ref="H33:K35"/>
    <mergeCell ref="H36:K37"/>
    <mergeCell ref="H38:K40"/>
    <mergeCell ref="X11:AC11"/>
    <mergeCell ref="X12:Y13"/>
    <mergeCell ref="Z12:AA13"/>
    <mergeCell ref="AB12:AC13"/>
    <mergeCell ref="X14:Y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ABDULMALIK ABDULMALIK</cp:lastModifiedBy>
  <dcterms:created xsi:type="dcterms:W3CDTF">2015-06-05T18:17:20Z</dcterms:created>
  <dcterms:modified xsi:type="dcterms:W3CDTF">2026-02-16T14:45:07Z</dcterms:modified>
</cp:coreProperties>
</file>